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vml" ContentType="application/vnd.openxmlformats-officedocument.vmlDrawing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comments1.xml" ContentType="application/vnd.openxmlformats-officedocument.spreadsheetml.comments+xml"/>
  <Override PartName="/xl/persons/person.xml" ContentType="application/vnd.ms-excel.person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f6ed174eb8fa4e66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START HERE" sheetId="1" r:id="R4da6675386124379"/>
    <x:sheet xmlns:r="http://schemas.openxmlformats.org/officeDocument/2006/relationships" name="THIS WEEK" sheetId="2" r:id="Rd0822e8fb88d417f"/>
    <x:sheet xmlns:r="http://schemas.openxmlformats.org/officeDocument/2006/relationships" name="MONEY" sheetId="3" r:id="R1ce33c8345ca4ab6"/>
    <x:sheet xmlns:r="http://schemas.openxmlformats.org/officeDocument/2006/relationships" name="USERS &amp; REVENUE" sheetId="4" r:id="Rb960ffbcd2274436"/>
    <x:sheet xmlns:r="http://schemas.openxmlformats.org/officeDocument/2006/relationships" name="CONTENT" sheetId="5" r:id="R62d80d4fc0dc4612"/>
    <x:sheet xmlns:r="http://schemas.openxmlformats.org/officeDocument/2006/relationships" name="FIELD &amp; FUEL" sheetId="6" r:id="R3bd701f171454144"/>
    <x:sheet xmlns:r="http://schemas.openxmlformats.org/officeDocument/2006/relationships" name="TASKS" sheetId="7" r:id="R2374d1a1095b4ddf"/>
    <x:sheet xmlns:r="http://schemas.openxmlformats.org/officeDocument/2006/relationships" name="SETTINGS" sheetId="8" r:id="Rfd1289d7ad2b4258"/>
  </x:sheets>
</x:workbook>
</file>

<file path=xl/comments1.xml><?xml version="1.0" encoding="utf-8"?>
<x:comments xmlns:x="http://schemas.openxmlformats.org/spreadsheetml/2006/main">
  <x:authors>
    <x:author>OpenAI</x:author>
  </x:authors>
  <x:commentList>
    <x:comment ref="B6" authorId="0">
      <x:text>
        <x:r>
          <x:t>Date resolved from the founder statement: first funding is Friday the 14th, with the workbook created on 12 August 2026.</x:t>
        </x:r>
      </x:text>
    </x:comment>
    <x:comment ref="B22" authorId="0">
      <x:text>
        <x:r>
          <x:t>Founder-provided Replit fee: USD 20 per month.</x:t>
        </x:r>
      </x:text>
    </x:comment>
    <x:comment ref="B30" authorId="0">
      <x:text>
        <x:r>
          <x:t>Founder-provided fuel price: KES 214 per litre.</x:t>
        </x:r>
      </x:text>
    </x:comment>
    <x:comment ref="B31" authorId="0">
      <x:text>
        <x:r>
          <x:t>Founder-provided vehicle efficiency: 12 km per litre.</x:t>
        </x:r>
      </x:text>
    </x:comment>
  </x:commentList>
</x:comments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7">
    <x:numFmt numFmtId="164" formatCode="yyyy-mm-dd h:mm:ss"/>
    <x:numFmt numFmtId="165" formatCode="dd-mmm-yy"/>
    <x:numFmt numFmtId="166" formatCode="&quot;KES &quot; #,##0;[Red](&quot;KES &quot; #,##0);-"/>
    <x:numFmt numFmtId="167" formatCode="#,##0;[Red](#,##0);-"/>
    <x:numFmt numFmtId="168" formatCode="&quot;KES &quot; #,##0.00;[Red](&quot;KES &quot; #,##0.00);-"/>
    <x:numFmt numFmtId="169" formatCode="$0.00"/>
    <x:numFmt numFmtId="170" formatCode="#,##0.0;[Red](#,##0.0);-"/>
  </x:numFmts>
  <x:fonts count="16">
    <x:font>
      <x:sz val="11"/>
      <x:color theme="1"/>
      <x:name val="Calibri"/>
    </x:font>
    <x:font>
      <x:b/>
      <x:sz val="18"/>
      <x:color rgb="FFFFFFFF"/>
      <x:name val="Aptos Display"/>
    </x:font>
    <x:font>
      <x:sz val="10"/>
      <x:color rgb="FF0E7490"/>
      <x:name val="Aptos"/>
    </x:font>
    <x:font>
      <x:b/>
      <x:sz val="11"/>
      <x:color rgb="FFFFFFFF"/>
      <x:name val="Aptos"/>
    </x:font>
    <x:font>
      <x:b/>
      <x:sz val="9"/>
      <x:color rgb="FFFFFFFF"/>
      <x:name val="Aptos"/>
    </x:font>
    <x:font>
      <x:sz val="9"/>
      <x:color rgb="FF000000"/>
      <x:name val="Aptos"/>
    </x:font>
    <x:font>
      <x:sz val="9"/>
      <x:color rgb="FF0000FF"/>
      <x:name val="Aptos"/>
    </x:font>
    <x:font>
      <x:b/>
      <x:sz val="8"/>
      <x:color rgb="FFFFFFFF"/>
      <x:name val="Aptos"/>
    </x:font>
    <x:font>
      <x:sz val="9"/>
      <x:color rgb="FF008000"/>
      <x:name val="Aptos"/>
    </x:font>
    <x:font>
      <x:sz val="9"/>
      <x:color rgb="FF595959"/>
      <x:name val="Aptos"/>
    </x:font>
    <x:font>
      <x:b/>
      <x:sz val="16"/>
      <x:color rgb="FF008000"/>
      <x:name val="Aptos Display"/>
    </x:font>
    <x:font>
      <x:sz val="9"/>
      <x:color rgb="FF667085"/>
      <x:name val="Aptos"/>
    </x:font>
    <x:font>
      <x:b/>
      <x:sz val="10"/>
      <x:color rgb="FF000000"/>
      <x:name val="Aptos"/>
    </x:font>
    <x:font>
      <x:b/>
      <x:sz val="9"/>
      <x:color rgb="FF667085"/>
      <x:name val="Aptos"/>
    </x:font>
    <x:font>
      <x:b/>
      <x:sz val="15"/>
      <x:color rgb="FF000000"/>
      <x:name val="Aptos Display"/>
    </x:font>
    <x:font>
      <x:b/>
      <x:sz val="10"/>
      <x:color rgb="FFEA580C"/>
      <x:name val="Aptos"/>
    </x:font>
  </x:fonts>
  <x:fills count="13">
    <x:fill>
      <x:patternFill patternType="none"/>
    </x:fill>
    <x:fill>
      <x:patternFill patternType="gray125"/>
    </x:fill>
    <x:fill>
      <x:patternFill patternType="solid">
        <x:fgColor rgb="FF102A43"/>
      </x:patternFill>
    </x:fill>
    <x:fill>
      <x:patternFill patternType="solid">
        <x:fgColor rgb="FFD9F0F4"/>
      </x:patternFill>
    </x:fill>
    <x:fill>
      <x:patternFill patternType="solid">
        <x:fgColor rgb="FF0E7490"/>
      </x:patternFill>
    </x:fill>
    <x:fill>
      <x:patternFill patternType="solid">
        <x:fgColor rgb="FFFAFAFA"/>
      </x:patternFill>
    </x:fill>
    <x:fill>
      <x:patternFill patternType="solid">
        <x:fgColor rgb="FFDBEAFE"/>
      </x:patternFill>
    </x:fill>
    <x:fill>
      <x:patternFill patternType="solid">
        <x:fgColor rgb="FF6B46C1"/>
      </x:patternFill>
    </x:fill>
    <x:fill>
      <x:patternFill patternType="solid">
        <x:fgColor rgb="FFEDE9FE"/>
      </x:patternFill>
    </x:fill>
    <x:fill>
      <x:patternFill patternType="solid">
        <x:fgColor rgb="FFDCFCE7"/>
      </x:patternFill>
    </x:fill>
    <x:fill>
      <x:patternFill patternType="solid">
        <x:fgColor rgb="FFF3F4F6"/>
      </x:patternFill>
    </x:fill>
    <x:fill>
      <x:patternFill patternType="solid">
        <x:fgColor rgb="FFEA580C"/>
      </x:patternFill>
    </x:fill>
    <x:fill>
      <x:patternFill patternType="solid">
        <x:fgColor rgb="FFFFEDD5"/>
      </x:patternFill>
    </x:fill>
  </x:fills>
  <x:borders count="3">
    <x:border/>
    <x:border>
      <x:bottom style="medium">
        <x:color rgb="FF102A43"/>
      </x:bottom>
    </x:border>
    <x:border>
      <x:bottom style="hair">
        <x:color rgb="FFE5E7EB"/>
      </x:bottom>
    </x:border>
  </x:borders>
  <x:cellStyleXfs count="1">
    <x:xf numFmtId="0" fontId="0" fillId="0" borderId="0"/>
  </x:cellStyleXfs>
  <x:cellXfs count="63">
    <x:xf numFmtId="0" fontId="0" fillId="0" borderId="0" xfId="0"/>
    <x:xf numFmtId="0" fontId="1" fillId="2" borderId="0" xfId="0" applyAlignment="1">
      <x:alignment vertical="center"/>
    </x:xf>
    <x:xf numFmtId="0" fontId="2" fillId="3" borderId="0" xfId="0" applyAlignment="1">
      <x:alignment vertical="center" wrapText="1"/>
    </x:xf>
    <x:xf numFmtId="0" fontId="3" fillId="2" borderId="0" xfId="0" applyAlignment="1">
      <x:alignment vertical="center"/>
    </x:xf>
    <x:xf numFmtId="0" fontId="4" fillId="4" borderId="1" xfId="0" applyAlignment="1">
      <x:alignment vertical="center" wrapText="1"/>
    </x:xf>
    <x:xf numFmtId="0" fontId="5" fillId="5" borderId="2" xfId="0" applyAlignment="1">
      <x:alignment vertical="top" wrapText="1"/>
    </x:xf>
    <x:xf numFmtId="0" fontId="5" fillId="0" borderId="2" xfId="0" applyAlignment="1">
      <x:alignment vertical="top" wrapText="1"/>
    </x:xf>
    <x:xf numFmtId="0" fontId="3" fillId="7" borderId="0" xfId="0" applyAlignment="1">
      <x:alignment vertical="center"/>
    </x:xf>
    <x:xf numFmtId="0" fontId="4" fillId="2" borderId="1" xfId="0" applyAlignment="1">
      <x:alignment vertical="center" wrapText="1"/>
    </x:xf>
    <x:xf numFmtId="166" fontId="5" fillId="8" borderId="2" xfId="0" applyAlignment="1">
      <x:alignment vertical="top" wrapText="1"/>
    </x:xf>
    <x:xf numFmtId="166" fontId="5" fillId="3" borderId="2" xfId="0" applyAlignment="1">
      <x:alignment vertical="top" wrapText="1"/>
    </x:xf>
    <x:xf numFmtId="0" fontId="3" fillId="4" borderId="0" xfId="0" applyAlignment="1">
      <x:alignment vertical="center"/>
    </x:xf>
    <x:xf numFmtId="0" fontId="4" fillId="2" borderId="0" xfId="0" applyAlignment="1">
      <x:alignment horizontal="center" vertical="center"/>
    </x:xf>
    <x:xf numFmtId="167" fontId="14" fillId="3" borderId="0" xfId="0" applyAlignment="1">
      <x:alignment horizontal="center" vertical="center"/>
    </x:xf>
    <x:xf numFmtId="165" fontId="14" fillId="3" borderId="0" xfId="0" applyAlignment="1">
      <x:alignment horizontal="center" vertical="center"/>
    </x:xf>
    <x:xf numFmtId="166" fontId="14" fillId="3" borderId="0" xfId="0" applyAlignment="1">
      <x:alignment horizontal="center" vertical="center"/>
    </x:xf>
    <x:xf numFmtId="167" fontId="14" fillId="8" borderId="0" xfId="0" applyAlignment="1">
      <x:alignment horizontal="center" vertical="center"/>
    </x:xf>
    <x:xf numFmtId="0" fontId="3" fillId="11" borderId="0" xfId="0" applyAlignment="1">
      <x:alignment vertical="center"/>
    </x:xf>
    <x:xf numFmtId="0" fontId="15" fillId="0" borderId="0" xfId="0"/>
    <x:xf numFmtId="0" fontId="5" fillId="0" borderId="0" xfId="0" applyAlignment="1">
      <x:alignment vertical="top" wrapText="1"/>
    </x:xf>
    <x:xf numFmtId="0" fontId="11" fillId="0" borderId="0" xfId="0"/>
    <x:xf numFmtId="167" fontId="12" fillId="3" borderId="0" xfId="0" applyAlignment="1">
      <x:alignment horizontal="right" vertical="center"/>
    </x:xf>
    <x:xf numFmtId="167" fontId="12" fillId="8" borderId="0" xfId="0" applyAlignment="1">
      <x:alignment horizontal="right" vertical="center"/>
    </x:xf>
    <x:xf numFmtId="167" fontId="12" fillId="12" borderId="0" xfId="0" applyAlignment="1">
      <x:alignment horizontal="right" vertical="center"/>
    </x:xf>
    <x:xf numFmtId="165" fontId="12" fillId="3" borderId="0" xfId="0" applyAlignment="1">
      <x:alignment horizontal="right" vertical="center"/>
    </x:xf>
    <x:xf numFmtId="166" fontId="12" fillId="3" borderId="0" xfId="0" applyAlignment="1">
      <x:alignment horizontal="right" vertical="center"/>
    </x:xf>
    <x:xf numFmtId="170" fontId="12" fillId="12" borderId="0" xfId="0" applyAlignment="1">
      <x:alignment horizontal="right" vertical="center"/>
    </x:xf>
    <x:xf numFmtId="166" fontId="12" fillId="8" borderId="0" xfId="0" applyAlignment="1">
      <x:alignment horizontal="right" vertical="center"/>
    </x:xf>
    <x:xf numFmtId="166" fontId="12" fillId="12" borderId="0" xfId="0" applyAlignment="1">
      <x:alignment horizontal="right" vertical="center"/>
    </x:xf>
    <x:xf numFmtId="0" fontId="7" fillId="4" borderId="1" xfId="0" applyAlignment="1">
      <x:alignment vertical="center" wrapText="1"/>
    </x:xf>
    <x:xf numFmtId="0" fontId="0" fillId="0" borderId="2" xfId="0" applyAlignment="1">
      <x:alignment vertical="top" wrapText="1"/>
    </x:xf>
    <x:xf numFmtId="0" fontId="6" fillId="6" borderId="2" xfId="0" applyAlignment="1">
      <x:alignment vertical="top" wrapText="1"/>
    </x:xf>
    <x:xf numFmtId="0" fontId="0" fillId="5" borderId="2" xfId="0" applyAlignment="1">
      <x:alignment vertical="top" wrapText="1"/>
    </x:xf>
    <x:xf numFmtId="166" fontId="0" fillId="5" borderId="2" xfId="0" applyAlignment="1">
      <x:alignment vertical="top" wrapText="1"/>
    </x:xf>
    <x:xf numFmtId="166" fontId="0" fillId="0" borderId="2" xfId="0" applyAlignment="1">
      <x:alignment vertical="top" wrapText="1"/>
    </x:xf>
    <x:xf numFmtId="0" fontId="13" fillId="0" borderId="0" xfId="0"/>
    <x:xf numFmtId="0" fontId="6" fillId="6" borderId="0" xfId="0" applyAlignment="1">
      <x:alignment vertical="top" wrapText="1"/>
    </x:xf>
    <x:xf numFmtId="165" fontId="6" fillId="6" borderId="2" xfId="0" applyAlignment="1">
      <x:alignment vertical="top" wrapText="1"/>
    </x:xf>
    <x:xf numFmtId="167" fontId="5" fillId="0" borderId="2" xfId="0" applyAlignment="1">
      <x:alignment vertical="top" wrapText="1"/>
    </x:xf>
    <x:xf numFmtId="166" fontId="6" fillId="6" borderId="2" xfId="0" applyAlignment="1">
      <x:alignment vertical="top" wrapText="1"/>
    </x:xf>
    <x:xf numFmtId="167" fontId="5" fillId="5" borderId="2" xfId="0" applyAlignment="1">
      <x:alignment vertical="top" wrapText="1"/>
    </x:xf>
    <x:xf numFmtId="0" fontId="7" fillId="7" borderId="1" xfId="0" applyAlignment="1">
      <x:alignment vertical="center" wrapText="1"/>
    </x:xf>
    <x:xf numFmtId="165" fontId="5" fillId="0" borderId="2" xfId="0" applyAlignment="1">
      <x:alignment vertical="top" wrapText="1"/>
    </x:xf>
    <x:xf numFmtId="167" fontId="6" fillId="6" borderId="2" xfId="0" applyAlignment="1">
      <x:alignment vertical="top" wrapText="1"/>
    </x:xf>
    <x:xf numFmtId="167" fontId="5" fillId="10" borderId="2" xfId="0" applyAlignment="1">
      <x:alignment vertical="top" wrapText="1"/>
    </x:xf>
    <x:xf numFmtId="166" fontId="5" fillId="10" borderId="2" xfId="0" applyAlignment="1">
      <x:alignment vertical="top" wrapText="1"/>
    </x:xf>
    <x:xf numFmtId="166" fontId="8" fillId="9" borderId="2" xfId="0" applyAlignment="1">
      <x:alignment vertical="top" wrapText="1"/>
    </x:xf>
    <x:xf numFmtId="165" fontId="5" fillId="5" borderId="2" xfId="0" applyAlignment="1">
      <x:alignment vertical="top" wrapText="1"/>
    </x:xf>
    <x:xf numFmtId="0" fontId="9" fillId="0" borderId="2" xfId="0" applyAlignment="1">
      <x:alignment vertical="top" wrapText="1"/>
    </x:xf>
    <x:xf numFmtId="165" fontId="9" fillId="0" borderId="2" xfId="0" applyAlignment="1">
      <x:alignment vertical="top" wrapText="1"/>
    </x:xf>
    <x:xf numFmtId="0" fontId="9" fillId="5" borderId="2" xfId="0" applyAlignment="1">
      <x:alignment vertical="top" wrapText="1"/>
    </x:xf>
    <x:xf numFmtId="165" fontId="9" fillId="5" borderId="2" xfId="0" applyAlignment="1">
      <x:alignment vertical="top" wrapText="1"/>
    </x:xf>
    <x:xf numFmtId="166" fontId="10" fillId="3" borderId="0" xfId="0" applyAlignment="1">
      <x:alignment horizontal="center" vertical="center"/>
    </x:xf>
    <x:xf numFmtId="170" fontId="10" fillId="8" borderId="0" xfId="0" applyAlignment="1">
      <x:alignment horizontal="center" vertical="center"/>
    </x:xf>
    <x:xf numFmtId="168" fontId="10" fillId="3" borderId="0" xfId="0" applyAlignment="1">
      <x:alignment horizontal="center" vertical="center"/>
    </x:xf>
    <x:xf numFmtId="166" fontId="10" fillId="8" borderId="0" xfId="0" applyAlignment="1">
      <x:alignment horizontal="center" vertical="center"/>
    </x:xf>
    <x:xf numFmtId="0" fontId="7" fillId="2" borderId="1" xfId="0" applyAlignment="1">
      <x:alignment vertical="center" wrapText="1"/>
    </x:xf>
    <x:xf numFmtId="170" fontId="5" fillId="10" borderId="2" xfId="0" applyAlignment="1">
      <x:alignment vertical="top" wrapText="1"/>
    </x:xf>
    <x:xf numFmtId="169" fontId="6" fillId="6" borderId="2" xfId="0" applyAlignment="1">
      <x:alignment vertical="top" wrapText="1"/>
    </x:xf>
    <x:xf numFmtId="2" fontId="6" fillId="6" borderId="2" xfId="0" applyAlignment="1">
      <x:alignment vertical="top" wrapText="1"/>
    </x:xf>
    <x:xf numFmtId="168" fontId="5" fillId="8" borderId="2" xfId="0" applyAlignment="1">
      <x:alignment vertical="top" wrapText="1"/>
    </x:xf>
    <x:xf numFmtId="170" fontId="6" fillId="6" borderId="2" xfId="0" applyAlignment="1">
      <x:alignment vertical="top" wrapText="1"/>
    </x:xf>
    <x:xf numFmtId="168" fontId="5" fillId="3" borderId="2" xfId="0" applyAlignment="1">
      <x:alignment vertical="top" wrapText="1"/>
    </x:xf>
  </x:cellXfs>
  <x:cellStyles count="1">
    <x:cellStyle name="Normal" xfId="0"/>
  </x:cellStyles>
  <x:dxfs count="4">
    <x:dxf>
      <x:font>
        <x:b/>
        <x:color rgb="0014804A"/>
      </x:font>
      <x:fill>
        <x:patternFill>
          <x:bgColor rgb="00DCFCE7"/>
        </x:patternFill>
      </x:fill>
    </x:dxf>
    <x:dxf>
      <x:font>
        <x:b/>
        <x:color rgb="00EA580C"/>
      </x:font>
      <x:fill>
        <x:patternFill>
          <x:bgColor rgb="00FEF3C7"/>
        </x:patternFill>
      </x:fill>
    </x:dxf>
    <x:dxf>
      <x:font>
        <x:b/>
        <x:color rgb="00B91C1C"/>
      </x:font>
      <x:fill>
        <x:patternFill>
          <x:bgColor rgb="00FEE2E2"/>
        </x:patternFill>
      </x:fill>
    </x:dxf>
    <x:dxf>
      <x:font>
        <x:b/>
        <x:color rgb="00EA580C"/>
      </x:font>
      <x:fill>
        <x:patternFill>
          <x:bgColor rgb="00FFEDD5"/>
        </x:patternFill>
      </x:fill>
    </x:dxf>
  </x:dxfs>
  <x:colors>
    <x:indexedColors>
      <x:rgbColor rgb="00000000"/>
      <x:rgbColor rgb="00FFFFFF"/>
      <x:rgbColor rgb="00FF0000"/>
      <x:rgbColor rgb="0000FF00"/>
      <x:rgbColor rgb="000000FF"/>
      <x:rgbColor rgb="00FFFF00"/>
      <x:rgbColor rgb="00FF00FF"/>
      <x:rgbColor rgb="0000FFFF"/>
      <x:rgbColor rgb="00000000"/>
      <x:rgbColor rgb="00FFFFFF"/>
      <x:rgbColor rgb="00FF0000"/>
      <x:rgbColor rgb="0000FF00"/>
      <x:rgbColor rgb="000000FF"/>
      <x:rgbColor rgb="00FFFF00"/>
      <x:rgbColor rgb="00FF00FF"/>
      <x:rgbColor rgb="0000FFFF"/>
      <x:rgbColor rgb="00800000"/>
      <x:rgbColor rgb="00008000"/>
      <x:rgbColor rgb="00000080"/>
      <x:rgbColor rgb="00808000"/>
      <x:rgbColor rgb="00800080"/>
      <x:rgbColor rgb="00008080"/>
      <x:rgbColor rgb="00C0C0C0"/>
      <x:rgbColor rgb="00808080"/>
      <x:rgbColor rgb="009999FF"/>
      <x:rgbColor rgb="00993366"/>
      <x:rgbColor rgb="00FFFFCC"/>
      <x:rgbColor rgb="00CCFFFF"/>
      <x:rgbColor rgb="00660066"/>
      <x:rgbColor rgb="00FF8080"/>
      <x:rgbColor rgb="000066CC"/>
      <x:rgbColor rgb="00CCCCFF"/>
      <x:rgbColor rgb="00000080"/>
      <x:rgbColor rgb="00FF00FF"/>
      <x:rgbColor rgb="00FFFF00"/>
      <x:rgbColor rgb="0000FFFF"/>
      <x:rgbColor rgb="00800080"/>
      <x:rgbColor rgb="00800000"/>
      <x:rgbColor rgb="00008080"/>
      <x:rgbColor rgb="000000FF"/>
      <x:rgbColor rgb="0000CCFF"/>
      <x:rgbColor rgb="00CCFFFF"/>
      <x:rgbColor rgb="00CCFFCC"/>
      <x:rgbColor rgb="00FFFF99"/>
      <x:rgbColor rgb="0099CCFF"/>
      <x:rgbColor rgb="00FF99CC"/>
      <x:rgbColor rgb="00CC99FF"/>
      <x:rgbColor rgb="00FFCC99"/>
      <x:rgbColor rgb="003366FF"/>
      <x:rgbColor rgb="0033CCCC"/>
      <x:rgbColor rgb="0099CC00"/>
      <x:rgbColor rgb="00FFCC00"/>
      <x:rgbColor rgb="00FF9900"/>
      <x:rgbColor rgb="00FF6600"/>
      <x:rgbColor rgb="00666699"/>
      <x:rgbColor rgb="00969696"/>
      <x:rgbColor rgb="00003366"/>
      <x:rgbColor rgb="00339966"/>
      <x:rgbColor rgb="00003300"/>
      <x:rgbColor rgb="00333300"/>
      <x:rgbColor rgb="00993300"/>
      <x:rgbColor rgb="00993366"/>
      <x:rgbColor rgb="00333399"/>
      <x:rgbColor rgb="00333333"/>
    </x:indexedColors>
  </x:color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2c31ba821dee4a5d" /><Relationship Type="http://schemas.openxmlformats.org/officeDocument/2006/relationships/theme" Target="/xl/theme/theme1.xml" Id="R7c33d8daee804d7d" /><Relationship Type="http://schemas.openxmlformats.org/officeDocument/2006/relationships/sharedStrings" Target="/xl/sharedStrings.xml" Id="R4cf25ca8566440ae" /><Relationship Type="http://schemas.openxmlformats.org/officeDocument/2006/relationships/worksheet" Target="/xl/worksheets/sheet1.xml" Id="R4da6675386124379" /><Relationship Type="http://schemas.openxmlformats.org/officeDocument/2006/relationships/worksheet" Target="/xl/worksheets/sheet2.xml" Id="Rd0822e8fb88d417f" /><Relationship Type="http://schemas.openxmlformats.org/officeDocument/2006/relationships/worksheet" Target="/xl/worksheets/sheet3.xml" Id="R1ce33c8345ca4ab6" /><Relationship Type="http://schemas.openxmlformats.org/officeDocument/2006/relationships/worksheet" Target="/xl/worksheets/sheet4.xml" Id="Rb960ffbcd2274436" /><Relationship Type="http://schemas.openxmlformats.org/officeDocument/2006/relationships/worksheet" Target="/xl/worksheets/sheet5.xml" Id="R62d80d4fc0dc4612" /><Relationship Type="http://schemas.openxmlformats.org/officeDocument/2006/relationships/worksheet" Target="/xl/worksheets/sheet6.xml" Id="R3bd701f171454144" /><Relationship Type="http://schemas.openxmlformats.org/officeDocument/2006/relationships/worksheet" Target="/xl/worksheets/sheet7.xml" Id="R2374d1a1095b4ddf" /><Relationship Type="http://schemas.openxmlformats.org/officeDocument/2006/relationships/worksheet" Target="/xl/worksheets/sheet8.xml" Id="Rfd1289d7ad2b4258" /><Relationship Type="http://schemas.microsoft.com/office/2017/10/relationships/person" Target="/xl/persons/person.xml" Id="R1d2ad8fd0c4d4555" /></Relationships>
</file>

<file path=xl/persons/person.xml><?xml version="1.0" encoding="utf-8"?>
<xltc:personList xmlns:xltc="http://schemas.microsoft.com/office/spreadsheetml/2018/threadedcomments">
  <xltc:person displayName="OpenAI" id="{C7BC5959-48AE-75B1-F917-892F6C375B5D}"/>
</xltc:personList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>
          <a:solidFill>
            <a:schemeClr val="phClr">
              <a:shade val="95000"/>
              <a:satMod val="105000"/>
            </a:schemeClr>
          </a:solidFill>
          <a:prstDash val="solid"/>
        </a:ln>
        <a:ln w="25400">
          <a:solidFill>
            <a:schemeClr val="phClr"/>
          </a:solidFill>
          <a:prstDash val="solid"/>
        </a:ln>
        <a:ln w="38100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</a:theme>
</file>

<file path=xl/worksheets/_rels/sheet8.xml.rels>&#65279;<?xml version="1.0" encoding="utf-8"?><Relationships xmlns="http://schemas.openxmlformats.org/package/2006/relationships"><Relationship Type="http://schemas.openxmlformats.org/officeDocument/2006/relationships/comments" Target="/xl/comments1.xml" Id="R075298d1be4f4405" /><Relationship Type="http://schemas.openxmlformats.org/officeDocument/2006/relationships/vmlDrawing" Target="/xl/drawings/vmldrawing.vml" Id="R3310d6015f0f4e54" /></Relationships>
</file>

<file path=xl/worksheets/sheet1.xml><?xml version="1.0" encoding="utf-8"?>
<worksheet xmlns="http://schemas.openxmlformats.org/spreadsheetml/2006/main">
  <sheetPr>
    <tabColor rgb="00102A43"/>
  </sheetPr>
  <sheetViews>
    <sheetView showGridLines="0" zoomScale="90" workbookViewId="0">
      <pane ySplit="4" topLeftCell="A5" activePane="bottomLeft" state="frozen"/>
      <selection pane="bottomLeft" activeCell="A1" sqref="A1"/>
    </sheetView>
  </sheetViews>
  <sheetFormatPr baseColWidth="8" defaultRowHeight="15"/>
  <cols>
    <col min="1" max="1" width="22" customWidth="1"/>
    <col min="2" max="2" width="20" customWidth="1"/>
    <col min="3" max="3" width="18" customWidth="1"/>
    <col min="4" max="4" width="18" customWidth="1"/>
    <col min="5" max="5" width="18" customWidth="1"/>
    <col min="6" max="6" width="18" customWidth="1"/>
    <col min="7" max="7" width="18" customWidth="1"/>
    <col min="8" max="8" width="16" customWidth="1"/>
    <col min="9" max="9" width="16" customWidth="1"/>
    <col min="10" max="10" width="16" customWidth="1"/>
  </cols>
  <sheetData>
    <row r="1" ht="30" customHeight="1">
      <c r="A1" s="1" t="inlineStr">
        <is>
          <t xml:space="preserve">MSAFIRI SIMPLE FOUNDER TRACKER</t>
        </is>
      </c>
    </row>
    <row r="2" ht="34" customHeight="1">
      <c r="A2" s="2" t="inlineStr">
        <is>
          <t xml:space="preserve">A calm daily-use version of the full Founder OS. Keep the detailed workbook as a reference library; run the business from this one.</t>
        </is>
      </c>
    </row>
    <row r="4" ht="23" customHeight="1">
      <c r="A4" s="3" t="inlineStr">
        <is>
          <t xml:space="preserve">Use only this routine</t>
        </is>
      </c>
    </row>
    <row r="5" ht="36" customHeight="1">
      <c r="A5" s="4" t="inlineStr">
        <is>
          <t xml:space="preserve">When</t>
        </is>
      </c>
      <c r="B5" s="4" t="inlineStr">
        <is>
          <t xml:space="preserve">Open</t>
        </is>
      </c>
      <c r="C5" s="4" t="inlineStr">
        <is>
          <t xml:space="preserve">Do this</t>
        </is>
      </c>
    </row>
    <row r="6" ht="35" customHeight="1">
      <c r="A6" s="5" t="inlineStr">
        <is>
          <t xml:space="preserve">Every Friday</t>
        </is>
      </c>
      <c r="B6" s="5" t="inlineStr">
        <is>
          <t xml:space="preserve">SETTINGS → THIS WEEK</t>
        </is>
      </c>
      <c r="C6" s="5" t="inlineStr">
        <is>
          <t xml:space="preserve">Increase Current operating week by one, log the KES 10,000 only after it arrives, and choose one main goal.</t>
        </is>
      </c>
      <c r="D6" s="5" t="n"/>
      <c r="E6" s="5" t="n"/>
      <c r="F6" s="5" t="n"/>
      <c r="G6" s="5" t="n"/>
      <c r="H6" s="5" t="n"/>
      <c r="I6" s="5" t="n"/>
      <c r="J6" s="5" t="n"/>
    </row>
    <row r="7" ht="35" customHeight="1">
      <c r="A7" s="6" t="inlineStr">
        <is>
          <t xml:space="preserve">Whenever money moves</t>
        </is>
      </c>
      <c r="B7" s="6" t="inlineStr">
        <is>
          <t xml:space="preserve">MONEY</t>
        </is>
      </c>
      <c r="C7" s="6" t="inlineStr">
        <is>
          <t xml:space="preserve">Log the actual transaction once. Do not put planned spending in the money log.</t>
        </is>
      </c>
      <c r="D7" s="6" t="n"/>
      <c r="E7" s="6" t="n"/>
      <c r="F7" s="6" t="n"/>
      <c r="G7" s="6" t="n"/>
      <c r="H7" s="6" t="n"/>
      <c r="I7" s="6" t="n"/>
      <c r="J7" s="6" t="n"/>
    </row>
    <row r="8" ht="35" customHeight="1">
      <c r="A8" s="5" t="inlineStr">
        <is>
          <t xml:space="preserve">Every Friday</t>
        </is>
      </c>
      <c r="B8" s="5" t="inlineStr">
        <is>
          <t xml:space="preserve">USERS &amp; REVENUE</t>
        </is>
      </c>
      <c r="C8" s="5" t="inlineStr">
        <is>
          <t xml:space="preserve">Enter downloads, new paid users, cancellations, sales, fees, refunds and user conversations.</t>
        </is>
      </c>
      <c r="D8" s="5" t="n"/>
      <c r="E8" s="5" t="n"/>
      <c r="F8" s="5" t="n"/>
      <c r="G8" s="5" t="n"/>
      <c r="H8" s="5" t="n"/>
      <c r="I8" s="5" t="n"/>
      <c r="J8" s="5" t="n"/>
    </row>
    <row r="9" ht="35" customHeight="1">
      <c r="A9" s="6" t="inlineStr">
        <is>
          <t xml:space="preserve">For each post</t>
        </is>
      </c>
      <c r="B9" s="6" t="inlineStr">
        <is>
          <t xml:space="preserve">CONTENT</t>
        </is>
      </c>
      <c r="C9" s="6" t="inlineStr">
        <is>
          <t xml:space="preserve">Update the four scheduled content slots: topic, status, results and learning.</t>
        </is>
      </c>
      <c r="D9" s="6" t="n"/>
      <c r="E9" s="6" t="n"/>
      <c r="F9" s="6" t="n"/>
      <c r="G9" s="6" t="n"/>
      <c r="H9" s="6" t="n"/>
      <c r="I9" s="6" t="n"/>
      <c r="J9" s="6" t="n"/>
    </row>
    <row r="10" ht="35" customHeight="1">
      <c r="A10" s="5" t="inlineStr">
        <is>
          <t xml:space="preserve">For each drive</t>
        </is>
      </c>
      <c r="B10" s="5" t="inlineStr">
        <is>
          <t xml:space="preserve">FIELD &amp; FUEL</t>
        </is>
      </c>
      <c r="C10" s="5" t="inlineStr">
        <is>
          <t xml:space="preserve">Record route, kilometres, verified records, clips and evidence. Log the real payment separately in MONEY.</t>
        </is>
      </c>
      <c r="D10" s="5" t="n"/>
      <c r="E10" s="5" t="n"/>
      <c r="F10" s="5" t="n"/>
      <c r="G10" s="5" t="n"/>
      <c r="H10" s="5" t="n"/>
      <c r="I10" s="5" t="n"/>
      <c r="J10" s="5" t="n"/>
    </row>
    <row r="11" ht="35" customHeight="1">
      <c r="A11" s="6" t="inlineStr">
        <is>
          <t xml:space="preserve">Whenever work appears</t>
        </is>
      </c>
      <c r="B11" s="6" t="inlineStr">
        <is>
          <t xml:space="preserve">TASKS</t>
        </is>
      </c>
      <c r="C11" s="6" t="inlineStr">
        <is>
          <t xml:space="preserve">Keep one list. Do P0 first; do not start five things at once.</t>
        </is>
      </c>
      <c r="D11" s="6" t="n"/>
      <c r="E11" s="6" t="n"/>
      <c r="F11" s="6" t="n"/>
      <c r="G11" s="6" t="n"/>
      <c r="H11" s="6" t="n"/>
      <c r="I11" s="6" t="n"/>
      <c r="J11" s="6" t="n"/>
    </row>
    <row r="14" ht="23" customHeight="1">
      <c r="A14" s="7" t="inlineStr">
        <is>
          <t xml:space="preserve">First KES 10,000 — suggested protected allocation</t>
        </is>
      </c>
    </row>
    <row r="15" ht="36" customHeight="1">
      <c r="A15" s="8" t="inlineStr">
        <is>
          <t xml:space="preserve">Priority</t>
        </is>
      </c>
      <c r="B15" s="8" t="inlineStr">
        <is>
          <t xml:space="preserve">Suggested KES</t>
        </is>
      </c>
      <c r="C15" s="8" t="inlineStr">
        <is>
          <t xml:space="preserve">Reason</t>
        </is>
      </c>
    </row>
    <row r="16" ht="30" customHeight="1">
      <c r="A16" s="5" t="inlineStr">
        <is>
          <t xml:space="preserve">Replit monthly hosting</t>
        </is>
      </c>
      <c r="B16" s="9" t="n">
        <f>SETTINGS!$B$24</f>
        <v>2587.2000000000003</v>
      </c>
      <c r="C16" s="5" t="inlineStr">
        <is>
          <t xml:space="preserve">Protect uptime before reach.</t>
        </is>
      </c>
      <c r="D16" s="5" t="n"/>
      <c r="E16" s="5" t="n"/>
      <c r="F16" s="5" t="n"/>
      <c r="G16" s="5" t="n"/>
      <c r="H16" s="5" t="n"/>
      <c r="I16" s="5" t="n"/>
      <c r="J16" s="5" t="n"/>
    </row>
    <row r="17" ht="30" customHeight="1">
      <c r="A17" s="6" t="inlineStr">
        <is>
          <t xml:space="preserve">Fuel and fieldwork</t>
        </is>
      </c>
      <c r="B17" s="9" t="n">
        <f>SETTINGS!$B$35</f>
        <v>2500</v>
      </c>
      <c r="C17" s="6" t="inlineStr">
        <is>
          <t xml:space="preserve">One purposeful trip should create verified road data and reusable content.</t>
        </is>
      </c>
      <c r="D17" s="6" t="n"/>
      <c r="E17" s="6" t="n"/>
      <c r="F17" s="6" t="n"/>
      <c r="G17" s="6" t="n"/>
      <c r="H17" s="6" t="n"/>
      <c r="I17" s="6" t="n"/>
      <c r="J17" s="6" t="n"/>
    </row>
    <row r="18" ht="30" customHeight="1">
      <c r="A18" s="5" t="inlineStr">
        <is>
          <t xml:space="preserve">Product / data</t>
        </is>
      </c>
      <c r="B18" s="9" t="n">
        <f>SETTINGS!$B$40</f>
        <v>750</v>
      </c>
      <c r="C18" s="5" t="inlineStr">
        <is>
          <t xml:space="preserve">Only reliability, subscriptions, analytics or road-data work.</t>
        </is>
      </c>
      <c r="D18" s="5" t="n"/>
      <c r="E18" s="5" t="n"/>
      <c r="F18" s="5" t="n"/>
      <c r="G18" s="5" t="n"/>
      <c r="H18" s="5" t="n"/>
      <c r="I18" s="5" t="n"/>
      <c r="J18" s="5" t="n"/>
    </row>
    <row r="19" ht="30" customHeight="1">
      <c r="A19" s="6" t="inlineStr">
        <is>
          <t xml:space="preserve">Content production</t>
        </is>
      </c>
      <c r="B19" s="9" t="n">
        <f>SETTINGS!$B$41</f>
        <v>750</v>
      </c>
      <c r="C19" s="6" t="inlineStr">
        <is>
          <t xml:space="preserve">Phone-first; spend only where it improves output or trust.</t>
        </is>
      </c>
      <c r="D19" s="6" t="n"/>
      <c r="E19" s="6" t="n"/>
      <c r="F19" s="6" t="n"/>
      <c r="G19" s="6" t="n"/>
      <c r="H19" s="6" t="n"/>
      <c r="I19" s="6" t="n"/>
      <c r="J19" s="6" t="n"/>
    </row>
    <row r="20" ht="30" customHeight="1">
      <c r="A20" s="5" t="inlineStr">
        <is>
          <t xml:space="preserve">Admin / other</t>
        </is>
      </c>
      <c r="B20" s="9" t="n">
        <f>SETTINGS!$B$42</f>
        <v>400</v>
      </c>
      <c r="C20" s="5" t="inlineStr">
        <is>
          <t xml:space="preserve">Support and small necessary operating costs.</t>
        </is>
      </c>
      <c r="D20" s="5" t="n"/>
      <c r="E20" s="5" t="n"/>
      <c r="F20" s="5" t="n"/>
      <c r="G20" s="5" t="n"/>
      <c r="H20" s="5" t="n"/>
      <c r="I20" s="5" t="n"/>
      <c r="J20" s="5" t="n"/>
    </row>
    <row r="21" ht="30" customHeight="1">
      <c r="A21" s="6" t="inlineStr">
        <is>
          <t xml:space="preserve">Reserve transfer</t>
        </is>
      </c>
      <c r="B21" s="9" t="n">
        <f>MAX(0,MIN(SETTINGS!$B$43,SETTINGS!$B$8-SUM(B16:B20)-SETTINGS!$B$44))</f>
        <v>512.7999999999993</v>
      </c>
      <c r="C21" s="6" t="inlineStr">
        <is>
          <t xml:space="preserve">Only after protected costs and the cash floor.</t>
        </is>
      </c>
      <c r="D21" s="6" t="n"/>
      <c r="E21" s="6" t="n"/>
      <c r="F21" s="6" t="n"/>
      <c r="G21" s="6" t="n"/>
      <c r="H21" s="6" t="n"/>
      <c r="I21" s="6" t="n"/>
      <c r="J21" s="6" t="n"/>
    </row>
    <row r="22" ht="30" customHeight="1">
      <c r="A22" s="5" t="inlineStr">
        <is>
          <t xml:space="preserve">Cash buffer left</t>
        </is>
      </c>
      <c r="B22" s="10" t="n">
        <f>SETTINGS!$B$8-SUM(B16:B21)</f>
        <v>2500</v>
      </c>
      <c r="C22" s="5" t="inlineStr">
        <is>
          <t xml:space="preserve">Keep this available for surprises and the next operating decision.</t>
        </is>
      </c>
      <c r="D22" s="5" t="n"/>
      <c r="E22" s="5" t="n"/>
      <c r="F22" s="5" t="n"/>
      <c r="G22" s="5" t="n"/>
      <c r="H22" s="5" t="n"/>
      <c r="I22" s="5" t="n"/>
      <c r="J22" s="5" t="n"/>
    </row>
    <row r="25" ht="23" customHeight="1">
      <c r="A25" s="11" t="inlineStr">
        <is>
          <t xml:space="preserve">Current snapshot</t>
        </is>
      </c>
    </row>
    <row r="26" ht="22" customHeight="1">
      <c r="A26" s="12" t="inlineStr">
        <is>
          <t xml:space="preserve">Operating week</t>
        </is>
      </c>
      <c r="C26" s="12" t="inlineStr">
        <is>
          <t xml:space="preserve">Funding Friday</t>
        </is>
      </c>
      <c r="E26" s="12" t="inlineStr">
        <is>
          <t xml:space="preserve">Operating cash now</t>
        </is>
      </c>
      <c r="G26" s="12" t="inlineStr">
        <is>
          <t xml:space="preserve">Reserve balance</t>
        </is>
      </c>
    </row>
    <row r="27" ht="24" customHeight="1">
      <c r="A27" s="13" t="n">
        <f>SETTINGS!$B$7</f>
        <v>1</v>
      </c>
      <c r="C27" s="14" t="n">
        <f>SETTINGS!$B$6+7*(SETTINGS!$B$7-1)</f>
        <v>46248</v>
      </c>
      <c r="E27" s="15" t="n">
        <f>'THIS WEEK'!$B$13</f>
        <v>0</v>
      </c>
      <c r="G27" s="15" t="n">
        <f>'THIS WEEK'!$B$14</f>
        <v>0</v>
      </c>
    </row>
    <row r="28" ht="18" customHeight="1"/>
    <row r="30" ht="22" customHeight="1">
      <c r="A30" s="12" t="inlineStr">
        <is>
          <t xml:space="preserve">Total downloads</t>
        </is>
      </c>
      <c r="C30" s="12" t="inlineStr">
        <is>
          <t xml:space="preserve">Active paid</t>
        </is>
      </c>
      <c r="E30" s="12" t="inlineStr">
        <is>
          <t xml:space="preserve">Posts this week</t>
        </is>
      </c>
      <c r="G30" s="12" t="inlineStr">
        <is>
          <t xml:space="preserve">Verified records</t>
        </is>
      </c>
    </row>
    <row r="31" ht="24" customHeight="1">
      <c r="A31" s="16" t="n">
        <f>'THIS WEEK'!$F$6</f>
        <v>0</v>
      </c>
      <c r="C31" s="16" t="n">
        <f>'THIS WEEK'!$F$9</f>
        <v>0</v>
      </c>
      <c r="E31" s="16" t="n">
        <f>'THIS WEEK'!$J$5</f>
        <v>0</v>
      </c>
      <c r="G31" s="16" t="n">
        <f>'THIS WEEK'!$J$10</f>
        <v>0</v>
      </c>
    </row>
    <row r="32" ht="18" customHeight="1"/>
    <row r="34" ht="23" customHeight="1">
      <c r="A34" s="17" t="inlineStr">
        <is>
          <t xml:space="preserve">Do not complicate the business yet</t>
        </is>
      </c>
    </row>
    <row r="35" ht="31" customHeight="1">
      <c r="A35" s="18" t="inlineStr">
        <is>
          <t xml:space="preserve">1.</t>
        </is>
      </c>
      <c r="B35" s="19" t="inlineStr">
        <is>
          <t xml:space="preserve">No office now. Work remotely until revenue and the actual work create a clear need.</t>
        </is>
      </c>
    </row>
    <row r="36" ht="31" customHeight="1">
      <c r="A36" s="18" t="inlineStr">
        <is>
          <t xml:space="preserve">2.</t>
        </is>
      </c>
      <c r="B36" s="19" t="inlineStr">
        <is>
          <t xml:space="preserve">No full-time employee now. Use the founder, automation and only tightly scoped paid help after a clear bottleneck appears.</t>
        </is>
      </c>
    </row>
    <row r="37" ht="31" customHeight="1">
      <c r="A37" s="18" t="inlineStr">
        <is>
          <t xml:space="preserve">3.</t>
        </is>
      </c>
      <c r="B37" s="19" t="inlineStr">
        <is>
          <t xml:space="preserve">No broad ads or random influencer payments. First prove which message produces installs, paid users and retention organically.</t>
        </is>
      </c>
    </row>
    <row r="38" ht="31" customHeight="1">
      <c r="A38" s="18" t="inlineStr">
        <is>
          <t xml:space="preserve">4.</t>
        </is>
      </c>
      <c r="B38" s="19" t="inlineStr">
        <is>
          <t xml:space="preserve">Every field trip must produce at least two outputs: verified evidence plus content, user learning or product testing.</t>
        </is>
      </c>
    </row>
    <row r="39" ht="31" customHeight="1">
      <c r="A39" s="18" t="inlineStr">
        <is>
          <t xml:space="preserve">5.</t>
        </is>
      </c>
      <c r="B39" s="19" t="inlineStr">
        <is>
          <t xml:space="preserve">The full Founder OS is the reference library. This simple tracker is the file to update every week.</t>
        </is>
      </c>
    </row>
  </sheetData>
  <mergeCells>
    <mergeCell ref="A30:B30"/>
    <mergeCell ref="A14:J14"/>
    <mergeCell ref="G26:J26"/>
    <mergeCell ref="C30:D30"/>
    <mergeCell ref="C6:J6"/>
    <mergeCell ref="C31:D32"/>
    <mergeCell ref="E31:F32"/>
    <mergeCell ref="A4:J4"/>
    <mergeCell ref="E27:F28"/>
    <mergeCell ref="C26:D26"/>
    <mergeCell ref="B38:J38"/>
    <mergeCell ref="C27:D28"/>
    <mergeCell ref="B37:J37"/>
    <mergeCell ref="C20:J20"/>
    <mergeCell ref="C10:J10"/>
    <mergeCell ref="C16:J16"/>
    <mergeCell ref="A34:J34"/>
    <mergeCell ref="C22:J22"/>
    <mergeCell ref="C9:J9"/>
    <mergeCell ref="A1:J1"/>
    <mergeCell ref="A26:B26"/>
    <mergeCell ref="E30:F30"/>
    <mergeCell ref="C21:J21"/>
    <mergeCell ref="C11:J11"/>
    <mergeCell ref="B36:J36"/>
    <mergeCell ref="A31:B32"/>
    <mergeCell ref="B35:J35"/>
    <mergeCell ref="E26:F26"/>
    <mergeCell ref="A25:J25"/>
    <mergeCell ref="C8:J8"/>
    <mergeCell ref="C17:J17"/>
    <mergeCell ref="C7:J7"/>
    <mergeCell ref="G27:J28"/>
    <mergeCell ref="G30:J30"/>
    <mergeCell ref="C19:J19"/>
    <mergeCell ref="A2:J2"/>
    <mergeCell ref="G31:J32"/>
    <mergeCell ref="A27:B28"/>
    <mergeCell ref="B39:J39"/>
    <mergeCell ref="C18:J18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>
  <sheetPr>
    <tabColor rgb="00EA580C"/>
  </sheetPr>
  <sheetViews>
    <sheetView showGridLines="0" zoomScale="90" workbookViewId="0">
      <pane ySplit="3" topLeftCell="A4" activePane="bottomLeft" state="frozen"/>
      <selection pane="bottomLeft" activeCell="A1" sqref="A1"/>
    </sheetView>
  </sheetViews>
  <sheetFormatPr baseColWidth="8" defaultRowHeight="15"/>
  <cols>
    <col min="1" max="1" width="24" customWidth="1"/>
    <col min="2" max="2" width="18" customWidth="1"/>
    <col min="3" max="3" width="12" customWidth="1"/>
    <col min="4" max="4" width="12" customWidth="1"/>
    <col min="5" max="5" width="23" customWidth="1"/>
    <col min="6" max="6" width="18" customWidth="1"/>
    <col min="7" max="7" width="12" customWidth="1"/>
    <col min="8" max="8" width="12" customWidth="1"/>
    <col min="9" max="9" width="23" customWidth="1"/>
    <col min="10" max="10" width="18" customWidth="1"/>
    <col min="11" max="11" width="12" customWidth="1"/>
    <col min="12" max="12" width="12" customWidth="1"/>
  </cols>
  <sheetData>
    <row r="1" ht="30" customHeight="1">
      <c r="A1" s="1" t="inlineStr">
        <is>
          <t xml:space="preserve">THIS WEEK</t>
        </is>
      </c>
    </row>
    <row r="2" ht="34" customHeight="1">
      <c r="A2" s="2" t="inlineStr">
        <is>
          <t xml:space="preserve">Open this every Friday. Track cash, live-app results and only seven required outcomes.</t>
        </is>
      </c>
    </row>
    <row r="4" ht="23" customHeight="1">
      <c r="A4" s="11" t="inlineStr">
        <is>
          <t xml:space="preserve">Cash</t>
        </is>
      </c>
      <c r="E4" s="7" t="inlineStr">
        <is>
          <t xml:space="preserve">Live app and revenue</t>
        </is>
      </c>
      <c r="I4" s="17" t="inlineStr">
        <is>
          <t xml:space="preserve">Execution</t>
        </is>
      </c>
    </row>
    <row r="5">
      <c r="A5" s="20" t="inlineStr">
        <is>
          <t xml:space="preserve">Operating week</t>
        </is>
      </c>
      <c r="B5" s="21" t="n">
        <f>SETTINGS!$B$7</f>
        <v>1</v>
      </c>
      <c r="E5" s="20" t="inlineStr">
        <is>
          <t xml:space="preserve">New downloads</t>
        </is>
      </c>
      <c r="F5" s="22" t="str">
        <f>INDEX('USERS &amp; REVENUE'!$C$5:$C$28,MATCH(SETTINGS!$B$7,'USERS &amp; REVENUE'!$A$5:$A$28,0))</f>
      </c>
      <c r="I5" s="20" t="inlineStr">
        <is>
          <t xml:space="preserve">Posts published</t>
        </is>
      </c>
      <c r="J5" s="23" t="n">
        <f>COUNTIFS(CONTENT!$B$5:$B$100,SETTINGS!$B$7,CONTENT!$I$5:$I$100,"Published")</f>
        <v>0</v>
      </c>
    </row>
    <row r="6">
      <c r="A6" s="20" t="inlineStr">
        <is>
          <t xml:space="preserve">Funding Friday</t>
        </is>
      </c>
      <c r="B6" s="24" t="n">
        <f>SETTINGS!$B$6+7*(SETTINGS!$B$7-1)</f>
        <v>46248</v>
      </c>
      <c r="E6" s="20" t="inlineStr">
        <is>
          <t xml:space="preserve">Total downloads</t>
        </is>
      </c>
      <c r="F6" s="22" t="n">
        <f>INDEX('USERS &amp; REVENUE'!$D$5:$D$28,MATCH(SETTINGS!$B$7,'USERS &amp; REVENUE'!$A$5:$A$28,0))</f>
        <v>0</v>
      </c>
      <c r="I6" s="20" t="inlineStr">
        <is>
          <t xml:space="preserve">App clicks from content</t>
        </is>
      </c>
      <c r="J6" s="23" t="n">
        <f>SUMIFS(CONTENT!$L$5:$L$100,CONTENT!$B$5:$B$100,SETTINGS!$B$7)</f>
        <v>0</v>
      </c>
    </row>
    <row r="7">
      <c r="A7" s="20" t="inlineStr">
        <is>
          <t xml:space="preserve">Cash at start</t>
        </is>
      </c>
      <c r="B7" s="25" t="n">
        <f>SETTINGS!$B$9+SUMIFS(MONEY!$F$5:$F$204,MONEY!$B$5:$B$204,"&lt;"&amp;SETTINGS!$B$7,MONEY!$C$5:$C$204,"Founder Funding")+SUMIFS(MONEY!$F$5:$F$204,MONEY!$B$5:$B$204,"&lt;"&amp;SETTINGS!$B$7,MONEY!$C$5:$C$204,"Subscription Income")+SUMIFS(MONEY!$F$5:$F$204,MONEY!$B$5:$B$204,"&lt;"&amp;SETTINGS!$B$7,MONEY!$C$5:$C$204,"Other Income")+SUMIFS(MONEY!$F$5:$F$204,MONEY!$B$5:$B$204,"&lt;"&amp;SETTINGS!$B$7,MONEY!$C$5:$C$204,"Reserve Withdrawal")-SUMIFS(MONEY!$F$5:$F$204,MONEY!$B$5:$B$204,"&lt;"&amp;SETTINGS!$B$7,MONEY!$C$5:$C$204,"Expense")-SUMIFS(MONEY!$F$5:$F$204,MONEY!$B$5:$B$204,"&lt;"&amp;SETTINGS!$B$7,MONEY!$C$5:$C$204,"Refund")-SUMIFS(MONEY!$F$5:$F$204,MONEY!$B$5:$B$204,"&lt;"&amp;SETTINGS!$B$7,MONEY!$C$5:$C$204,"Reserve Transfer")</f>
        <v>0</v>
      </c>
      <c r="E7" s="20" t="inlineStr">
        <is>
          <t xml:space="preserve">New paid</t>
        </is>
      </c>
      <c r="F7" s="22" t="str">
        <f>INDEX('USERS &amp; REVENUE'!$E$5:$E$28,MATCH(SETTINGS!$B$7,'USERS &amp; REVENUE'!$A$5:$A$28,0))</f>
      </c>
      <c r="I7" s="20" t="inlineStr">
        <is>
          <t xml:space="preserve">Paid signups from content</t>
        </is>
      </c>
      <c r="J7" s="23" t="n">
        <f>SUMIFS(CONTENT!$M$5:$M$100,CONTENT!$B$5:$B$100,SETTINGS!$B$7)</f>
        <v>0</v>
      </c>
    </row>
    <row r="8">
      <c r="A8" s="20" t="inlineStr">
        <is>
          <t xml:space="preserve">Founder funding received</t>
        </is>
      </c>
      <c r="B8" s="25" t="n">
        <f>SUMIFS(MONEY!$F$5:$F$204,MONEY!$B$5:$B$204,SETTINGS!$B$7,MONEY!$C$5:$C$204,"Founder Funding")</f>
        <v>0</v>
      </c>
      <c r="E8" s="20" t="inlineStr">
        <is>
          <t xml:space="preserve">Cancellations</t>
        </is>
      </c>
      <c r="F8" s="22" t="str">
        <f>INDEX('USERS &amp; REVENUE'!$F$5:$F$28,MATCH(SETTINGS!$B$7,'USERS &amp; REVENUE'!$A$5:$A$28,0))</f>
      </c>
      <c r="I8" s="20" t="inlineStr">
        <is>
          <t xml:space="preserve">Field trips</t>
        </is>
      </c>
      <c r="J8" s="23" t="n">
        <f>COUNTIF('FIELD &amp; FUEL'!$C$9:$C$68,SETTINGS!$B$7)</f>
        <v>0</v>
      </c>
    </row>
    <row r="9">
      <c r="A9" s="20" t="inlineStr">
        <is>
          <t xml:space="preserve">Subscription income received</t>
        </is>
      </c>
      <c r="B9" s="25" t="n">
        <f>SUMIFS(MONEY!$F$5:$F$204,MONEY!$B$5:$B$204,SETTINGS!$B$7,MONEY!$C$5:$C$204,"Subscription Income")</f>
        <v>0</v>
      </c>
      <c r="E9" s="20" t="inlineStr">
        <is>
          <t xml:space="preserve">Active paid</t>
        </is>
      </c>
      <c r="F9" s="22" t="n">
        <f>INDEX('USERS &amp; REVENUE'!$G$5:$G$28,MATCH(SETTINGS!$B$7,'USERS &amp; REVENUE'!$A$5:$A$28,0))</f>
        <v>0</v>
      </c>
      <c r="I9" s="20" t="inlineStr">
        <is>
          <t xml:space="preserve">Field kilometres</t>
        </is>
      </c>
      <c r="J9" s="26" t="n">
        <f>SUMIF('FIELD &amp; FUEL'!$C$9:$C$68,SETTINGS!$B$7,'FIELD &amp; FUEL'!$H$9:$H$68)</f>
        <v>0</v>
      </c>
    </row>
    <row r="10">
      <c r="A10" s="20" t="inlineStr">
        <is>
          <t xml:space="preserve">Other income / reserve withdrawal</t>
        </is>
      </c>
      <c r="B10" s="25" t="n">
        <f>SUMIFS(MONEY!$F$5:$F$204,MONEY!$B$5:$B$204,SETTINGS!$B$7,MONEY!$C$5:$C$204,"Other Income")+SUMIFS(MONEY!$F$5:$F$204,MONEY!$B$5:$B$204,SETTINGS!$B$7,MONEY!$C$5:$C$204,"Reserve Withdrawal")</f>
        <v>0</v>
      </c>
      <c r="E10" s="20" t="inlineStr">
        <is>
          <t xml:space="preserve">Gross sales</t>
        </is>
      </c>
      <c r="F10" s="27" t="str">
        <f>INDEX('USERS &amp; REVENUE'!$H$5:$H$28,MATCH(SETTINGS!$B$7,'USERS &amp; REVENUE'!$A$5:$A$28,0))</f>
      </c>
      <c r="I10" s="20" t="inlineStr">
        <is>
          <t xml:space="preserve">Verified records</t>
        </is>
      </c>
      <c r="J10" s="23" t="n">
        <f>SUMIF('FIELD &amp; FUEL'!$C$9:$C$68,SETTINGS!$B$7,'FIELD &amp; FUEL'!$M$9:$M$68)</f>
        <v>0</v>
      </c>
    </row>
    <row r="11">
      <c r="A11" s="20" t="inlineStr">
        <is>
          <t xml:space="preserve">Expenses and refunds</t>
        </is>
      </c>
      <c r="B11" s="25" t="n">
        <f>SUMIFS(MONEY!$F$5:$F$204,MONEY!$B$5:$B$204,SETTINGS!$B$7,MONEY!$C$5:$C$204,"Expense")+SUMIFS(MONEY!$F$5:$F$204,MONEY!$B$5:$B$204,SETTINGS!$B$7,MONEY!$C$5:$C$204,"Refund")</f>
        <v>0</v>
      </c>
      <c r="E11" s="20" t="inlineStr">
        <is>
          <t xml:space="preserve">Cash received</t>
        </is>
      </c>
      <c r="F11" s="27" t="n">
        <f>INDEX('USERS &amp; REVENUE'!$L$5:$L$28,MATCH(SETTINGS!$B$7,'USERS &amp; REVENUE'!$A$5:$A$28,0))</f>
        <v>0</v>
      </c>
      <c r="I11" s="20" t="inlineStr">
        <is>
          <t xml:space="preserve">Content clips</t>
        </is>
      </c>
      <c r="J11" s="23" t="n">
        <f>SUMIF('FIELD &amp; FUEL'!$C$9:$C$68,SETTINGS!$B$7,'FIELD &amp; FUEL'!$N$9:$N$68)</f>
        <v>0</v>
      </c>
    </row>
    <row r="12">
      <c r="A12" s="20" t="inlineStr">
        <is>
          <t xml:space="preserve">Reserve transfer</t>
        </is>
      </c>
      <c r="B12" s="25" t="n">
        <f>SUMIFS(MONEY!$F$5:$F$204,MONEY!$B$5:$B$204,SETTINGS!$B$7,MONEY!$C$5:$C$204,"Reserve Transfer")</f>
        <v>0</v>
      </c>
      <c r="E12" s="20" t="inlineStr">
        <is>
          <t xml:space="preserve">MRR</t>
        </is>
      </c>
      <c r="F12" s="27" t="n">
        <f>INDEX('USERS &amp; REVENUE'!$M$5:$M$28,MATCH(SETTINGS!$B$7,'USERS &amp; REVENUE'!$A$5:$A$28,0))</f>
        <v>0</v>
      </c>
      <c r="I12" s="20" t="inlineStr">
        <is>
          <t xml:space="preserve">Fuel / field actual spend</t>
        </is>
      </c>
      <c r="J12" s="28" t="n">
        <f>SUMIFS(MONEY!$F$5:$F$204,MONEY!$B$5:$B$204,SETTINGS!$B$7,MONEY!$C$5:$C$204,"Expense",MONEY!$D$5:$D$204,"Fuel &amp; Field")</f>
        <v>0</v>
      </c>
    </row>
    <row r="13">
      <c r="A13" s="20" t="inlineStr">
        <is>
          <t xml:space="preserve">Operating cash now</t>
        </is>
      </c>
      <c r="B13" s="25" t="n">
        <f>B7+B8+B9+B10-B11-B12</f>
        <v>0</v>
      </c>
      <c r="E13" s="20" t="inlineStr">
        <is>
          <t xml:space="preserve">User conversations</t>
        </is>
      </c>
      <c r="F13" s="22" t="str">
        <f>INDEX('USERS &amp; REVENUE'!$N$5:$N$28,MATCH(SETTINGS!$B$7,'USERS &amp; REVENUE'!$A$5:$A$28,0))</f>
      </c>
      <c r="I13" s="20" t="inlineStr">
        <is>
          <t xml:space="preserve">Replit actual spend</t>
        </is>
      </c>
      <c r="J13" s="28" t="n">
        <f>SUMIFS(MONEY!$F$5:$F$204,MONEY!$B$5:$B$204,SETTINGS!$B$7,MONEY!$C$5:$C$204,"Expense",MONEY!$D$5:$D$204,"Replit Hosting")</f>
        <v>0</v>
      </c>
    </row>
    <row r="14">
      <c r="A14" s="20" t="inlineStr">
        <is>
          <t xml:space="preserve">Reserve balance</t>
        </is>
      </c>
      <c r="B14" s="25" t="n">
        <f>SETTINGS!$B$10+SUMIFS(MONEY!$F$5:$F$204,MONEY!$C$5:$C$204,"Reserve Transfer")-SUMIFS(MONEY!$F$5:$F$204,MONEY!$C$5:$C$204,"Reserve Withdrawal")</f>
        <v>0</v>
      </c>
      <c r="E14" s="20" t="inlineStr">
        <is>
          <t xml:space="preserve">Completed product tasks</t>
        </is>
      </c>
      <c r="F14" s="22" t="n">
        <f>COUNTIFS(TASKS!$C$5:$C$104,SETTINGS!$B$7,TASKS!$D$5:$D$104,"Product",TASKS!$I$5:$I$104,"Done")</f>
        <v>0</v>
      </c>
      <c r="I14" s="20" t="inlineStr">
        <is>
          <t xml:space="preserve">Open P0 tasks</t>
        </is>
      </c>
      <c r="J14" s="23" t="n">
        <f>COUNTIFS(TASKS!$G$5:$G$104,"P0",TASKS!$I$5:$I$104,"&lt;&gt;Done",TASKS!$I$5:$I$104,"&lt;&gt;Dropped")</f>
        <v>8</v>
      </c>
    </row>
    <row r="17" ht="23" customHeight="1">
      <c r="A17" s="3" t="inlineStr">
        <is>
          <t xml:space="preserve">Seven must-do outcomes</t>
        </is>
      </c>
    </row>
    <row r="18" ht="36" customHeight="1">
      <c r="A18" s="29" t="inlineStr">
        <is>
          <t xml:space="preserve">Area</t>
        </is>
      </c>
      <c r="B18" s="29" t="inlineStr">
        <is>
          <t xml:space="preserve">Must-do</t>
        </is>
      </c>
      <c r="E18" s="29" t="inlineStr">
        <is>
          <t xml:space="preserve">Target</t>
        </is>
      </c>
      <c r="G18" s="29" t="inlineStr">
        <is>
          <t xml:space="preserve">Actual</t>
        </is>
      </c>
      <c r="I18" s="29" t="inlineStr">
        <is>
          <t xml:space="preserve">Status</t>
        </is>
      </c>
      <c r="K18" s="29" t="inlineStr">
        <is>
          <t xml:space="preserve">Notes / Decision</t>
        </is>
      </c>
    </row>
    <row r="19" ht="34" customHeight="1">
      <c r="A19" s="30" t="inlineStr">
        <is>
          <t xml:space="preserve">Cash</t>
        </is>
      </c>
      <c r="B19" s="30" t="inlineStr">
        <is>
          <t xml:space="preserve">Log every real cash movement</t>
        </is>
      </c>
      <c r="E19" s="30" t="inlineStr">
        <is>
          <t xml:space="preserve">No missing transactions</t>
        </is>
      </c>
      <c r="G19" s="30" t="n">
        <f>COUNTIF(MONEY!$B$5:$B$204,SETTINGS!$B$7)</f>
        <v>0</v>
      </c>
      <c r="I19" s="31" t="inlineStr">
        <is>
          <t xml:space="preserve">Not Started</t>
        </is>
      </c>
      <c r="K19" s="31" t="inlineStr">
        <is>
          <t xml:space="preserve"/>
        </is>
      </c>
    </row>
    <row r="20" ht="34" customHeight="1">
      <c r="A20" s="32" t="inlineStr">
        <is>
          <t xml:space="preserve">Hosting</t>
        </is>
      </c>
      <c r="B20" s="32" t="inlineStr">
        <is>
          <t xml:space="preserve">Keep Replit active and fund the next bill</t>
        </is>
      </c>
      <c r="E20" s="33" t="n">
        <f>SETTINGS!$B$25</f>
        <v>597.0461538461539</v>
      </c>
      <c r="G20" s="33" t="n">
        <f>SUMIFS(MONEY!$F$5:$F$204,MONEY!$B$5:$B$204,SETTINGS!$B$7,MONEY!$D$5:$D$204,"Replit Hosting")</f>
        <v>0</v>
      </c>
      <c r="I20" s="31" t="inlineStr">
        <is>
          <t xml:space="preserve">Not Started</t>
        </is>
      </c>
      <c r="K20" s="31" t="inlineStr">
        <is>
          <t xml:space="preserve"/>
        </is>
      </c>
    </row>
    <row r="21" ht="34" customHeight="1">
      <c r="A21" s="30" t="inlineStr">
        <is>
          <t xml:space="preserve">Product</t>
        </is>
      </c>
      <c r="B21" s="30" t="inlineStr">
        <is>
          <t xml:space="preserve">Finish one highest-impact live issue</t>
        </is>
      </c>
      <c r="E21" s="30" t="inlineStr">
        <is>
          <t xml:space="preserve">1 completed task</t>
        </is>
      </c>
      <c r="G21" s="30" t="n">
        <f>COUNTIFS(TASKS!$C$5:$C$104,SETTINGS!$B$7,TASKS!$D$5:$D$104,"Product",TASKS!$I$5:$I$104,"Done")</f>
        <v>0</v>
      </c>
      <c r="I21" s="31" t="inlineStr">
        <is>
          <t xml:space="preserve">Not Started</t>
        </is>
      </c>
      <c r="K21" s="31" t="inlineStr">
        <is>
          <t xml:space="preserve"/>
        </is>
      </c>
    </row>
    <row r="22" ht="34" customHeight="1">
      <c r="A22" s="32" t="inlineStr">
        <is>
          <t xml:space="preserve">Users</t>
        </is>
      </c>
      <c r="B22" s="32" t="inlineStr">
        <is>
          <t xml:space="preserve">Speak to paying, cancelled or nearly-paying users</t>
        </is>
      </c>
      <c r="E22" s="32" t="n">
        <f>SETTINGS!$B$15</f>
        <v>3</v>
      </c>
      <c r="G22" s="32" t="str">
        <f>INDEX('USERS &amp; REVENUE'!$N$5:$N$28,MATCH(SETTINGS!$B$7,'USERS &amp; REVENUE'!$A$5:$A$28,0))</f>
      </c>
      <c r="I22" s="31" t="inlineStr">
        <is>
          <t xml:space="preserve">Not Started</t>
        </is>
      </c>
      <c r="K22" s="31" t="inlineStr">
        <is>
          <t xml:space="preserve"/>
        </is>
      </c>
    </row>
    <row r="23" ht="34" customHeight="1">
      <c r="A23" s="30" t="inlineStr">
        <is>
          <t xml:space="preserve">Field</t>
        </is>
      </c>
      <c r="B23" s="30" t="inlineStr">
        <is>
          <t xml:space="preserve">Run one multipurpose trip and verify records</t>
        </is>
      </c>
      <c r="E23" s="30" t="str">
        <f>SETTINGS!$B$16&amp;" trip / "&amp;SETTINGS!$B$17&amp;" records"</f>
        <v>1 trip / 10 records</v>
      </c>
      <c r="G23" s="30" t="str">
        <f>COUNTIF('FIELD &amp; FUEL'!$C$9:$C$68,SETTINGS!$B$7)&amp;" trip / "&amp;SUMIF('FIELD &amp; FUEL'!$C$9:$C$68,SETTINGS!$B$7,'FIELD &amp; FUEL'!$M$9:$M$68)&amp;" records"</f>
        <v>0 trip / 0 records</v>
      </c>
      <c r="I23" s="31" t="inlineStr">
        <is>
          <t xml:space="preserve">Not Started</t>
        </is>
      </c>
      <c r="K23" s="31" t="inlineStr">
        <is>
          <t xml:space="preserve"/>
        </is>
      </c>
    </row>
    <row r="24" ht="34" customHeight="1">
      <c r="A24" s="32" t="inlineStr">
        <is>
          <t xml:space="preserve">Content</t>
        </is>
      </c>
      <c r="B24" s="32" t="inlineStr">
        <is>
          <t xml:space="preserve">Publish four core posts</t>
        </is>
      </c>
      <c r="E24" s="32" t="n">
        <f>SETTINGS!$B$14</f>
        <v>4</v>
      </c>
      <c r="G24" s="32" t="n">
        <f>COUNTIFS(CONTENT!$B$5:$B$100,SETTINGS!$B$7,CONTENT!$I$5:$I$100,"Published")</f>
        <v>0</v>
      </c>
      <c r="I24" s="31" t="inlineStr">
        <is>
          <t xml:space="preserve">Not Started</t>
        </is>
      </c>
      <c r="K24" s="31" t="inlineStr">
        <is>
          <t xml:space="preserve"/>
        </is>
      </c>
    </row>
    <row r="25" ht="34" customHeight="1">
      <c r="A25" s="30" t="inlineStr">
        <is>
          <t xml:space="preserve">Revenue</t>
        </is>
      </c>
      <c r="B25" s="30" t="inlineStr">
        <is>
          <t xml:space="preserve">Review sales, fees, refunds and actual payout</t>
        </is>
      </c>
      <c r="E25" s="30" t="inlineStr">
        <is>
          <t xml:space="preserve">1 Friday review</t>
        </is>
      </c>
      <c r="G25" s="34" t="n">
        <f>INDEX('USERS &amp; REVENUE'!$L$5:$L$28,MATCH(SETTINGS!$B$7,'USERS &amp; REVENUE'!$A$5:$A$28,0))</f>
        <v>0</v>
      </c>
      <c r="I25" s="31" t="inlineStr">
        <is>
          <t xml:space="preserve">Not Started</t>
        </is>
      </c>
      <c r="K25" s="31" t="inlineStr">
        <is>
          <t xml:space="preserve"/>
        </is>
      </c>
    </row>
    <row r="28" ht="23" customHeight="1">
      <c r="A28" s="7" t="inlineStr">
        <is>
          <t xml:space="preserve">Write one decision before the next Friday</t>
        </is>
      </c>
    </row>
    <row r="29" ht="30" customHeight="1">
      <c r="A29" s="35" t="inlineStr">
        <is>
          <t xml:space="preserve">Main goal this week</t>
        </is>
      </c>
      <c r="B29" s="36" t="inlineStr">
        <is>
          <t xml:space="preserve"/>
        </is>
      </c>
    </row>
    <row r="30" ht="30" customHeight="1">
      <c r="A30" s="35" t="inlineStr">
        <is>
          <t xml:space="preserve">Biggest result</t>
        </is>
      </c>
      <c r="B30" s="36" t="inlineStr">
        <is>
          <t xml:space="preserve"/>
        </is>
      </c>
    </row>
    <row r="31" ht="30" customHeight="1">
      <c r="A31" s="35" t="inlineStr">
        <is>
          <t xml:space="preserve">Biggest blocker</t>
        </is>
      </c>
      <c r="B31" s="36" t="inlineStr">
        <is>
          <t xml:space="preserve"/>
        </is>
      </c>
    </row>
    <row r="32" ht="30" customHeight="1">
      <c r="A32" s="35" t="inlineStr">
        <is>
          <t xml:space="preserve">What to stop or postpone</t>
        </is>
      </c>
      <c r="B32" s="36" t="inlineStr">
        <is>
          <t xml:space="preserve"/>
        </is>
      </c>
    </row>
    <row r="33" ht="30" customHeight="1">
      <c r="A33" s="35" t="inlineStr">
        <is>
          <t xml:space="preserve">Next week priority</t>
        </is>
      </c>
      <c r="B33" s="36" t="inlineStr">
        <is>
          <t xml:space="preserve"/>
        </is>
      </c>
    </row>
    <row r="34" ht="30" customHeight="1">
      <c r="A34" s="35" t="inlineStr">
        <is>
          <t xml:space="preserve">Spending decision</t>
        </is>
      </c>
      <c r="B34" s="36" t="inlineStr">
        <is>
          <t xml:space="preserve"/>
        </is>
      </c>
    </row>
  </sheetData>
  <mergeCells>
    <mergeCell ref="B11:D11"/>
    <mergeCell ref="G21:H21"/>
    <mergeCell ref="F5:H5"/>
    <mergeCell ref="K24:L24"/>
    <mergeCell ref="I4:L4"/>
    <mergeCell ref="F8:H8"/>
    <mergeCell ref="E23:F23"/>
    <mergeCell ref="G23:H23"/>
    <mergeCell ref="B31:L31"/>
    <mergeCell ref="J11:L11"/>
    <mergeCell ref="I25:J25"/>
    <mergeCell ref="F9:H9"/>
    <mergeCell ref="G18:H18"/>
    <mergeCell ref="B6:D6"/>
    <mergeCell ref="I18:J18"/>
    <mergeCell ref="B20:D20"/>
    <mergeCell ref="F14:H14"/>
    <mergeCell ref="G20:H20"/>
    <mergeCell ref="I20:J20"/>
    <mergeCell ref="J13:L13"/>
    <mergeCell ref="B33:L33"/>
    <mergeCell ref="E22:F22"/>
    <mergeCell ref="F12:H12"/>
    <mergeCell ref="G22:H22"/>
    <mergeCell ref="F7:H7"/>
    <mergeCell ref="B32:L32"/>
    <mergeCell ref="B8:D8"/>
    <mergeCell ref="K21:L21"/>
    <mergeCell ref="B10:D10"/>
    <mergeCell ref="J7:L7"/>
    <mergeCell ref="B19:D19"/>
    <mergeCell ref="B9:D9"/>
    <mergeCell ref="B5:D5"/>
    <mergeCell ref="G24:H24"/>
    <mergeCell ref="I24:J24"/>
    <mergeCell ref="B29:L29"/>
    <mergeCell ref="E4:H4"/>
    <mergeCell ref="F11:H11"/>
    <mergeCell ref="J5:L5"/>
    <mergeCell ref="J14:L14"/>
    <mergeCell ref="E25:F25"/>
    <mergeCell ref="G25:H25"/>
    <mergeCell ref="I19:J19"/>
    <mergeCell ref="K19:L19"/>
    <mergeCell ref="B21:D21"/>
    <mergeCell ref="E18:F18"/>
    <mergeCell ref="J6:L6"/>
    <mergeCell ref="K25:L25"/>
    <mergeCell ref="B14:D14"/>
    <mergeCell ref="B23:D23"/>
    <mergeCell ref="B13:D13"/>
    <mergeCell ref="A2:L2"/>
    <mergeCell ref="E20:F20"/>
    <mergeCell ref="F13:H13"/>
    <mergeCell ref="I21:J21"/>
    <mergeCell ref="B34:L34"/>
    <mergeCell ref="J8:L8"/>
    <mergeCell ref="I23:J23"/>
    <mergeCell ref="K23:L23"/>
    <mergeCell ref="B25:D25"/>
    <mergeCell ref="F6:H6"/>
    <mergeCell ref="J10:L10"/>
    <mergeCell ref="B30:L30"/>
    <mergeCell ref="B22:D22"/>
    <mergeCell ref="J9:L9"/>
    <mergeCell ref="B12:D12"/>
    <mergeCell ref="K18:L18"/>
    <mergeCell ref="E24:F24"/>
    <mergeCell ref="A4:D4"/>
    <mergeCell ref="K20:L20"/>
    <mergeCell ref="E19:F19"/>
    <mergeCell ref="G19:H19"/>
    <mergeCell ref="A17:L17"/>
    <mergeCell ref="I22:J22"/>
    <mergeCell ref="J12:L12"/>
    <mergeCell ref="K22:L22"/>
    <mergeCell ref="B24:D24"/>
    <mergeCell ref="A28:L28"/>
    <mergeCell ref="B7:D7"/>
    <mergeCell ref="F10:H10"/>
    <mergeCell ref="A1:L1"/>
    <mergeCell ref="B18:D18"/>
    <mergeCell ref="E21:F21"/>
  </mergeCells>
  <conditionalFormatting sqref="I19:I25">
    <cfRule type="expression" dxfId="0" priority="1">
      <formula>I19="Done"</formula>
    </cfRule>
    <cfRule type="expression" dxfId="1" priority="2">
      <formula>I19="In Progress"</formula>
    </cfRule>
    <cfRule type="expression" dxfId="2" priority="3">
      <formula>I19="Blocked"</formula>
    </cfRule>
    <cfRule type="expression" dxfId="0" priority="4">
      <formula>I19="Published"</formula>
    </cfRule>
  </conditionalFormatting>
  <conditionalFormatting sqref="B13:D13">
    <cfRule type="cellIs" dxfId="2" priority="5" operator="lessThan">
      <formula>0</formula>
    </cfRule>
  </conditionalFormatting>
  <dataValidations count="1">
    <dataValidation type="list" allowBlank="1" showDropDown="0" showInputMessage="0" showErrorMessage="0" errorTitle="Invalid value" error="Choose a value from the dropdown." sqref="I19:I25">
      <formula1>"Not Started,In Progress,Done,Blocked,Skipped"</formula1>
    </dataValidation>
  </dataValidations>
  <pageMargins left="0.7" right="0.7" top="0.75" bottom="0.75" header="0.3" footer="0.3"/>
</worksheet>
</file>

<file path=xl/worksheets/sheet3.xml><?xml version="1.0" encoding="utf-8"?>
<worksheet xmlns="http://schemas.openxmlformats.org/spreadsheetml/2006/main">
  <sheetPr>
    <tabColor rgb="0014804A"/>
  </sheetPr>
  <sheetViews>
    <sheetView showGridLines="0" zoomScale="90" workbookViewId="0">
      <pane ySplit="4" topLeftCell="A5" activePane="bottomLeft" state="frozen"/>
      <selection pane="bottomLeft" activeCell="A1" sqref="A1"/>
    </sheetView>
  </sheetViews>
  <sheetFormatPr baseColWidth="8" defaultRowHeight="15"/>
  <cols>
    <col min="1" max="1" width="14" customWidth="1"/>
    <col min="2" max="2" width="9" customWidth="1"/>
    <col min="3" max="3" width="21" customWidth="1"/>
    <col min="4" max="4" width="23" customWidth="1"/>
    <col min="5" max="5" width="38" customWidth="1"/>
    <col min="6" max="6" width="16" customWidth="1"/>
    <col min="7" max="7" width="20" customWidth="1"/>
    <col min="8" max="8" width="25" customWidth="1"/>
    <col min="9" max="9" width="42" customWidth="1"/>
  </cols>
  <sheetData>
    <row r="1" ht="30" customHeight="1">
      <c r="A1" s="1" t="inlineStr">
        <is>
          <t xml:space="preserve">MONEY</t>
        </is>
      </c>
    </row>
    <row r="2" ht="34" customHeight="1">
      <c r="A2" s="2" t="inlineStr">
        <is>
          <t xml:space="preserve">Log only real cash movements. Enter every amount as a positive number; Type determines whether cash rises or falls.</t>
        </is>
      </c>
    </row>
    <row r="4" ht="36" customHeight="1">
      <c r="A4" s="4" t="inlineStr">
        <is>
          <t xml:space="preserve">Date</t>
        </is>
      </c>
      <c r="B4" s="4" t="inlineStr">
        <is>
          <t xml:space="preserve">Week #</t>
        </is>
      </c>
      <c r="C4" s="4" t="inlineStr">
        <is>
          <t xml:space="preserve">Type</t>
        </is>
      </c>
      <c r="D4" s="4" t="inlineStr">
        <is>
          <t xml:space="preserve">Category</t>
        </is>
      </c>
      <c r="E4" s="4" t="inlineStr">
        <is>
          <t xml:space="preserve">Description</t>
        </is>
      </c>
      <c r="F4" s="4" t="inlineStr">
        <is>
          <t xml:space="preserve">Amount KES</t>
        </is>
      </c>
      <c r="G4" s="4" t="inlineStr">
        <is>
          <t xml:space="preserve">Payment Method</t>
        </is>
      </c>
      <c r="H4" s="4" t="inlineStr">
        <is>
          <t xml:space="preserve">Receipt / Reference</t>
        </is>
      </c>
      <c r="I4" s="4" t="inlineStr">
        <is>
          <t xml:space="preserve">Notes</t>
        </is>
      </c>
    </row>
    <row r="5">
      <c r="A5" s="37" t="n"/>
      <c r="B5" s="38" t="str">
        <f>IF(A5="","",MAX(1,MIN(24,INT((A5-SETTINGS!$B$6)/7)+1)))</f>
      </c>
      <c r="C5" s="31" t="n"/>
      <c r="D5" s="31" t="n"/>
      <c r="E5" s="31" t="n"/>
      <c r="F5" s="39" t="n"/>
      <c r="G5" s="31" t="n"/>
      <c r="H5" s="31" t="n"/>
      <c r="I5" s="31" t="n"/>
    </row>
    <row r="6">
      <c r="A6" s="37" t="n"/>
      <c r="B6" s="40" t="str">
        <f>IF(A6="","",MAX(1,MIN(24,INT((A6-SETTINGS!$B$6)/7)+1)))</f>
      </c>
      <c r="C6" s="31" t="n"/>
      <c r="D6" s="31" t="n"/>
      <c r="E6" s="31" t="n"/>
      <c r="F6" s="39" t="n"/>
      <c r="G6" s="31" t="n"/>
      <c r="H6" s="31" t="n"/>
      <c r="I6" s="31" t="n"/>
    </row>
    <row r="7">
      <c r="A7" s="37" t="n"/>
      <c r="B7" s="38" t="str">
        <f>IF(A7="","",MAX(1,MIN(24,INT((A7-SETTINGS!$B$6)/7)+1)))</f>
      </c>
      <c r="C7" s="31" t="n"/>
      <c r="D7" s="31" t="n"/>
      <c r="E7" s="31" t="n"/>
      <c r="F7" s="39" t="n"/>
      <c r="G7" s="31" t="n"/>
      <c r="H7" s="31" t="n"/>
      <c r="I7" s="31" t="n"/>
    </row>
    <row r="8">
      <c r="A8" s="37" t="n"/>
      <c r="B8" s="40" t="str">
        <f>IF(A8="","",MAX(1,MIN(24,INT((A8-SETTINGS!$B$6)/7)+1)))</f>
      </c>
      <c r="C8" s="31" t="n"/>
      <c r="D8" s="31" t="n"/>
      <c r="E8" s="31" t="n"/>
      <c r="F8" s="39" t="n"/>
      <c r="G8" s="31" t="n"/>
      <c r="H8" s="31" t="n"/>
      <c r="I8" s="31" t="n"/>
    </row>
    <row r="9">
      <c r="A9" s="37" t="n"/>
      <c r="B9" s="38" t="str">
        <f>IF(A9="","",MAX(1,MIN(24,INT((A9-SETTINGS!$B$6)/7)+1)))</f>
      </c>
      <c r="C9" s="31" t="n"/>
      <c r="D9" s="31" t="n"/>
      <c r="E9" s="31" t="n"/>
      <c r="F9" s="39" t="n"/>
      <c r="G9" s="31" t="n"/>
      <c r="H9" s="31" t="n"/>
      <c r="I9" s="31" t="n"/>
    </row>
    <row r="10">
      <c r="A10" s="37" t="n"/>
      <c r="B10" s="40" t="str">
        <f>IF(A10="","",MAX(1,MIN(24,INT((A10-SETTINGS!$B$6)/7)+1)))</f>
      </c>
      <c r="C10" s="31" t="n"/>
      <c r="D10" s="31" t="n"/>
      <c r="E10" s="31" t="n"/>
      <c r="F10" s="39" t="n"/>
      <c r="G10" s="31" t="n"/>
      <c r="H10" s="31" t="n"/>
      <c r="I10" s="31" t="n"/>
    </row>
    <row r="11">
      <c r="A11" s="37" t="n"/>
      <c r="B11" s="38" t="str">
        <f>IF(A11="","",MAX(1,MIN(24,INT((A11-SETTINGS!$B$6)/7)+1)))</f>
      </c>
      <c r="C11" s="31" t="n"/>
      <c r="D11" s="31" t="n"/>
      <c r="E11" s="31" t="n"/>
      <c r="F11" s="39" t="n"/>
      <c r="G11" s="31" t="n"/>
      <c r="H11" s="31" t="n"/>
      <c r="I11" s="31" t="n"/>
    </row>
    <row r="12">
      <c r="A12" s="37" t="n"/>
      <c r="B12" s="40" t="str">
        <f>IF(A12="","",MAX(1,MIN(24,INT((A12-SETTINGS!$B$6)/7)+1)))</f>
      </c>
      <c r="C12" s="31" t="n"/>
      <c r="D12" s="31" t="n"/>
      <c r="E12" s="31" t="n"/>
      <c r="F12" s="39" t="n"/>
      <c r="G12" s="31" t="n"/>
      <c r="H12" s="31" t="n"/>
      <c r="I12" s="31" t="n"/>
    </row>
    <row r="13">
      <c r="A13" s="37" t="n"/>
      <c r="B13" s="38" t="str">
        <f>IF(A13="","",MAX(1,MIN(24,INT((A13-SETTINGS!$B$6)/7)+1)))</f>
      </c>
      <c r="C13" s="31" t="n"/>
      <c r="D13" s="31" t="n"/>
      <c r="E13" s="31" t="n"/>
      <c r="F13" s="39" t="n"/>
      <c r="G13" s="31" t="n"/>
      <c r="H13" s="31" t="n"/>
      <c r="I13" s="31" t="n"/>
    </row>
    <row r="14">
      <c r="A14" s="37" t="n"/>
      <c r="B14" s="40" t="str">
        <f>IF(A14="","",MAX(1,MIN(24,INT((A14-SETTINGS!$B$6)/7)+1)))</f>
      </c>
      <c r="C14" s="31" t="n"/>
      <c r="D14" s="31" t="n"/>
      <c r="E14" s="31" t="n"/>
      <c r="F14" s="39" t="n"/>
      <c r="G14" s="31" t="n"/>
      <c r="H14" s="31" t="n"/>
      <c r="I14" s="31" t="n"/>
    </row>
    <row r="15">
      <c r="A15" s="37" t="n"/>
      <c r="B15" s="38" t="str">
        <f>IF(A15="","",MAX(1,MIN(24,INT((A15-SETTINGS!$B$6)/7)+1)))</f>
      </c>
      <c r="C15" s="31" t="n"/>
      <c r="D15" s="31" t="n"/>
      <c r="E15" s="31" t="n"/>
      <c r="F15" s="39" t="n"/>
      <c r="G15" s="31" t="n"/>
      <c r="H15" s="31" t="n"/>
      <c r="I15" s="31" t="n"/>
    </row>
    <row r="16">
      <c r="A16" s="37" t="n"/>
      <c r="B16" s="40" t="str">
        <f>IF(A16="","",MAX(1,MIN(24,INT((A16-SETTINGS!$B$6)/7)+1)))</f>
      </c>
      <c r="C16" s="31" t="n"/>
      <c r="D16" s="31" t="n"/>
      <c r="E16" s="31" t="n"/>
      <c r="F16" s="39" t="n"/>
      <c r="G16" s="31" t="n"/>
      <c r="H16" s="31" t="n"/>
      <c r="I16" s="31" t="n"/>
    </row>
    <row r="17">
      <c r="A17" s="37" t="n"/>
      <c r="B17" s="38" t="str">
        <f>IF(A17="","",MAX(1,MIN(24,INT((A17-SETTINGS!$B$6)/7)+1)))</f>
      </c>
      <c r="C17" s="31" t="n"/>
      <c r="D17" s="31" t="n"/>
      <c r="E17" s="31" t="n"/>
      <c r="F17" s="39" t="n"/>
      <c r="G17" s="31" t="n"/>
      <c r="H17" s="31" t="n"/>
      <c r="I17" s="31" t="n"/>
    </row>
    <row r="18">
      <c r="A18" s="37" t="n"/>
      <c r="B18" s="40" t="str">
        <f>IF(A18="","",MAX(1,MIN(24,INT((A18-SETTINGS!$B$6)/7)+1)))</f>
      </c>
      <c r="C18" s="31" t="n"/>
      <c r="D18" s="31" t="n"/>
      <c r="E18" s="31" t="n"/>
      <c r="F18" s="39" t="n"/>
      <c r="G18" s="31" t="n"/>
      <c r="H18" s="31" t="n"/>
      <c r="I18" s="31" t="n"/>
    </row>
    <row r="19">
      <c r="A19" s="37" t="n"/>
      <c r="B19" s="38" t="str">
        <f>IF(A19="","",MAX(1,MIN(24,INT((A19-SETTINGS!$B$6)/7)+1)))</f>
      </c>
      <c r="C19" s="31" t="n"/>
      <c r="D19" s="31" t="n"/>
      <c r="E19" s="31" t="n"/>
      <c r="F19" s="39" t="n"/>
      <c r="G19" s="31" t="n"/>
      <c r="H19" s="31" t="n"/>
      <c r="I19" s="31" t="n"/>
    </row>
    <row r="20">
      <c r="A20" s="37" t="n"/>
      <c r="B20" s="40" t="str">
        <f>IF(A20="","",MAX(1,MIN(24,INT((A20-SETTINGS!$B$6)/7)+1)))</f>
      </c>
      <c r="C20" s="31" t="n"/>
      <c r="D20" s="31" t="n"/>
      <c r="E20" s="31" t="n"/>
      <c r="F20" s="39" t="n"/>
      <c r="G20" s="31" t="n"/>
      <c r="H20" s="31" t="n"/>
      <c r="I20" s="31" t="n"/>
    </row>
    <row r="21">
      <c r="A21" s="37" t="n"/>
      <c r="B21" s="38" t="str">
        <f>IF(A21="","",MAX(1,MIN(24,INT((A21-SETTINGS!$B$6)/7)+1)))</f>
      </c>
      <c r="C21" s="31" t="n"/>
      <c r="D21" s="31" t="n"/>
      <c r="E21" s="31" t="n"/>
      <c r="F21" s="39" t="n"/>
      <c r="G21" s="31" t="n"/>
      <c r="H21" s="31" t="n"/>
      <c r="I21" s="31" t="n"/>
    </row>
    <row r="22">
      <c r="A22" s="37" t="n"/>
      <c r="B22" s="40" t="str">
        <f>IF(A22="","",MAX(1,MIN(24,INT((A22-SETTINGS!$B$6)/7)+1)))</f>
      </c>
      <c r="C22" s="31" t="n"/>
      <c r="D22" s="31" t="n"/>
      <c r="E22" s="31" t="n"/>
      <c r="F22" s="39" t="n"/>
      <c r="G22" s="31" t="n"/>
      <c r="H22" s="31" t="n"/>
      <c r="I22" s="31" t="n"/>
    </row>
    <row r="23">
      <c r="A23" s="37" t="n"/>
      <c r="B23" s="38" t="str">
        <f>IF(A23="","",MAX(1,MIN(24,INT((A23-SETTINGS!$B$6)/7)+1)))</f>
      </c>
      <c r="C23" s="31" t="n"/>
      <c r="D23" s="31" t="n"/>
      <c r="E23" s="31" t="n"/>
      <c r="F23" s="39" t="n"/>
      <c r="G23" s="31" t="n"/>
      <c r="H23" s="31" t="n"/>
      <c r="I23" s="31" t="n"/>
    </row>
    <row r="24">
      <c r="A24" s="37" t="n"/>
      <c r="B24" s="40" t="str">
        <f>IF(A24="","",MAX(1,MIN(24,INT((A24-SETTINGS!$B$6)/7)+1)))</f>
      </c>
      <c r="C24" s="31" t="n"/>
      <c r="D24" s="31" t="n"/>
      <c r="E24" s="31" t="n"/>
      <c r="F24" s="39" t="n"/>
      <c r="G24" s="31" t="n"/>
      <c r="H24" s="31" t="n"/>
      <c r="I24" s="31" t="n"/>
    </row>
    <row r="25">
      <c r="A25" s="37" t="n"/>
      <c r="B25" s="38" t="str">
        <f>IF(A25="","",MAX(1,MIN(24,INT((A25-SETTINGS!$B$6)/7)+1)))</f>
      </c>
      <c r="C25" s="31" t="n"/>
      <c r="D25" s="31" t="n"/>
      <c r="E25" s="31" t="n"/>
      <c r="F25" s="39" t="n"/>
      <c r="G25" s="31" t="n"/>
      <c r="H25" s="31" t="n"/>
      <c r="I25" s="31" t="n"/>
    </row>
    <row r="26">
      <c r="A26" s="37" t="n"/>
      <c r="B26" s="40" t="str">
        <f>IF(A26="","",MAX(1,MIN(24,INT((A26-SETTINGS!$B$6)/7)+1)))</f>
      </c>
      <c r="C26" s="31" t="n"/>
      <c r="D26" s="31" t="n"/>
      <c r="E26" s="31" t="n"/>
      <c r="F26" s="39" t="n"/>
      <c r="G26" s="31" t="n"/>
      <c r="H26" s="31" t="n"/>
      <c r="I26" s="31" t="n"/>
    </row>
    <row r="27">
      <c r="A27" s="37" t="n"/>
      <c r="B27" s="38" t="str">
        <f>IF(A27="","",MAX(1,MIN(24,INT((A27-SETTINGS!$B$6)/7)+1)))</f>
      </c>
      <c r="C27" s="31" t="n"/>
      <c r="D27" s="31" t="n"/>
      <c r="E27" s="31" t="n"/>
      <c r="F27" s="39" t="n"/>
      <c r="G27" s="31" t="n"/>
      <c r="H27" s="31" t="n"/>
      <c r="I27" s="31" t="n"/>
    </row>
    <row r="28">
      <c r="A28" s="37" t="n"/>
      <c r="B28" s="40" t="str">
        <f>IF(A28="","",MAX(1,MIN(24,INT((A28-SETTINGS!$B$6)/7)+1)))</f>
      </c>
      <c r="C28" s="31" t="n"/>
      <c r="D28" s="31" t="n"/>
      <c r="E28" s="31" t="n"/>
      <c r="F28" s="39" t="n"/>
      <c r="G28" s="31" t="n"/>
      <c r="H28" s="31" t="n"/>
      <c r="I28" s="31" t="n"/>
    </row>
    <row r="29">
      <c r="A29" s="37" t="n"/>
      <c r="B29" s="38" t="str">
        <f>IF(A29="","",MAX(1,MIN(24,INT((A29-SETTINGS!$B$6)/7)+1)))</f>
      </c>
      <c r="C29" s="31" t="n"/>
      <c r="D29" s="31" t="n"/>
      <c r="E29" s="31" t="n"/>
      <c r="F29" s="39" t="n"/>
      <c r="G29" s="31" t="n"/>
      <c r="H29" s="31" t="n"/>
      <c r="I29" s="31" t="n"/>
    </row>
    <row r="30">
      <c r="A30" s="37" t="n"/>
      <c r="B30" s="40" t="str">
        <f>IF(A30="","",MAX(1,MIN(24,INT((A30-SETTINGS!$B$6)/7)+1)))</f>
      </c>
      <c r="C30" s="31" t="n"/>
      <c r="D30" s="31" t="n"/>
      <c r="E30" s="31" t="n"/>
      <c r="F30" s="39" t="n"/>
      <c r="G30" s="31" t="n"/>
      <c r="H30" s="31" t="n"/>
      <c r="I30" s="31" t="n"/>
    </row>
    <row r="31">
      <c r="A31" s="37" t="n"/>
      <c r="B31" s="38" t="str">
        <f>IF(A31="","",MAX(1,MIN(24,INT((A31-SETTINGS!$B$6)/7)+1)))</f>
      </c>
      <c r="C31" s="31" t="n"/>
      <c r="D31" s="31" t="n"/>
      <c r="E31" s="31" t="n"/>
      <c r="F31" s="39" t="n"/>
      <c r="G31" s="31" t="n"/>
      <c r="H31" s="31" t="n"/>
      <c r="I31" s="31" t="n"/>
    </row>
    <row r="32">
      <c r="A32" s="37" t="n"/>
      <c r="B32" s="40" t="str">
        <f>IF(A32="","",MAX(1,MIN(24,INT((A32-SETTINGS!$B$6)/7)+1)))</f>
      </c>
      <c r="C32" s="31" t="n"/>
      <c r="D32" s="31" t="n"/>
      <c r="E32" s="31" t="n"/>
      <c r="F32" s="39" t="n"/>
      <c r="G32" s="31" t="n"/>
      <c r="H32" s="31" t="n"/>
      <c r="I32" s="31" t="n"/>
    </row>
    <row r="33">
      <c r="A33" s="37" t="n"/>
      <c r="B33" s="38" t="str">
        <f>IF(A33="","",MAX(1,MIN(24,INT((A33-SETTINGS!$B$6)/7)+1)))</f>
      </c>
      <c r="C33" s="31" t="n"/>
      <c r="D33" s="31" t="n"/>
      <c r="E33" s="31" t="n"/>
      <c r="F33" s="39" t="n"/>
      <c r="G33" s="31" t="n"/>
      <c r="H33" s="31" t="n"/>
      <c r="I33" s="31" t="n"/>
    </row>
    <row r="34">
      <c r="A34" s="37" t="n"/>
      <c r="B34" s="40" t="str">
        <f>IF(A34="","",MAX(1,MIN(24,INT((A34-SETTINGS!$B$6)/7)+1)))</f>
      </c>
      <c r="C34" s="31" t="n"/>
      <c r="D34" s="31" t="n"/>
      <c r="E34" s="31" t="n"/>
      <c r="F34" s="39" t="n"/>
      <c r="G34" s="31" t="n"/>
      <c r="H34" s="31" t="n"/>
      <c r="I34" s="31" t="n"/>
    </row>
    <row r="35">
      <c r="A35" s="37" t="n"/>
      <c r="B35" s="38" t="str">
        <f>IF(A35="","",MAX(1,MIN(24,INT((A35-SETTINGS!$B$6)/7)+1)))</f>
      </c>
      <c r="C35" s="31" t="n"/>
      <c r="D35" s="31" t="n"/>
      <c r="E35" s="31" t="n"/>
      <c r="F35" s="39" t="n"/>
      <c r="G35" s="31" t="n"/>
      <c r="H35" s="31" t="n"/>
      <c r="I35" s="31" t="n"/>
    </row>
    <row r="36">
      <c r="A36" s="37" t="n"/>
      <c r="B36" s="40" t="str">
        <f>IF(A36="","",MAX(1,MIN(24,INT((A36-SETTINGS!$B$6)/7)+1)))</f>
      </c>
      <c r="C36" s="31" t="n"/>
      <c r="D36" s="31" t="n"/>
      <c r="E36" s="31" t="n"/>
      <c r="F36" s="39" t="n"/>
      <c r="G36" s="31" t="n"/>
      <c r="H36" s="31" t="n"/>
      <c r="I36" s="31" t="n"/>
    </row>
    <row r="37">
      <c r="A37" s="37" t="n"/>
      <c r="B37" s="38" t="str">
        <f>IF(A37="","",MAX(1,MIN(24,INT((A37-SETTINGS!$B$6)/7)+1)))</f>
      </c>
      <c r="C37" s="31" t="n"/>
      <c r="D37" s="31" t="n"/>
      <c r="E37" s="31" t="n"/>
      <c r="F37" s="39" t="n"/>
      <c r="G37" s="31" t="n"/>
      <c r="H37" s="31" t="n"/>
      <c r="I37" s="31" t="n"/>
    </row>
    <row r="38">
      <c r="A38" s="37" t="n"/>
      <c r="B38" s="40" t="str">
        <f>IF(A38="","",MAX(1,MIN(24,INT((A38-SETTINGS!$B$6)/7)+1)))</f>
      </c>
      <c r="C38" s="31" t="n"/>
      <c r="D38" s="31" t="n"/>
      <c r="E38" s="31" t="n"/>
      <c r="F38" s="39" t="n"/>
      <c r="G38" s="31" t="n"/>
      <c r="H38" s="31" t="n"/>
      <c r="I38" s="31" t="n"/>
    </row>
    <row r="39">
      <c r="A39" s="37" t="n"/>
      <c r="B39" s="38" t="str">
        <f>IF(A39="","",MAX(1,MIN(24,INT((A39-SETTINGS!$B$6)/7)+1)))</f>
      </c>
      <c r="C39" s="31" t="n"/>
      <c r="D39" s="31" t="n"/>
      <c r="E39" s="31" t="n"/>
      <c r="F39" s="39" t="n"/>
      <c r="G39" s="31" t="n"/>
      <c r="H39" s="31" t="n"/>
      <c r="I39" s="31" t="n"/>
    </row>
    <row r="40">
      <c r="A40" s="37" t="n"/>
      <c r="B40" s="40" t="str">
        <f>IF(A40="","",MAX(1,MIN(24,INT((A40-SETTINGS!$B$6)/7)+1)))</f>
      </c>
      <c r="C40" s="31" t="n"/>
      <c r="D40" s="31" t="n"/>
      <c r="E40" s="31" t="n"/>
      <c r="F40" s="39" t="n"/>
      <c r="G40" s="31" t="n"/>
      <c r="H40" s="31" t="n"/>
      <c r="I40" s="31" t="n"/>
    </row>
    <row r="41">
      <c r="A41" s="37" t="n"/>
      <c r="B41" s="38" t="str">
        <f>IF(A41="","",MAX(1,MIN(24,INT((A41-SETTINGS!$B$6)/7)+1)))</f>
      </c>
      <c r="C41" s="31" t="n"/>
      <c r="D41" s="31" t="n"/>
      <c r="E41" s="31" t="n"/>
      <c r="F41" s="39" t="n"/>
      <c r="G41" s="31" t="n"/>
      <c r="H41" s="31" t="n"/>
      <c r="I41" s="31" t="n"/>
    </row>
    <row r="42">
      <c r="A42" s="37" t="n"/>
      <c r="B42" s="40" t="str">
        <f>IF(A42="","",MAX(1,MIN(24,INT((A42-SETTINGS!$B$6)/7)+1)))</f>
      </c>
      <c r="C42" s="31" t="n"/>
      <c r="D42" s="31" t="n"/>
      <c r="E42" s="31" t="n"/>
      <c r="F42" s="39" t="n"/>
      <c r="G42" s="31" t="n"/>
      <c r="H42" s="31" t="n"/>
      <c r="I42" s="31" t="n"/>
    </row>
    <row r="43">
      <c r="A43" s="37" t="n"/>
      <c r="B43" s="38" t="str">
        <f>IF(A43="","",MAX(1,MIN(24,INT((A43-SETTINGS!$B$6)/7)+1)))</f>
      </c>
      <c r="C43" s="31" t="n"/>
      <c r="D43" s="31" t="n"/>
      <c r="E43" s="31" t="n"/>
      <c r="F43" s="39" t="n"/>
      <c r="G43" s="31" t="n"/>
      <c r="H43" s="31" t="n"/>
      <c r="I43" s="31" t="n"/>
    </row>
    <row r="44">
      <c r="A44" s="37" t="n"/>
      <c r="B44" s="40" t="str">
        <f>IF(A44="","",MAX(1,MIN(24,INT((A44-SETTINGS!$B$6)/7)+1)))</f>
      </c>
      <c r="C44" s="31" t="n"/>
      <c r="D44" s="31" t="n"/>
      <c r="E44" s="31" t="n"/>
      <c r="F44" s="39" t="n"/>
      <c r="G44" s="31" t="n"/>
      <c r="H44" s="31" t="n"/>
      <c r="I44" s="31" t="n"/>
    </row>
    <row r="45">
      <c r="A45" s="37" t="n"/>
      <c r="B45" s="38" t="str">
        <f>IF(A45="","",MAX(1,MIN(24,INT((A45-SETTINGS!$B$6)/7)+1)))</f>
      </c>
      <c r="C45" s="31" t="n"/>
      <c r="D45" s="31" t="n"/>
      <c r="E45" s="31" t="n"/>
      <c r="F45" s="39" t="n"/>
      <c r="G45" s="31" t="n"/>
      <c r="H45" s="31" t="n"/>
      <c r="I45" s="31" t="n"/>
    </row>
    <row r="46">
      <c r="A46" s="37" t="n"/>
      <c r="B46" s="40" t="str">
        <f>IF(A46="","",MAX(1,MIN(24,INT((A46-SETTINGS!$B$6)/7)+1)))</f>
      </c>
      <c r="C46" s="31" t="n"/>
      <c r="D46" s="31" t="n"/>
      <c r="E46" s="31" t="n"/>
      <c r="F46" s="39" t="n"/>
      <c r="G46" s="31" t="n"/>
      <c r="H46" s="31" t="n"/>
      <c r="I46" s="31" t="n"/>
    </row>
    <row r="47">
      <c r="A47" s="37" t="n"/>
      <c r="B47" s="38" t="str">
        <f>IF(A47="","",MAX(1,MIN(24,INT((A47-SETTINGS!$B$6)/7)+1)))</f>
      </c>
      <c r="C47" s="31" t="n"/>
      <c r="D47" s="31" t="n"/>
      <c r="E47" s="31" t="n"/>
      <c r="F47" s="39" t="n"/>
      <c r="G47" s="31" t="n"/>
      <c r="H47" s="31" t="n"/>
      <c r="I47" s="31" t="n"/>
    </row>
    <row r="48">
      <c r="A48" s="37" t="n"/>
      <c r="B48" s="40" t="str">
        <f>IF(A48="","",MAX(1,MIN(24,INT((A48-SETTINGS!$B$6)/7)+1)))</f>
      </c>
      <c r="C48" s="31" t="n"/>
      <c r="D48" s="31" t="n"/>
      <c r="E48" s="31" t="n"/>
      <c r="F48" s="39" t="n"/>
      <c r="G48" s="31" t="n"/>
      <c r="H48" s="31" t="n"/>
      <c r="I48" s="31" t="n"/>
    </row>
    <row r="49">
      <c r="A49" s="37" t="n"/>
      <c r="B49" s="38" t="str">
        <f>IF(A49="","",MAX(1,MIN(24,INT((A49-SETTINGS!$B$6)/7)+1)))</f>
      </c>
      <c r="C49" s="31" t="n"/>
      <c r="D49" s="31" t="n"/>
      <c r="E49" s="31" t="n"/>
      <c r="F49" s="39" t="n"/>
      <c r="G49" s="31" t="n"/>
      <c r="H49" s="31" t="n"/>
      <c r="I49" s="31" t="n"/>
    </row>
    <row r="50">
      <c r="A50" s="37" t="n"/>
      <c r="B50" s="40" t="str">
        <f>IF(A50="","",MAX(1,MIN(24,INT((A50-SETTINGS!$B$6)/7)+1)))</f>
      </c>
      <c r="C50" s="31" t="n"/>
      <c r="D50" s="31" t="n"/>
      <c r="E50" s="31" t="n"/>
      <c r="F50" s="39" t="n"/>
      <c r="G50" s="31" t="n"/>
      <c r="H50" s="31" t="n"/>
      <c r="I50" s="31" t="n"/>
    </row>
    <row r="51">
      <c r="A51" s="37" t="n"/>
      <c r="B51" s="38" t="str">
        <f>IF(A51="","",MAX(1,MIN(24,INT((A51-SETTINGS!$B$6)/7)+1)))</f>
      </c>
      <c r="C51" s="31" t="n"/>
      <c r="D51" s="31" t="n"/>
      <c r="E51" s="31" t="n"/>
      <c r="F51" s="39" t="n"/>
      <c r="G51" s="31" t="n"/>
      <c r="H51" s="31" t="n"/>
      <c r="I51" s="31" t="n"/>
    </row>
    <row r="52">
      <c r="A52" s="37" t="n"/>
      <c r="B52" s="40" t="str">
        <f>IF(A52="","",MAX(1,MIN(24,INT((A52-SETTINGS!$B$6)/7)+1)))</f>
      </c>
      <c r="C52" s="31" t="n"/>
      <c r="D52" s="31" t="n"/>
      <c r="E52" s="31" t="n"/>
      <c r="F52" s="39" t="n"/>
      <c r="G52" s="31" t="n"/>
      <c r="H52" s="31" t="n"/>
      <c r="I52" s="31" t="n"/>
    </row>
    <row r="53">
      <c r="A53" s="37" t="n"/>
      <c r="B53" s="38" t="str">
        <f>IF(A53="","",MAX(1,MIN(24,INT((A53-SETTINGS!$B$6)/7)+1)))</f>
      </c>
      <c r="C53" s="31" t="n"/>
      <c r="D53" s="31" t="n"/>
      <c r="E53" s="31" t="n"/>
      <c r="F53" s="39" t="n"/>
      <c r="G53" s="31" t="n"/>
      <c r="H53" s="31" t="n"/>
      <c r="I53" s="31" t="n"/>
    </row>
    <row r="54">
      <c r="A54" s="37" t="n"/>
      <c r="B54" s="40" t="str">
        <f>IF(A54="","",MAX(1,MIN(24,INT((A54-SETTINGS!$B$6)/7)+1)))</f>
      </c>
      <c r="C54" s="31" t="n"/>
      <c r="D54" s="31" t="n"/>
      <c r="E54" s="31" t="n"/>
      <c r="F54" s="39" t="n"/>
      <c r="G54" s="31" t="n"/>
      <c r="H54" s="31" t="n"/>
      <c r="I54" s="31" t="n"/>
    </row>
    <row r="55">
      <c r="A55" s="37" t="n"/>
      <c r="B55" s="38" t="str">
        <f>IF(A55="","",MAX(1,MIN(24,INT((A55-SETTINGS!$B$6)/7)+1)))</f>
      </c>
      <c r="C55" s="31" t="n"/>
      <c r="D55" s="31" t="n"/>
      <c r="E55" s="31" t="n"/>
      <c r="F55" s="39" t="n"/>
      <c r="G55" s="31" t="n"/>
      <c r="H55" s="31" t="n"/>
      <c r="I55" s="31" t="n"/>
    </row>
    <row r="56">
      <c r="A56" s="37" t="n"/>
      <c r="B56" s="40" t="str">
        <f>IF(A56="","",MAX(1,MIN(24,INT((A56-SETTINGS!$B$6)/7)+1)))</f>
      </c>
      <c r="C56" s="31" t="n"/>
      <c r="D56" s="31" t="n"/>
      <c r="E56" s="31" t="n"/>
      <c r="F56" s="39" t="n"/>
      <c r="G56" s="31" t="n"/>
      <c r="H56" s="31" t="n"/>
      <c r="I56" s="31" t="n"/>
    </row>
    <row r="57">
      <c r="A57" s="37" t="n"/>
      <c r="B57" s="38" t="str">
        <f>IF(A57="","",MAX(1,MIN(24,INT((A57-SETTINGS!$B$6)/7)+1)))</f>
      </c>
      <c r="C57" s="31" t="n"/>
      <c r="D57" s="31" t="n"/>
      <c r="E57" s="31" t="n"/>
      <c r="F57" s="39" t="n"/>
      <c r="G57" s="31" t="n"/>
      <c r="H57" s="31" t="n"/>
      <c r="I57" s="31" t="n"/>
    </row>
    <row r="58">
      <c r="A58" s="37" t="n"/>
      <c r="B58" s="40" t="str">
        <f>IF(A58="","",MAX(1,MIN(24,INT((A58-SETTINGS!$B$6)/7)+1)))</f>
      </c>
      <c r="C58" s="31" t="n"/>
      <c r="D58" s="31" t="n"/>
      <c r="E58" s="31" t="n"/>
      <c r="F58" s="39" t="n"/>
      <c r="G58" s="31" t="n"/>
      <c r="H58" s="31" t="n"/>
      <c r="I58" s="31" t="n"/>
    </row>
    <row r="59">
      <c r="A59" s="37" t="n"/>
      <c r="B59" s="38" t="str">
        <f>IF(A59="","",MAX(1,MIN(24,INT((A59-SETTINGS!$B$6)/7)+1)))</f>
      </c>
      <c r="C59" s="31" t="n"/>
      <c r="D59" s="31" t="n"/>
      <c r="E59" s="31" t="n"/>
      <c r="F59" s="39" t="n"/>
      <c r="G59" s="31" t="n"/>
      <c r="H59" s="31" t="n"/>
      <c r="I59" s="31" t="n"/>
    </row>
    <row r="60">
      <c r="A60" s="37" t="n"/>
      <c r="B60" s="40" t="str">
        <f>IF(A60="","",MAX(1,MIN(24,INT((A60-SETTINGS!$B$6)/7)+1)))</f>
      </c>
      <c r="C60" s="31" t="n"/>
      <c r="D60" s="31" t="n"/>
      <c r="E60" s="31" t="n"/>
      <c r="F60" s="39" t="n"/>
      <c r="G60" s="31" t="n"/>
      <c r="H60" s="31" t="n"/>
      <c r="I60" s="31" t="n"/>
    </row>
    <row r="61">
      <c r="A61" s="37" t="n"/>
      <c r="B61" s="38" t="str">
        <f>IF(A61="","",MAX(1,MIN(24,INT((A61-SETTINGS!$B$6)/7)+1)))</f>
      </c>
      <c r="C61" s="31" t="n"/>
      <c r="D61" s="31" t="n"/>
      <c r="E61" s="31" t="n"/>
      <c r="F61" s="39" t="n"/>
      <c r="G61" s="31" t="n"/>
      <c r="H61" s="31" t="n"/>
      <c r="I61" s="31" t="n"/>
    </row>
    <row r="62">
      <c r="A62" s="37" t="n"/>
      <c r="B62" s="40" t="str">
        <f>IF(A62="","",MAX(1,MIN(24,INT((A62-SETTINGS!$B$6)/7)+1)))</f>
      </c>
      <c r="C62" s="31" t="n"/>
      <c r="D62" s="31" t="n"/>
      <c r="E62" s="31" t="n"/>
      <c r="F62" s="39" t="n"/>
      <c r="G62" s="31" t="n"/>
      <c r="H62" s="31" t="n"/>
      <c r="I62" s="31" t="n"/>
    </row>
    <row r="63">
      <c r="A63" s="37" t="n"/>
      <c r="B63" s="38" t="str">
        <f>IF(A63="","",MAX(1,MIN(24,INT((A63-SETTINGS!$B$6)/7)+1)))</f>
      </c>
      <c r="C63" s="31" t="n"/>
      <c r="D63" s="31" t="n"/>
      <c r="E63" s="31" t="n"/>
      <c r="F63" s="39" t="n"/>
      <c r="G63" s="31" t="n"/>
      <c r="H63" s="31" t="n"/>
      <c r="I63" s="31" t="n"/>
    </row>
    <row r="64">
      <c r="A64" s="37" t="n"/>
      <c r="B64" s="40" t="str">
        <f>IF(A64="","",MAX(1,MIN(24,INT((A64-SETTINGS!$B$6)/7)+1)))</f>
      </c>
      <c r="C64" s="31" t="n"/>
      <c r="D64" s="31" t="n"/>
      <c r="E64" s="31" t="n"/>
      <c r="F64" s="39" t="n"/>
      <c r="G64" s="31" t="n"/>
      <c r="H64" s="31" t="n"/>
      <c r="I64" s="31" t="n"/>
    </row>
    <row r="65">
      <c r="A65" s="37" t="n"/>
      <c r="B65" s="38" t="str">
        <f>IF(A65="","",MAX(1,MIN(24,INT((A65-SETTINGS!$B$6)/7)+1)))</f>
      </c>
      <c r="C65" s="31" t="n"/>
      <c r="D65" s="31" t="n"/>
      <c r="E65" s="31" t="n"/>
      <c r="F65" s="39" t="n"/>
      <c r="G65" s="31" t="n"/>
      <c r="H65" s="31" t="n"/>
      <c r="I65" s="31" t="n"/>
    </row>
    <row r="66">
      <c r="A66" s="37" t="n"/>
      <c r="B66" s="40" t="str">
        <f>IF(A66="","",MAX(1,MIN(24,INT((A66-SETTINGS!$B$6)/7)+1)))</f>
      </c>
      <c r="C66" s="31" t="n"/>
      <c r="D66" s="31" t="n"/>
      <c r="E66" s="31" t="n"/>
      <c r="F66" s="39" t="n"/>
      <c r="G66" s="31" t="n"/>
      <c r="H66" s="31" t="n"/>
      <c r="I66" s="31" t="n"/>
    </row>
    <row r="67">
      <c r="A67" s="37" t="n"/>
      <c r="B67" s="38" t="str">
        <f>IF(A67="","",MAX(1,MIN(24,INT((A67-SETTINGS!$B$6)/7)+1)))</f>
      </c>
      <c r="C67" s="31" t="n"/>
      <c r="D67" s="31" t="n"/>
      <c r="E67" s="31" t="n"/>
      <c r="F67" s="39" t="n"/>
      <c r="G67" s="31" t="n"/>
      <c r="H67" s="31" t="n"/>
      <c r="I67" s="31" t="n"/>
    </row>
    <row r="68">
      <c r="A68" s="37" t="n"/>
      <c r="B68" s="40" t="str">
        <f>IF(A68="","",MAX(1,MIN(24,INT((A68-SETTINGS!$B$6)/7)+1)))</f>
      </c>
      <c r="C68" s="31" t="n"/>
      <c r="D68" s="31" t="n"/>
      <c r="E68" s="31" t="n"/>
      <c r="F68" s="39" t="n"/>
      <c r="G68" s="31" t="n"/>
      <c r="H68" s="31" t="n"/>
      <c r="I68" s="31" t="n"/>
    </row>
    <row r="69">
      <c r="A69" s="37" t="n"/>
      <c r="B69" s="38" t="str">
        <f>IF(A69="","",MAX(1,MIN(24,INT((A69-SETTINGS!$B$6)/7)+1)))</f>
      </c>
      <c r="C69" s="31" t="n"/>
      <c r="D69" s="31" t="n"/>
      <c r="E69" s="31" t="n"/>
      <c r="F69" s="39" t="n"/>
      <c r="G69" s="31" t="n"/>
      <c r="H69" s="31" t="n"/>
      <c r="I69" s="31" t="n"/>
    </row>
    <row r="70">
      <c r="A70" s="37" t="n"/>
      <c r="B70" s="40" t="str">
        <f>IF(A70="","",MAX(1,MIN(24,INT((A70-SETTINGS!$B$6)/7)+1)))</f>
      </c>
      <c r="C70" s="31" t="n"/>
      <c r="D70" s="31" t="n"/>
      <c r="E70" s="31" t="n"/>
      <c r="F70" s="39" t="n"/>
      <c r="G70" s="31" t="n"/>
      <c r="H70" s="31" t="n"/>
      <c r="I70" s="31" t="n"/>
    </row>
    <row r="71">
      <c r="A71" s="37" t="n"/>
      <c r="B71" s="38" t="str">
        <f>IF(A71="","",MAX(1,MIN(24,INT((A71-SETTINGS!$B$6)/7)+1)))</f>
      </c>
      <c r="C71" s="31" t="n"/>
      <c r="D71" s="31" t="n"/>
      <c r="E71" s="31" t="n"/>
      <c r="F71" s="39" t="n"/>
      <c r="G71" s="31" t="n"/>
      <c r="H71" s="31" t="n"/>
      <c r="I71" s="31" t="n"/>
    </row>
    <row r="72">
      <c r="A72" s="37" t="n"/>
      <c r="B72" s="40" t="str">
        <f>IF(A72="","",MAX(1,MIN(24,INT((A72-SETTINGS!$B$6)/7)+1)))</f>
      </c>
      <c r="C72" s="31" t="n"/>
      <c r="D72" s="31" t="n"/>
      <c r="E72" s="31" t="n"/>
      <c r="F72" s="39" t="n"/>
      <c r="G72" s="31" t="n"/>
      <c r="H72" s="31" t="n"/>
      <c r="I72" s="31" t="n"/>
    </row>
    <row r="73">
      <c r="A73" s="37" t="n"/>
      <c r="B73" s="38" t="str">
        <f>IF(A73="","",MAX(1,MIN(24,INT((A73-SETTINGS!$B$6)/7)+1)))</f>
      </c>
      <c r="C73" s="31" t="n"/>
      <c r="D73" s="31" t="n"/>
      <c r="E73" s="31" t="n"/>
      <c r="F73" s="39" t="n"/>
      <c r="G73" s="31" t="n"/>
      <c r="H73" s="31" t="n"/>
      <c r="I73" s="31" t="n"/>
    </row>
    <row r="74">
      <c r="A74" s="37" t="n"/>
      <c r="B74" s="40" t="str">
        <f>IF(A74="","",MAX(1,MIN(24,INT((A74-SETTINGS!$B$6)/7)+1)))</f>
      </c>
      <c r="C74" s="31" t="n"/>
      <c r="D74" s="31" t="n"/>
      <c r="E74" s="31" t="n"/>
      <c r="F74" s="39" t="n"/>
      <c r="G74" s="31" t="n"/>
      <c r="H74" s="31" t="n"/>
      <c r="I74" s="31" t="n"/>
    </row>
    <row r="75">
      <c r="A75" s="37" t="n"/>
      <c r="B75" s="38" t="str">
        <f>IF(A75="","",MAX(1,MIN(24,INT((A75-SETTINGS!$B$6)/7)+1)))</f>
      </c>
      <c r="C75" s="31" t="n"/>
      <c r="D75" s="31" t="n"/>
      <c r="E75" s="31" t="n"/>
      <c r="F75" s="39" t="n"/>
      <c r="G75" s="31" t="n"/>
      <c r="H75" s="31" t="n"/>
      <c r="I75" s="31" t="n"/>
    </row>
    <row r="76">
      <c r="A76" s="37" t="n"/>
      <c r="B76" s="40" t="str">
        <f>IF(A76="","",MAX(1,MIN(24,INT((A76-SETTINGS!$B$6)/7)+1)))</f>
      </c>
      <c r="C76" s="31" t="n"/>
      <c r="D76" s="31" t="n"/>
      <c r="E76" s="31" t="n"/>
      <c r="F76" s="39" t="n"/>
      <c r="G76" s="31" t="n"/>
      <c r="H76" s="31" t="n"/>
      <c r="I76" s="31" t="n"/>
    </row>
    <row r="77">
      <c r="A77" s="37" t="n"/>
      <c r="B77" s="38" t="str">
        <f>IF(A77="","",MAX(1,MIN(24,INT((A77-SETTINGS!$B$6)/7)+1)))</f>
      </c>
      <c r="C77" s="31" t="n"/>
      <c r="D77" s="31" t="n"/>
      <c r="E77" s="31" t="n"/>
      <c r="F77" s="39" t="n"/>
      <c r="G77" s="31" t="n"/>
      <c r="H77" s="31" t="n"/>
      <c r="I77" s="31" t="n"/>
    </row>
    <row r="78">
      <c r="A78" s="37" t="n"/>
      <c r="B78" s="40" t="str">
        <f>IF(A78="","",MAX(1,MIN(24,INT((A78-SETTINGS!$B$6)/7)+1)))</f>
      </c>
      <c r="C78" s="31" t="n"/>
      <c r="D78" s="31" t="n"/>
      <c r="E78" s="31" t="n"/>
      <c r="F78" s="39" t="n"/>
      <c r="G78" s="31" t="n"/>
      <c r="H78" s="31" t="n"/>
      <c r="I78" s="31" t="n"/>
    </row>
    <row r="79">
      <c r="A79" s="37" t="n"/>
      <c r="B79" s="38" t="str">
        <f>IF(A79="","",MAX(1,MIN(24,INT((A79-SETTINGS!$B$6)/7)+1)))</f>
      </c>
      <c r="C79" s="31" t="n"/>
      <c r="D79" s="31" t="n"/>
      <c r="E79" s="31" t="n"/>
      <c r="F79" s="39" t="n"/>
      <c r="G79" s="31" t="n"/>
      <c r="H79" s="31" t="n"/>
      <c r="I79" s="31" t="n"/>
    </row>
    <row r="80">
      <c r="A80" s="37" t="n"/>
      <c r="B80" s="40" t="str">
        <f>IF(A80="","",MAX(1,MIN(24,INT((A80-SETTINGS!$B$6)/7)+1)))</f>
      </c>
      <c r="C80" s="31" t="n"/>
      <c r="D80" s="31" t="n"/>
      <c r="E80" s="31" t="n"/>
      <c r="F80" s="39" t="n"/>
      <c r="G80" s="31" t="n"/>
      <c r="H80" s="31" t="n"/>
      <c r="I80" s="31" t="n"/>
    </row>
    <row r="81">
      <c r="A81" s="37" t="n"/>
      <c r="B81" s="38" t="str">
        <f>IF(A81="","",MAX(1,MIN(24,INT((A81-SETTINGS!$B$6)/7)+1)))</f>
      </c>
      <c r="C81" s="31" t="n"/>
      <c r="D81" s="31" t="n"/>
      <c r="E81" s="31" t="n"/>
      <c r="F81" s="39" t="n"/>
      <c r="G81" s="31" t="n"/>
      <c r="H81" s="31" t="n"/>
      <c r="I81" s="31" t="n"/>
    </row>
    <row r="82">
      <c r="A82" s="37" t="n"/>
      <c r="B82" s="40" t="str">
        <f>IF(A82="","",MAX(1,MIN(24,INT((A82-SETTINGS!$B$6)/7)+1)))</f>
      </c>
      <c r="C82" s="31" t="n"/>
      <c r="D82" s="31" t="n"/>
      <c r="E82" s="31" t="n"/>
      <c r="F82" s="39" t="n"/>
      <c r="G82" s="31" t="n"/>
      <c r="H82" s="31" t="n"/>
      <c r="I82" s="31" t="n"/>
    </row>
    <row r="83">
      <c r="A83" s="37" t="n"/>
      <c r="B83" s="38" t="str">
        <f>IF(A83="","",MAX(1,MIN(24,INT((A83-SETTINGS!$B$6)/7)+1)))</f>
      </c>
      <c r="C83" s="31" t="n"/>
      <c r="D83" s="31" t="n"/>
      <c r="E83" s="31" t="n"/>
      <c r="F83" s="39" t="n"/>
      <c r="G83" s="31" t="n"/>
      <c r="H83" s="31" t="n"/>
      <c r="I83" s="31" t="n"/>
    </row>
    <row r="84">
      <c r="A84" s="37" t="n"/>
      <c r="B84" s="40" t="str">
        <f>IF(A84="","",MAX(1,MIN(24,INT((A84-SETTINGS!$B$6)/7)+1)))</f>
      </c>
      <c r="C84" s="31" t="n"/>
      <c r="D84" s="31" t="n"/>
      <c r="E84" s="31" t="n"/>
      <c r="F84" s="39" t="n"/>
      <c r="G84" s="31" t="n"/>
      <c r="H84" s="31" t="n"/>
      <c r="I84" s="31" t="n"/>
    </row>
    <row r="85">
      <c r="A85" s="37" t="n"/>
      <c r="B85" s="38" t="str">
        <f>IF(A85="","",MAX(1,MIN(24,INT((A85-SETTINGS!$B$6)/7)+1)))</f>
      </c>
      <c r="C85" s="31" t="n"/>
      <c r="D85" s="31" t="n"/>
      <c r="E85" s="31" t="n"/>
      <c r="F85" s="39" t="n"/>
      <c r="G85" s="31" t="n"/>
      <c r="H85" s="31" t="n"/>
      <c r="I85" s="31" t="n"/>
    </row>
    <row r="86">
      <c r="A86" s="37" t="n"/>
      <c r="B86" s="40" t="str">
        <f>IF(A86="","",MAX(1,MIN(24,INT((A86-SETTINGS!$B$6)/7)+1)))</f>
      </c>
      <c r="C86" s="31" t="n"/>
      <c r="D86" s="31" t="n"/>
      <c r="E86" s="31" t="n"/>
      <c r="F86" s="39" t="n"/>
      <c r="G86" s="31" t="n"/>
      <c r="H86" s="31" t="n"/>
      <c r="I86" s="31" t="n"/>
    </row>
    <row r="87">
      <c r="A87" s="37" t="n"/>
      <c r="B87" s="38" t="str">
        <f>IF(A87="","",MAX(1,MIN(24,INT((A87-SETTINGS!$B$6)/7)+1)))</f>
      </c>
      <c r="C87" s="31" t="n"/>
      <c r="D87" s="31" t="n"/>
      <c r="E87" s="31" t="n"/>
      <c r="F87" s="39" t="n"/>
      <c r="G87" s="31" t="n"/>
      <c r="H87" s="31" t="n"/>
      <c r="I87" s="31" t="n"/>
    </row>
    <row r="88">
      <c r="A88" s="37" t="n"/>
      <c r="B88" s="40" t="str">
        <f>IF(A88="","",MAX(1,MIN(24,INT((A88-SETTINGS!$B$6)/7)+1)))</f>
      </c>
      <c r="C88" s="31" t="n"/>
      <c r="D88" s="31" t="n"/>
      <c r="E88" s="31" t="n"/>
      <c r="F88" s="39" t="n"/>
      <c r="G88" s="31" t="n"/>
      <c r="H88" s="31" t="n"/>
      <c r="I88" s="31" t="n"/>
    </row>
    <row r="89">
      <c r="A89" s="37" t="n"/>
      <c r="B89" s="38" t="str">
        <f>IF(A89="","",MAX(1,MIN(24,INT((A89-SETTINGS!$B$6)/7)+1)))</f>
      </c>
      <c r="C89" s="31" t="n"/>
      <c r="D89" s="31" t="n"/>
      <c r="E89" s="31" t="n"/>
      <c r="F89" s="39" t="n"/>
      <c r="G89" s="31" t="n"/>
      <c r="H89" s="31" t="n"/>
      <c r="I89" s="31" t="n"/>
    </row>
    <row r="90">
      <c r="A90" s="37" t="n"/>
      <c r="B90" s="40" t="str">
        <f>IF(A90="","",MAX(1,MIN(24,INT((A90-SETTINGS!$B$6)/7)+1)))</f>
      </c>
      <c r="C90" s="31" t="n"/>
      <c r="D90" s="31" t="n"/>
      <c r="E90" s="31" t="n"/>
      <c r="F90" s="39" t="n"/>
      <c r="G90" s="31" t="n"/>
      <c r="H90" s="31" t="n"/>
      <c r="I90" s="31" t="n"/>
    </row>
    <row r="91">
      <c r="A91" s="37" t="n"/>
      <c r="B91" s="38" t="str">
        <f>IF(A91="","",MAX(1,MIN(24,INT((A91-SETTINGS!$B$6)/7)+1)))</f>
      </c>
      <c r="C91" s="31" t="n"/>
      <c r="D91" s="31" t="n"/>
      <c r="E91" s="31" t="n"/>
      <c r="F91" s="39" t="n"/>
      <c r="G91" s="31" t="n"/>
      <c r="H91" s="31" t="n"/>
      <c r="I91" s="31" t="n"/>
    </row>
    <row r="92">
      <c r="A92" s="37" t="n"/>
      <c r="B92" s="40" t="str">
        <f>IF(A92="","",MAX(1,MIN(24,INT((A92-SETTINGS!$B$6)/7)+1)))</f>
      </c>
      <c r="C92" s="31" t="n"/>
      <c r="D92" s="31" t="n"/>
      <c r="E92" s="31" t="n"/>
      <c r="F92" s="39" t="n"/>
      <c r="G92" s="31" t="n"/>
      <c r="H92" s="31" t="n"/>
      <c r="I92" s="31" t="n"/>
    </row>
    <row r="93">
      <c r="A93" s="37" t="n"/>
      <c r="B93" s="38" t="str">
        <f>IF(A93="","",MAX(1,MIN(24,INT((A93-SETTINGS!$B$6)/7)+1)))</f>
      </c>
      <c r="C93" s="31" t="n"/>
      <c r="D93" s="31" t="n"/>
      <c r="E93" s="31" t="n"/>
      <c r="F93" s="39" t="n"/>
      <c r="G93" s="31" t="n"/>
      <c r="H93" s="31" t="n"/>
      <c r="I93" s="31" t="n"/>
    </row>
    <row r="94">
      <c r="A94" s="37" t="n"/>
      <c r="B94" s="40" t="str">
        <f>IF(A94="","",MAX(1,MIN(24,INT((A94-SETTINGS!$B$6)/7)+1)))</f>
      </c>
      <c r="C94" s="31" t="n"/>
      <c r="D94" s="31" t="n"/>
      <c r="E94" s="31" t="n"/>
      <c r="F94" s="39" t="n"/>
      <c r="G94" s="31" t="n"/>
      <c r="H94" s="31" t="n"/>
      <c r="I94" s="31" t="n"/>
    </row>
    <row r="95">
      <c r="A95" s="37" t="n"/>
      <c r="B95" s="38" t="str">
        <f>IF(A95="","",MAX(1,MIN(24,INT((A95-SETTINGS!$B$6)/7)+1)))</f>
      </c>
      <c r="C95" s="31" t="n"/>
      <c r="D95" s="31" t="n"/>
      <c r="E95" s="31" t="n"/>
      <c r="F95" s="39" t="n"/>
      <c r="G95" s="31" t="n"/>
      <c r="H95" s="31" t="n"/>
      <c r="I95" s="31" t="n"/>
    </row>
    <row r="96">
      <c r="A96" s="37" t="n"/>
      <c r="B96" s="40" t="str">
        <f>IF(A96="","",MAX(1,MIN(24,INT((A96-SETTINGS!$B$6)/7)+1)))</f>
      </c>
      <c r="C96" s="31" t="n"/>
      <c r="D96" s="31" t="n"/>
      <c r="E96" s="31" t="n"/>
      <c r="F96" s="39" t="n"/>
      <c r="G96" s="31" t="n"/>
      <c r="H96" s="31" t="n"/>
      <c r="I96" s="31" t="n"/>
    </row>
    <row r="97">
      <c r="A97" s="37" t="n"/>
      <c r="B97" s="38" t="str">
        <f>IF(A97="","",MAX(1,MIN(24,INT((A97-SETTINGS!$B$6)/7)+1)))</f>
      </c>
      <c r="C97" s="31" t="n"/>
      <c r="D97" s="31" t="n"/>
      <c r="E97" s="31" t="n"/>
      <c r="F97" s="39" t="n"/>
      <c r="G97" s="31" t="n"/>
      <c r="H97" s="31" t="n"/>
      <c r="I97" s="31" t="n"/>
    </row>
    <row r="98">
      <c r="A98" s="37" t="n"/>
      <c r="B98" s="40" t="str">
        <f>IF(A98="","",MAX(1,MIN(24,INT((A98-SETTINGS!$B$6)/7)+1)))</f>
      </c>
      <c r="C98" s="31" t="n"/>
      <c r="D98" s="31" t="n"/>
      <c r="E98" s="31" t="n"/>
      <c r="F98" s="39" t="n"/>
      <c r="G98" s="31" t="n"/>
      <c r="H98" s="31" t="n"/>
      <c r="I98" s="31" t="n"/>
    </row>
    <row r="99">
      <c r="A99" s="37" t="n"/>
      <c r="B99" s="38" t="str">
        <f>IF(A99="","",MAX(1,MIN(24,INT((A99-SETTINGS!$B$6)/7)+1)))</f>
      </c>
      <c r="C99" s="31" t="n"/>
      <c r="D99" s="31" t="n"/>
      <c r="E99" s="31" t="n"/>
      <c r="F99" s="39" t="n"/>
      <c r="G99" s="31" t="n"/>
      <c r="H99" s="31" t="n"/>
      <c r="I99" s="31" t="n"/>
    </row>
    <row r="100">
      <c r="A100" s="37" t="n"/>
      <c r="B100" s="40" t="str">
        <f>IF(A100="","",MAX(1,MIN(24,INT((A100-SETTINGS!$B$6)/7)+1)))</f>
      </c>
      <c r="C100" s="31" t="n"/>
      <c r="D100" s="31" t="n"/>
      <c r="E100" s="31" t="n"/>
      <c r="F100" s="39" t="n"/>
      <c r="G100" s="31" t="n"/>
      <c r="H100" s="31" t="n"/>
      <c r="I100" s="31" t="n"/>
    </row>
    <row r="101">
      <c r="A101" s="37" t="n"/>
      <c r="B101" s="38" t="str">
        <f>IF(A101="","",MAX(1,MIN(24,INT((A101-SETTINGS!$B$6)/7)+1)))</f>
      </c>
      <c r="C101" s="31" t="n"/>
      <c r="D101" s="31" t="n"/>
      <c r="E101" s="31" t="n"/>
      <c r="F101" s="39" t="n"/>
      <c r="G101" s="31" t="n"/>
      <c r="H101" s="31" t="n"/>
      <c r="I101" s="31" t="n"/>
    </row>
    <row r="102">
      <c r="A102" s="37" t="n"/>
      <c r="B102" s="40" t="str">
        <f>IF(A102="","",MAX(1,MIN(24,INT((A102-SETTINGS!$B$6)/7)+1)))</f>
      </c>
      <c r="C102" s="31" t="n"/>
      <c r="D102" s="31" t="n"/>
      <c r="E102" s="31" t="n"/>
      <c r="F102" s="39" t="n"/>
      <c r="G102" s="31" t="n"/>
      <c r="H102" s="31" t="n"/>
      <c r="I102" s="31" t="n"/>
    </row>
    <row r="103">
      <c r="A103" s="37" t="n"/>
      <c r="B103" s="38" t="str">
        <f>IF(A103="","",MAX(1,MIN(24,INT((A103-SETTINGS!$B$6)/7)+1)))</f>
      </c>
      <c r="C103" s="31" t="n"/>
      <c r="D103" s="31" t="n"/>
      <c r="E103" s="31" t="n"/>
      <c r="F103" s="39" t="n"/>
      <c r="G103" s="31" t="n"/>
      <c r="H103" s="31" t="n"/>
      <c r="I103" s="31" t="n"/>
    </row>
    <row r="104">
      <c r="A104" s="37" t="n"/>
      <c r="B104" s="40" t="str">
        <f>IF(A104="","",MAX(1,MIN(24,INT((A104-SETTINGS!$B$6)/7)+1)))</f>
      </c>
      <c r="C104" s="31" t="n"/>
      <c r="D104" s="31" t="n"/>
      <c r="E104" s="31" t="n"/>
      <c r="F104" s="39" t="n"/>
      <c r="G104" s="31" t="n"/>
      <c r="H104" s="31" t="n"/>
      <c r="I104" s="31" t="n"/>
    </row>
    <row r="105">
      <c r="A105" s="37" t="n"/>
      <c r="B105" s="38" t="str">
        <f>IF(A105="","",MAX(1,MIN(24,INT((A105-SETTINGS!$B$6)/7)+1)))</f>
      </c>
      <c r="C105" s="31" t="n"/>
      <c r="D105" s="31" t="n"/>
      <c r="E105" s="31" t="n"/>
      <c r="F105" s="39" t="n"/>
      <c r="G105" s="31" t="n"/>
      <c r="H105" s="31" t="n"/>
      <c r="I105" s="31" t="n"/>
    </row>
    <row r="106">
      <c r="A106" s="37" t="n"/>
      <c r="B106" s="40" t="str">
        <f>IF(A106="","",MAX(1,MIN(24,INT((A106-SETTINGS!$B$6)/7)+1)))</f>
      </c>
      <c r="C106" s="31" t="n"/>
      <c r="D106" s="31" t="n"/>
      <c r="E106" s="31" t="n"/>
      <c r="F106" s="39" t="n"/>
      <c r="G106" s="31" t="n"/>
      <c r="H106" s="31" t="n"/>
      <c r="I106" s="31" t="n"/>
    </row>
    <row r="107">
      <c r="A107" s="37" t="n"/>
      <c r="B107" s="38" t="str">
        <f>IF(A107="","",MAX(1,MIN(24,INT((A107-SETTINGS!$B$6)/7)+1)))</f>
      </c>
      <c r="C107" s="31" t="n"/>
      <c r="D107" s="31" t="n"/>
      <c r="E107" s="31" t="n"/>
      <c r="F107" s="39" t="n"/>
      <c r="G107" s="31" t="n"/>
      <c r="H107" s="31" t="n"/>
      <c r="I107" s="31" t="n"/>
    </row>
    <row r="108">
      <c r="A108" s="37" t="n"/>
      <c r="B108" s="40" t="str">
        <f>IF(A108="","",MAX(1,MIN(24,INT((A108-SETTINGS!$B$6)/7)+1)))</f>
      </c>
      <c r="C108" s="31" t="n"/>
      <c r="D108" s="31" t="n"/>
      <c r="E108" s="31" t="n"/>
      <c r="F108" s="39" t="n"/>
      <c r="G108" s="31" t="n"/>
      <c r="H108" s="31" t="n"/>
      <c r="I108" s="31" t="n"/>
    </row>
    <row r="109">
      <c r="A109" s="37" t="n"/>
      <c r="B109" s="38" t="str">
        <f>IF(A109="","",MAX(1,MIN(24,INT((A109-SETTINGS!$B$6)/7)+1)))</f>
      </c>
      <c r="C109" s="31" t="n"/>
      <c r="D109" s="31" t="n"/>
      <c r="E109" s="31" t="n"/>
      <c r="F109" s="39" t="n"/>
      <c r="G109" s="31" t="n"/>
      <c r="H109" s="31" t="n"/>
      <c r="I109" s="31" t="n"/>
    </row>
    <row r="110">
      <c r="A110" s="37" t="n"/>
      <c r="B110" s="40" t="str">
        <f>IF(A110="","",MAX(1,MIN(24,INT((A110-SETTINGS!$B$6)/7)+1)))</f>
      </c>
      <c r="C110" s="31" t="n"/>
      <c r="D110" s="31" t="n"/>
      <c r="E110" s="31" t="n"/>
      <c r="F110" s="39" t="n"/>
      <c r="G110" s="31" t="n"/>
      <c r="H110" s="31" t="n"/>
      <c r="I110" s="31" t="n"/>
    </row>
    <row r="111">
      <c r="A111" s="37" t="n"/>
      <c r="B111" s="38" t="str">
        <f>IF(A111="","",MAX(1,MIN(24,INT((A111-SETTINGS!$B$6)/7)+1)))</f>
      </c>
      <c r="C111" s="31" t="n"/>
      <c r="D111" s="31" t="n"/>
      <c r="E111" s="31" t="n"/>
      <c r="F111" s="39" t="n"/>
      <c r="G111" s="31" t="n"/>
      <c r="H111" s="31" t="n"/>
      <c r="I111" s="31" t="n"/>
    </row>
    <row r="112">
      <c r="A112" s="37" t="n"/>
      <c r="B112" s="40" t="str">
        <f>IF(A112="","",MAX(1,MIN(24,INT((A112-SETTINGS!$B$6)/7)+1)))</f>
      </c>
      <c r="C112" s="31" t="n"/>
      <c r="D112" s="31" t="n"/>
      <c r="E112" s="31" t="n"/>
      <c r="F112" s="39" t="n"/>
      <c r="G112" s="31" t="n"/>
      <c r="H112" s="31" t="n"/>
      <c r="I112" s="31" t="n"/>
    </row>
    <row r="113">
      <c r="A113" s="37" t="n"/>
      <c r="B113" s="38" t="str">
        <f>IF(A113="","",MAX(1,MIN(24,INT((A113-SETTINGS!$B$6)/7)+1)))</f>
      </c>
      <c r="C113" s="31" t="n"/>
      <c r="D113" s="31" t="n"/>
      <c r="E113" s="31" t="n"/>
      <c r="F113" s="39" t="n"/>
      <c r="G113" s="31" t="n"/>
      <c r="H113" s="31" t="n"/>
      <c r="I113" s="31" t="n"/>
    </row>
    <row r="114">
      <c r="A114" s="37" t="n"/>
      <c r="B114" s="40" t="str">
        <f>IF(A114="","",MAX(1,MIN(24,INT((A114-SETTINGS!$B$6)/7)+1)))</f>
      </c>
      <c r="C114" s="31" t="n"/>
      <c r="D114" s="31" t="n"/>
      <c r="E114" s="31" t="n"/>
      <c r="F114" s="39" t="n"/>
      <c r="G114" s="31" t="n"/>
      <c r="H114" s="31" t="n"/>
      <c r="I114" s="31" t="n"/>
    </row>
    <row r="115">
      <c r="A115" s="37" t="n"/>
      <c r="B115" s="38" t="str">
        <f>IF(A115="","",MAX(1,MIN(24,INT((A115-SETTINGS!$B$6)/7)+1)))</f>
      </c>
      <c r="C115" s="31" t="n"/>
      <c r="D115" s="31" t="n"/>
      <c r="E115" s="31" t="n"/>
      <c r="F115" s="39" t="n"/>
      <c r="G115" s="31" t="n"/>
      <c r="H115" s="31" t="n"/>
      <c r="I115" s="31" t="n"/>
    </row>
    <row r="116">
      <c r="A116" s="37" t="n"/>
      <c r="B116" s="40" t="str">
        <f>IF(A116="","",MAX(1,MIN(24,INT((A116-SETTINGS!$B$6)/7)+1)))</f>
      </c>
      <c r="C116" s="31" t="n"/>
      <c r="D116" s="31" t="n"/>
      <c r="E116" s="31" t="n"/>
      <c r="F116" s="39" t="n"/>
      <c r="G116" s="31" t="n"/>
      <c r="H116" s="31" t="n"/>
      <c r="I116" s="31" t="n"/>
    </row>
    <row r="117">
      <c r="A117" s="37" t="n"/>
      <c r="B117" s="38" t="str">
        <f>IF(A117="","",MAX(1,MIN(24,INT((A117-SETTINGS!$B$6)/7)+1)))</f>
      </c>
      <c r="C117" s="31" t="n"/>
      <c r="D117" s="31" t="n"/>
      <c r="E117" s="31" t="n"/>
      <c r="F117" s="39" t="n"/>
      <c r="G117" s="31" t="n"/>
      <c r="H117" s="31" t="n"/>
      <c r="I117" s="31" t="n"/>
    </row>
    <row r="118">
      <c r="A118" s="37" t="n"/>
      <c r="B118" s="40" t="str">
        <f>IF(A118="","",MAX(1,MIN(24,INT((A118-SETTINGS!$B$6)/7)+1)))</f>
      </c>
      <c r="C118" s="31" t="n"/>
      <c r="D118" s="31" t="n"/>
      <c r="E118" s="31" t="n"/>
      <c r="F118" s="39" t="n"/>
      <c r="G118" s="31" t="n"/>
      <c r="H118" s="31" t="n"/>
      <c r="I118" s="31" t="n"/>
    </row>
    <row r="119">
      <c r="A119" s="37" t="n"/>
      <c r="B119" s="38" t="str">
        <f>IF(A119="","",MAX(1,MIN(24,INT((A119-SETTINGS!$B$6)/7)+1)))</f>
      </c>
      <c r="C119" s="31" t="n"/>
      <c r="D119" s="31" t="n"/>
      <c r="E119" s="31" t="n"/>
      <c r="F119" s="39" t="n"/>
      <c r="G119" s="31" t="n"/>
      <c r="H119" s="31" t="n"/>
      <c r="I119" s="31" t="n"/>
    </row>
    <row r="120">
      <c r="A120" s="37" t="n"/>
      <c r="B120" s="40" t="str">
        <f>IF(A120="","",MAX(1,MIN(24,INT((A120-SETTINGS!$B$6)/7)+1)))</f>
      </c>
      <c r="C120" s="31" t="n"/>
      <c r="D120" s="31" t="n"/>
      <c r="E120" s="31" t="n"/>
      <c r="F120" s="39" t="n"/>
      <c r="G120" s="31" t="n"/>
      <c r="H120" s="31" t="n"/>
      <c r="I120" s="31" t="n"/>
    </row>
    <row r="121">
      <c r="A121" s="37" t="n"/>
      <c r="B121" s="38" t="str">
        <f>IF(A121="","",MAX(1,MIN(24,INT((A121-SETTINGS!$B$6)/7)+1)))</f>
      </c>
      <c r="C121" s="31" t="n"/>
      <c r="D121" s="31" t="n"/>
      <c r="E121" s="31" t="n"/>
      <c r="F121" s="39" t="n"/>
      <c r="G121" s="31" t="n"/>
      <c r="H121" s="31" t="n"/>
      <c r="I121" s="31" t="n"/>
    </row>
    <row r="122">
      <c r="A122" s="37" t="n"/>
      <c r="B122" s="40" t="str">
        <f>IF(A122="","",MAX(1,MIN(24,INT((A122-SETTINGS!$B$6)/7)+1)))</f>
      </c>
      <c r="C122" s="31" t="n"/>
      <c r="D122" s="31" t="n"/>
      <c r="E122" s="31" t="n"/>
      <c r="F122" s="39" t="n"/>
      <c r="G122" s="31" t="n"/>
      <c r="H122" s="31" t="n"/>
      <c r="I122" s="31" t="n"/>
    </row>
    <row r="123">
      <c r="A123" s="37" t="n"/>
      <c r="B123" s="38" t="str">
        <f>IF(A123="","",MAX(1,MIN(24,INT((A123-SETTINGS!$B$6)/7)+1)))</f>
      </c>
      <c r="C123" s="31" t="n"/>
      <c r="D123" s="31" t="n"/>
      <c r="E123" s="31" t="n"/>
      <c r="F123" s="39" t="n"/>
      <c r="G123" s="31" t="n"/>
      <c r="H123" s="31" t="n"/>
      <c r="I123" s="31" t="n"/>
    </row>
    <row r="124">
      <c r="A124" s="37" t="n"/>
      <c r="B124" s="40" t="str">
        <f>IF(A124="","",MAX(1,MIN(24,INT((A124-SETTINGS!$B$6)/7)+1)))</f>
      </c>
      <c r="C124" s="31" t="n"/>
      <c r="D124" s="31" t="n"/>
      <c r="E124" s="31" t="n"/>
      <c r="F124" s="39" t="n"/>
      <c r="G124" s="31" t="n"/>
      <c r="H124" s="31" t="n"/>
      <c r="I124" s="31" t="n"/>
    </row>
    <row r="125">
      <c r="A125" s="37" t="n"/>
      <c r="B125" s="38" t="str">
        <f>IF(A125="","",MAX(1,MIN(24,INT((A125-SETTINGS!$B$6)/7)+1)))</f>
      </c>
      <c r="C125" s="31" t="n"/>
      <c r="D125" s="31" t="n"/>
      <c r="E125" s="31" t="n"/>
      <c r="F125" s="39" t="n"/>
      <c r="G125" s="31" t="n"/>
      <c r="H125" s="31" t="n"/>
      <c r="I125" s="31" t="n"/>
    </row>
    <row r="126">
      <c r="A126" s="37" t="n"/>
      <c r="B126" s="40" t="str">
        <f>IF(A126="","",MAX(1,MIN(24,INT((A126-SETTINGS!$B$6)/7)+1)))</f>
      </c>
      <c r="C126" s="31" t="n"/>
      <c r="D126" s="31" t="n"/>
      <c r="E126" s="31" t="n"/>
      <c r="F126" s="39" t="n"/>
      <c r="G126" s="31" t="n"/>
      <c r="H126" s="31" t="n"/>
      <c r="I126" s="31" t="n"/>
    </row>
    <row r="127">
      <c r="A127" s="37" t="n"/>
      <c r="B127" s="38" t="str">
        <f>IF(A127="","",MAX(1,MIN(24,INT((A127-SETTINGS!$B$6)/7)+1)))</f>
      </c>
      <c r="C127" s="31" t="n"/>
      <c r="D127" s="31" t="n"/>
      <c r="E127" s="31" t="n"/>
      <c r="F127" s="39" t="n"/>
      <c r="G127" s="31" t="n"/>
      <c r="H127" s="31" t="n"/>
      <c r="I127" s="31" t="n"/>
    </row>
    <row r="128">
      <c r="A128" s="37" t="n"/>
      <c r="B128" s="40" t="str">
        <f>IF(A128="","",MAX(1,MIN(24,INT((A128-SETTINGS!$B$6)/7)+1)))</f>
      </c>
      <c r="C128" s="31" t="n"/>
      <c r="D128" s="31" t="n"/>
      <c r="E128" s="31" t="n"/>
      <c r="F128" s="39" t="n"/>
      <c r="G128" s="31" t="n"/>
      <c r="H128" s="31" t="n"/>
      <c r="I128" s="31" t="n"/>
    </row>
    <row r="129">
      <c r="A129" s="37" t="n"/>
      <c r="B129" s="38" t="str">
        <f>IF(A129="","",MAX(1,MIN(24,INT((A129-SETTINGS!$B$6)/7)+1)))</f>
      </c>
      <c r="C129" s="31" t="n"/>
      <c r="D129" s="31" t="n"/>
      <c r="E129" s="31" t="n"/>
      <c r="F129" s="39" t="n"/>
      <c r="G129" s="31" t="n"/>
      <c r="H129" s="31" t="n"/>
      <c r="I129" s="31" t="n"/>
    </row>
    <row r="130">
      <c r="A130" s="37" t="n"/>
      <c r="B130" s="40" t="str">
        <f>IF(A130="","",MAX(1,MIN(24,INT((A130-SETTINGS!$B$6)/7)+1)))</f>
      </c>
      <c r="C130" s="31" t="n"/>
      <c r="D130" s="31" t="n"/>
      <c r="E130" s="31" t="n"/>
      <c r="F130" s="39" t="n"/>
      <c r="G130" s="31" t="n"/>
      <c r="H130" s="31" t="n"/>
      <c r="I130" s="31" t="n"/>
    </row>
    <row r="131">
      <c r="A131" s="37" t="n"/>
      <c r="B131" s="38" t="str">
        <f>IF(A131="","",MAX(1,MIN(24,INT((A131-SETTINGS!$B$6)/7)+1)))</f>
      </c>
      <c r="C131" s="31" t="n"/>
      <c r="D131" s="31" t="n"/>
      <c r="E131" s="31" t="n"/>
      <c r="F131" s="39" t="n"/>
      <c r="G131" s="31" t="n"/>
      <c r="H131" s="31" t="n"/>
      <c r="I131" s="31" t="n"/>
    </row>
    <row r="132">
      <c r="A132" s="37" t="n"/>
      <c r="B132" s="40" t="str">
        <f>IF(A132="","",MAX(1,MIN(24,INT((A132-SETTINGS!$B$6)/7)+1)))</f>
      </c>
      <c r="C132" s="31" t="n"/>
      <c r="D132" s="31" t="n"/>
      <c r="E132" s="31" t="n"/>
      <c r="F132" s="39" t="n"/>
      <c r="G132" s="31" t="n"/>
      <c r="H132" s="31" t="n"/>
      <c r="I132" s="31" t="n"/>
    </row>
    <row r="133">
      <c r="A133" s="37" t="n"/>
      <c r="B133" s="38" t="str">
        <f>IF(A133="","",MAX(1,MIN(24,INT((A133-SETTINGS!$B$6)/7)+1)))</f>
      </c>
      <c r="C133" s="31" t="n"/>
      <c r="D133" s="31" t="n"/>
      <c r="E133" s="31" t="n"/>
      <c r="F133" s="39" t="n"/>
      <c r="G133" s="31" t="n"/>
      <c r="H133" s="31" t="n"/>
      <c r="I133" s="31" t="n"/>
    </row>
    <row r="134">
      <c r="A134" s="37" t="n"/>
      <c r="B134" s="40" t="str">
        <f>IF(A134="","",MAX(1,MIN(24,INT((A134-SETTINGS!$B$6)/7)+1)))</f>
      </c>
      <c r="C134" s="31" t="n"/>
      <c r="D134" s="31" t="n"/>
      <c r="E134" s="31" t="n"/>
      <c r="F134" s="39" t="n"/>
      <c r="G134" s="31" t="n"/>
      <c r="H134" s="31" t="n"/>
      <c r="I134" s="31" t="n"/>
    </row>
    <row r="135">
      <c r="A135" s="37" t="n"/>
      <c r="B135" s="38" t="str">
        <f>IF(A135="","",MAX(1,MIN(24,INT((A135-SETTINGS!$B$6)/7)+1)))</f>
      </c>
      <c r="C135" s="31" t="n"/>
      <c r="D135" s="31" t="n"/>
      <c r="E135" s="31" t="n"/>
      <c r="F135" s="39" t="n"/>
      <c r="G135" s="31" t="n"/>
      <c r="H135" s="31" t="n"/>
      <c r="I135" s="31" t="n"/>
    </row>
    <row r="136">
      <c r="A136" s="37" t="n"/>
      <c r="B136" s="40" t="str">
        <f>IF(A136="","",MAX(1,MIN(24,INT((A136-SETTINGS!$B$6)/7)+1)))</f>
      </c>
      <c r="C136" s="31" t="n"/>
      <c r="D136" s="31" t="n"/>
      <c r="E136" s="31" t="n"/>
      <c r="F136" s="39" t="n"/>
      <c r="G136" s="31" t="n"/>
      <c r="H136" s="31" t="n"/>
      <c r="I136" s="31" t="n"/>
    </row>
    <row r="137">
      <c r="A137" s="37" t="n"/>
      <c r="B137" s="38" t="str">
        <f>IF(A137="","",MAX(1,MIN(24,INT((A137-SETTINGS!$B$6)/7)+1)))</f>
      </c>
      <c r="C137" s="31" t="n"/>
      <c r="D137" s="31" t="n"/>
      <c r="E137" s="31" t="n"/>
      <c r="F137" s="39" t="n"/>
      <c r="G137" s="31" t="n"/>
      <c r="H137" s="31" t="n"/>
      <c r="I137" s="31" t="n"/>
    </row>
    <row r="138">
      <c r="A138" s="37" t="n"/>
      <c r="B138" s="40" t="str">
        <f>IF(A138="","",MAX(1,MIN(24,INT((A138-SETTINGS!$B$6)/7)+1)))</f>
      </c>
      <c r="C138" s="31" t="n"/>
      <c r="D138" s="31" t="n"/>
      <c r="E138" s="31" t="n"/>
      <c r="F138" s="39" t="n"/>
      <c r="G138" s="31" t="n"/>
      <c r="H138" s="31" t="n"/>
      <c r="I138" s="31" t="n"/>
    </row>
    <row r="139">
      <c r="A139" s="37" t="n"/>
      <c r="B139" s="38" t="str">
        <f>IF(A139="","",MAX(1,MIN(24,INT((A139-SETTINGS!$B$6)/7)+1)))</f>
      </c>
      <c r="C139" s="31" t="n"/>
      <c r="D139" s="31" t="n"/>
      <c r="E139" s="31" t="n"/>
      <c r="F139" s="39" t="n"/>
      <c r="G139" s="31" t="n"/>
      <c r="H139" s="31" t="n"/>
      <c r="I139" s="31" t="n"/>
    </row>
    <row r="140">
      <c r="A140" s="37" t="n"/>
      <c r="B140" s="40" t="str">
        <f>IF(A140="","",MAX(1,MIN(24,INT((A140-SETTINGS!$B$6)/7)+1)))</f>
      </c>
      <c r="C140" s="31" t="n"/>
      <c r="D140" s="31" t="n"/>
      <c r="E140" s="31" t="n"/>
      <c r="F140" s="39" t="n"/>
      <c r="G140" s="31" t="n"/>
      <c r="H140" s="31" t="n"/>
      <c r="I140" s="31" t="n"/>
    </row>
    <row r="141">
      <c r="A141" s="37" t="n"/>
      <c r="B141" s="38" t="str">
        <f>IF(A141="","",MAX(1,MIN(24,INT((A141-SETTINGS!$B$6)/7)+1)))</f>
      </c>
      <c r="C141" s="31" t="n"/>
      <c r="D141" s="31" t="n"/>
      <c r="E141" s="31" t="n"/>
      <c r="F141" s="39" t="n"/>
      <c r="G141" s="31" t="n"/>
      <c r="H141" s="31" t="n"/>
      <c r="I141" s="31" t="n"/>
    </row>
    <row r="142">
      <c r="A142" s="37" t="n"/>
      <c r="B142" s="40" t="str">
        <f>IF(A142="","",MAX(1,MIN(24,INT((A142-SETTINGS!$B$6)/7)+1)))</f>
      </c>
      <c r="C142" s="31" t="n"/>
      <c r="D142" s="31" t="n"/>
      <c r="E142" s="31" t="n"/>
      <c r="F142" s="39" t="n"/>
      <c r="G142" s="31" t="n"/>
      <c r="H142" s="31" t="n"/>
      <c r="I142" s="31" t="n"/>
    </row>
    <row r="143">
      <c r="A143" s="37" t="n"/>
      <c r="B143" s="38" t="str">
        <f>IF(A143="","",MAX(1,MIN(24,INT((A143-SETTINGS!$B$6)/7)+1)))</f>
      </c>
      <c r="C143" s="31" t="n"/>
      <c r="D143" s="31" t="n"/>
      <c r="E143" s="31" t="n"/>
      <c r="F143" s="39" t="n"/>
      <c r="G143" s="31" t="n"/>
      <c r="H143" s="31" t="n"/>
      <c r="I143" s="31" t="n"/>
    </row>
    <row r="144">
      <c r="A144" s="37" t="n"/>
      <c r="B144" s="40" t="str">
        <f>IF(A144="","",MAX(1,MIN(24,INT((A144-SETTINGS!$B$6)/7)+1)))</f>
      </c>
      <c r="C144" s="31" t="n"/>
      <c r="D144" s="31" t="n"/>
      <c r="E144" s="31" t="n"/>
      <c r="F144" s="39" t="n"/>
      <c r="G144" s="31" t="n"/>
      <c r="H144" s="31" t="n"/>
      <c r="I144" s="31" t="n"/>
    </row>
    <row r="145">
      <c r="A145" s="37" t="n"/>
      <c r="B145" s="38" t="str">
        <f>IF(A145="","",MAX(1,MIN(24,INT((A145-SETTINGS!$B$6)/7)+1)))</f>
      </c>
      <c r="C145" s="31" t="n"/>
      <c r="D145" s="31" t="n"/>
      <c r="E145" s="31" t="n"/>
      <c r="F145" s="39" t="n"/>
      <c r="G145" s="31" t="n"/>
      <c r="H145" s="31" t="n"/>
      <c r="I145" s="31" t="n"/>
    </row>
    <row r="146">
      <c r="A146" s="37" t="n"/>
      <c r="B146" s="40" t="str">
        <f>IF(A146="","",MAX(1,MIN(24,INT((A146-SETTINGS!$B$6)/7)+1)))</f>
      </c>
      <c r="C146" s="31" t="n"/>
      <c r="D146" s="31" t="n"/>
      <c r="E146" s="31" t="n"/>
      <c r="F146" s="39" t="n"/>
      <c r="G146" s="31" t="n"/>
      <c r="H146" s="31" t="n"/>
      <c r="I146" s="31" t="n"/>
    </row>
    <row r="147">
      <c r="A147" s="37" t="n"/>
      <c r="B147" s="38" t="str">
        <f>IF(A147="","",MAX(1,MIN(24,INT((A147-SETTINGS!$B$6)/7)+1)))</f>
      </c>
      <c r="C147" s="31" t="n"/>
      <c r="D147" s="31" t="n"/>
      <c r="E147" s="31" t="n"/>
      <c r="F147" s="39" t="n"/>
      <c r="G147" s="31" t="n"/>
      <c r="H147" s="31" t="n"/>
      <c r="I147" s="31" t="n"/>
    </row>
    <row r="148">
      <c r="A148" s="37" t="n"/>
      <c r="B148" s="40" t="str">
        <f>IF(A148="","",MAX(1,MIN(24,INT((A148-SETTINGS!$B$6)/7)+1)))</f>
      </c>
      <c r="C148" s="31" t="n"/>
      <c r="D148" s="31" t="n"/>
      <c r="E148" s="31" t="n"/>
      <c r="F148" s="39" t="n"/>
      <c r="G148" s="31" t="n"/>
      <c r="H148" s="31" t="n"/>
      <c r="I148" s="31" t="n"/>
    </row>
    <row r="149">
      <c r="A149" s="37" t="n"/>
      <c r="B149" s="38" t="str">
        <f>IF(A149="","",MAX(1,MIN(24,INT((A149-SETTINGS!$B$6)/7)+1)))</f>
      </c>
      <c r="C149" s="31" t="n"/>
      <c r="D149" s="31" t="n"/>
      <c r="E149" s="31" t="n"/>
      <c r="F149" s="39" t="n"/>
      <c r="G149" s="31" t="n"/>
      <c r="H149" s="31" t="n"/>
      <c r="I149" s="31" t="n"/>
    </row>
    <row r="150">
      <c r="A150" s="37" t="n"/>
      <c r="B150" s="40" t="str">
        <f>IF(A150="","",MAX(1,MIN(24,INT((A150-SETTINGS!$B$6)/7)+1)))</f>
      </c>
      <c r="C150" s="31" t="n"/>
      <c r="D150" s="31" t="n"/>
      <c r="E150" s="31" t="n"/>
      <c r="F150" s="39" t="n"/>
      <c r="G150" s="31" t="n"/>
      <c r="H150" s="31" t="n"/>
      <c r="I150" s="31" t="n"/>
    </row>
    <row r="151">
      <c r="A151" s="37" t="n"/>
      <c r="B151" s="38" t="str">
        <f>IF(A151="","",MAX(1,MIN(24,INT((A151-SETTINGS!$B$6)/7)+1)))</f>
      </c>
      <c r="C151" s="31" t="n"/>
      <c r="D151" s="31" t="n"/>
      <c r="E151" s="31" t="n"/>
      <c r="F151" s="39" t="n"/>
      <c r="G151" s="31" t="n"/>
      <c r="H151" s="31" t="n"/>
      <c r="I151" s="31" t="n"/>
    </row>
    <row r="152">
      <c r="A152" s="37" t="n"/>
      <c r="B152" s="40" t="str">
        <f>IF(A152="","",MAX(1,MIN(24,INT((A152-SETTINGS!$B$6)/7)+1)))</f>
      </c>
      <c r="C152" s="31" t="n"/>
      <c r="D152" s="31" t="n"/>
      <c r="E152" s="31" t="n"/>
      <c r="F152" s="39" t="n"/>
      <c r="G152" s="31" t="n"/>
      <c r="H152" s="31" t="n"/>
      <c r="I152" s="31" t="n"/>
    </row>
    <row r="153">
      <c r="A153" s="37" t="n"/>
      <c r="B153" s="38" t="str">
        <f>IF(A153="","",MAX(1,MIN(24,INT((A153-SETTINGS!$B$6)/7)+1)))</f>
      </c>
      <c r="C153" s="31" t="n"/>
      <c r="D153" s="31" t="n"/>
      <c r="E153" s="31" t="n"/>
      <c r="F153" s="39" t="n"/>
      <c r="G153" s="31" t="n"/>
      <c r="H153" s="31" t="n"/>
      <c r="I153" s="31" t="n"/>
    </row>
    <row r="154">
      <c r="A154" s="37" t="n"/>
      <c r="B154" s="40" t="str">
        <f>IF(A154="","",MAX(1,MIN(24,INT((A154-SETTINGS!$B$6)/7)+1)))</f>
      </c>
      <c r="C154" s="31" t="n"/>
      <c r="D154" s="31" t="n"/>
      <c r="E154" s="31" t="n"/>
      <c r="F154" s="39" t="n"/>
      <c r="G154" s="31" t="n"/>
      <c r="H154" s="31" t="n"/>
      <c r="I154" s="31" t="n"/>
    </row>
    <row r="155">
      <c r="A155" s="37" t="n"/>
      <c r="B155" s="38" t="str">
        <f>IF(A155="","",MAX(1,MIN(24,INT((A155-SETTINGS!$B$6)/7)+1)))</f>
      </c>
      <c r="C155" s="31" t="n"/>
      <c r="D155" s="31" t="n"/>
      <c r="E155" s="31" t="n"/>
      <c r="F155" s="39" t="n"/>
      <c r="G155" s="31" t="n"/>
      <c r="H155" s="31" t="n"/>
      <c r="I155" s="31" t="n"/>
    </row>
    <row r="156">
      <c r="A156" s="37" t="n"/>
      <c r="B156" s="40" t="str">
        <f>IF(A156="","",MAX(1,MIN(24,INT((A156-SETTINGS!$B$6)/7)+1)))</f>
      </c>
      <c r="C156" s="31" t="n"/>
      <c r="D156" s="31" t="n"/>
      <c r="E156" s="31" t="n"/>
      <c r="F156" s="39" t="n"/>
      <c r="G156" s="31" t="n"/>
      <c r="H156" s="31" t="n"/>
      <c r="I156" s="31" t="n"/>
    </row>
    <row r="157">
      <c r="A157" s="37" t="n"/>
      <c r="B157" s="38" t="str">
        <f>IF(A157="","",MAX(1,MIN(24,INT((A157-SETTINGS!$B$6)/7)+1)))</f>
      </c>
      <c r="C157" s="31" t="n"/>
      <c r="D157" s="31" t="n"/>
      <c r="E157" s="31" t="n"/>
      <c r="F157" s="39" t="n"/>
      <c r="G157" s="31" t="n"/>
      <c r="H157" s="31" t="n"/>
      <c r="I157" s="31" t="n"/>
    </row>
    <row r="158">
      <c r="A158" s="37" t="n"/>
      <c r="B158" s="40" t="str">
        <f>IF(A158="","",MAX(1,MIN(24,INT((A158-SETTINGS!$B$6)/7)+1)))</f>
      </c>
      <c r="C158" s="31" t="n"/>
      <c r="D158" s="31" t="n"/>
      <c r="E158" s="31" t="n"/>
      <c r="F158" s="39" t="n"/>
      <c r="G158" s="31" t="n"/>
      <c r="H158" s="31" t="n"/>
      <c r="I158" s="31" t="n"/>
    </row>
    <row r="159">
      <c r="A159" s="37" t="n"/>
      <c r="B159" s="38" t="str">
        <f>IF(A159="","",MAX(1,MIN(24,INT((A159-SETTINGS!$B$6)/7)+1)))</f>
      </c>
      <c r="C159" s="31" t="n"/>
      <c r="D159" s="31" t="n"/>
      <c r="E159" s="31" t="n"/>
      <c r="F159" s="39" t="n"/>
      <c r="G159" s="31" t="n"/>
      <c r="H159" s="31" t="n"/>
      <c r="I159" s="31" t="n"/>
    </row>
    <row r="160">
      <c r="A160" s="37" t="n"/>
      <c r="B160" s="40" t="str">
        <f>IF(A160="","",MAX(1,MIN(24,INT((A160-SETTINGS!$B$6)/7)+1)))</f>
      </c>
      <c r="C160" s="31" t="n"/>
      <c r="D160" s="31" t="n"/>
      <c r="E160" s="31" t="n"/>
      <c r="F160" s="39" t="n"/>
      <c r="G160" s="31" t="n"/>
      <c r="H160" s="31" t="n"/>
      <c r="I160" s="31" t="n"/>
    </row>
    <row r="161">
      <c r="A161" s="37" t="n"/>
      <c r="B161" s="38" t="str">
        <f>IF(A161="","",MAX(1,MIN(24,INT((A161-SETTINGS!$B$6)/7)+1)))</f>
      </c>
      <c r="C161" s="31" t="n"/>
      <c r="D161" s="31" t="n"/>
      <c r="E161" s="31" t="n"/>
      <c r="F161" s="39" t="n"/>
      <c r="G161" s="31" t="n"/>
      <c r="H161" s="31" t="n"/>
      <c r="I161" s="31" t="n"/>
    </row>
    <row r="162">
      <c r="A162" s="37" t="n"/>
      <c r="B162" s="40" t="str">
        <f>IF(A162="","",MAX(1,MIN(24,INT((A162-SETTINGS!$B$6)/7)+1)))</f>
      </c>
      <c r="C162" s="31" t="n"/>
      <c r="D162" s="31" t="n"/>
      <c r="E162" s="31" t="n"/>
      <c r="F162" s="39" t="n"/>
      <c r="G162" s="31" t="n"/>
      <c r="H162" s="31" t="n"/>
      <c r="I162" s="31" t="n"/>
    </row>
    <row r="163">
      <c r="A163" s="37" t="n"/>
      <c r="B163" s="38" t="str">
        <f>IF(A163="","",MAX(1,MIN(24,INT((A163-SETTINGS!$B$6)/7)+1)))</f>
      </c>
      <c r="C163" s="31" t="n"/>
      <c r="D163" s="31" t="n"/>
      <c r="E163" s="31" t="n"/>
      <c r="F163" s="39" t="n"/>
      <c r="G163" s="31" t="n"/>
      <c r="H163" s="31" t="n"/>
      <c r="I163" s="31" t="n"/>
    </row>
    <row r="164">
      <c r="A164" s="37" t="n"/>
      <c r="B164" s="40" t="str">
        <f>IF(A164="","",MAX(1,MIN(24,INT((A164-SETTINGS!$B$6)/7)+1)))</f>
      </c>
      <c r="C164" s="31" t="n"/>
      <c r="D164" s="31" t="n"/>
      <c r="E164" s="31" t="n"/>
      <c r="F164" s="39" t="n"/>
      <c r="G164" s="31" t="n"/>
      <c r="H164" s="31" t="n"/>
      <c r="I164" s="31" t="n"/>
    </row>
    <row r="165">
      <c r="A165" s="37" t="n"/>
      <c r="B165" s="38" t="str">
        <f>IF(A165="","",MAX(1,MIN(24,INT((A165-SETTINGS!$B$6)/7)+1)))</f>
      </c>
      <c r="C165" s="31" t="n"/>
      <c r="D165" s="31" t="n"/>
      <c r="E165" s="31" t="n"/>
      <c r="F165" s="39" t="n"/>
      <c r="G165" s="31" t="n"/>
      <c r="H165" s="31" t="n"/>
      <c r="I165" s="31" t="n"/>
    </row>
    <row r="166">
      <c r="A166" s="37" t="n"/>
      <c r="B166" s="40" t="str">
        <f>IF(A166="","",MAX(1,MIN(24,INT((A166-SETTINGS!$B$6)/7)+1)))</f>
      </c>
      <c r="C166" s="31" t="n"/>
      <c r="D166" s="31" t="n"/>
      <c r="E166" s="31" t="n"/>
      <c r="F166" s="39" t="n"/>
      <c r="G166" s="31" t="n"/>
      <c r="H166" s="31" t="n"/>
      <c r="I166" s="31" t="n"/>
    </row>
    <row r="167">
      <c r="A167" s="37" t="n"/>
      <c r="B167" s="38" t="str">
        <f>IF(A167="","",MAX(1,MIN(24,INT((A167-SETTINGS!$B$6)/7)+1)))</f>
      </c>
      <c r="C167" s="31" t="n"/>
      <c r="D167" s="31" t="n"/>
      <c r="E167" s="31" t="n"/>
      <c r="F167" s="39" t="n"/>
      <c r="G167" s="31" t="n"/>
      <c r="H167" s="31" t="n"/>
      <c r="I167" s="31" t="n"/>
    </row>
    <row r="168">
      <c r="A168" s="37" t="n"/>
      <c r="B168" s="40" t="str">
        <f>IF(A168="","",MAX(1,MIN(24,INT((A168-SETTINGS!$B$6)/7)+1)))</f>
      </c>
      <c r="C168" s="31" t="n"/>
      <c r="D168" s="31" t="n"/>
      <c r="E168" s="31" t="n"/>
      <c r="F168" s="39" t="n"/>
      <c r="G168" s="31" t="n"/>
      <c r="H168" s="31" t="n"/>
      <c r="I168" s="31" t="n"/>
    </row>
    <row r="169">
      <c r="A169" s="37" t="n"/>
      <c r="B169" s="38" t="str">
        <f>IF(A169="","",MAX(1,MIN(24,INT((A169-SETTINGS!$B$6)/7)+1)))</f>
      </c>
      <c r="C169" s="31" t="n"/>
      <c r="D169" s="31" t="n"/>
      <c r="E169" s="31" t="n"/>
      <c r="F169" s="39" t="n"/>
      <c r="G169" s="31" t="n"/>
      <c r="H169" s="31" t="n"/>
      <c r="I169" s="31" t="n"/>
    </row>
    <row r="170">
      <c r="A170" s="37" t="n"/>
      <c r="B170" s="40" t="str">
        <f>IF(A170="","",MAX(1,MIN(24,INT((A170-SETTINGS!$B$6)/7)+1)))</f>
      </c>
      <c r="C170" s="31" t="n"/>
      <c r="D170" s="31" t="n"/>
      <c r="E170" s="31" t="n"/>
      <c r="F170" s="39" t="n"/>
      <c r="G170" s="31" t="n"/>
      <c r="H170" s="31" t="n"/>
      <c r="I170" s="31" t="n"/>
    </row>
    <row r="171">
      <c r="A171" s="37" t="n"/>
      <c r="B171" s="38" t="str">
        <f>IF(A171="","",MAX(1,MIN(24,INT((A171-SETTINGS!$B$6)/7)+1)))</f>
      </c>
      <c r="C171" s="31" t="n"/>
      <c r="D171" s="31" t="n"/>
      <c r="E171" s="31" t="n"/>
      <c r="F171" s="39" t="n"/>
      <c r="G171" s="31" t="n"/>
      <c r="H171" s="31" t="n"/>
      <c r="I171" s="31" t="n"/>
    </row>
    <row r="172">
      <c r="A172" s="37" t="n"/>
      <c r="B172" s="40" t="str">
        <f>IF(A172="","",MAX(1,MIN(24,INT((A172-SETTINGS!$B$6)/7)+1)))</f>
      </c>
      <c r="C172" s="31" t="n"/>
      <c r="D172" s="31" t="n"/>
      <c r="E172" s="31" t="n"/>
      <c r="F172" s="39" t="n"/>
      <c r="G172" s="31" t="n"/>
      <c r="H172" s="31" t="n"/>
      <c r="I172" s="31" t="n"/>
    </row>
    <row r="173">
      <c r="A173" s="37" t="n"/>
      <c r="B173" s="38" t="str">
        <f>IF(A173="","",MAX(1,MIN(24,INT((A173-SETTINGS!$B$6)/7)+1)))</f>
      </c>
      <c r="C173" s="31" t="n"/>
      <c r="D173" s="31" t="n"/>
      <c r="E173" s="31" t="n"/>
      <c r="F173" s="39" t="n"/>
      <c r="G173" s="31" t="n"/>
      <c r="H173" s="31" t="n"/>
      <c r="I173" s="31" t="n"/>
    </row>
    <row r="174">
      <c r="A174" s="37" t="n"/>
      <c r="B174" s="40" t="str">
        <f>IF(A174="","",MAX(1,MIN(24,INT((A174-SETTINGS!$B$6)/7)+1)))</f>
      </c>
      <c r="C174" s="31" t="n"/>
      <c r="D174" s="31" t="n"/>
      <c r="E174" s="31" t="n"/>
      <c r="F174" s="39" t="n"/>
      <c r="G174" s="31" t="n"/>
      <c r="H174" s="31" t="n"/>
      <c r="I174" s="31" t="n"/>
    </row>
    <row r="175">
      <c r="A175" s="37" t="n"/>
      <c r="B175" s="38" t="str">
        <f>IF(A175="","",MAX(1,MIN(24,INT((A175-SETTINGS!$B$6)/7)+1)))</f>
      </c>
      <c r="C175" s="31" t="n"/>
      <c r="D175" s="31" t="n"/>
      <c r="E175" s="31" t="n"/>
      <c r="F175" s="39" t="n"/>
      <c r="G175" s="31" t="n"/>
      <c r="H175" s="31" t="n"/>
      <c r="I175" s="31" t="n"/>
    </row>
    <row r="176">
      <c r="A176" s="37" t="n"/>
      <c r="B176" s="40" t="str">
        <f>IF(A176="","",MAX(1,MIN(24,INT((A176-SETTINGS!$B$6)/7)+1)))</f>
      </c>
      <c r="C176" s="31" t="n"/>
      <c r="D176" s="31" t="n"/>
      <c r="E176" s="31" t="n"/>
      <c r="F176" s="39" t="n"/>
      <c r="G176" s="31" t="n"/>
      <c r="H176" s="31" t="n"/>
      <c r="I176" s="31" t="n"/>
    </row>
    <row r="177">
      <c r="A177" s="37" t="n"/>
      <c r="B177" s="38" t="str">
        <f>IF(A177="","",MAX(1,MIN(24,INT((A177-SETTINGS!$B$6)/7)+1)))</f>
      </c>
      <c r="C177" s="31" t="n"/>
      <c r="D177" s="31" t="n"/>
      <c r="E177" s="31" t="n"/>
      <c r="F177" s="39" t="n"/>
      <c r="G177" s="31" t="n"/>
      <c r="H177" s="31" t="n"/>
      <c r="I177" s="31" t="n"/>
    </row>
    <row r="178">
      <c r="A178" s="37" t="n"/>
      <c r="B178" s="40" t="str">
        <f>IF(A178="","",MAX(1,MIN(24,INT((A178-SETTINGS!$B$6)/7)+1)))</f>
      </c>
      <c r="C178" s="31" t="n"/>
      <c r="D178" s="31" t="n"/>
      <c r="E178" s="31" t="n"/>
      <c r="F178" s="39" t="n"/>
      <c r="G178" s="31" t="n"/>
      <c r="H178" s="31" t="n"/>
      <c r="I178" s="31" t="n"/>
    </row>
    <row r="179">
      <c r="A179" s="37" t="n"/>
      <c r="B179" s="38" t="str">
        <f>IF(A179="","",MAX(1,MIN(24,INT((A179-SETTINGS!$B$6)/7)+1)))</f>
      </c>
      <c r="C179" s="31" t="n"/>
      <c r="D179" s="31" t="n"/>
      <c r="E179" s="31" t="n"/>
      <c r="F179" s="39" t="n"/>
      <c r="G179" s="31" t="n"/>
      <c r="H179" s="31" t="n"/>
      <c r="I179" s="31" t="n"/>
    </row>
    <row r="180">
      <c r="A180" s="37" t="n"/>
      <c r="B180" s="40" t="str">
        <f>IF(A180="","",MAX(1,MIN(24,INT((A180-SETTINGS!$B$6)/7)+1)))</f>
      </c>
      <c r="C180" s="31" t="n"/>
      <c r="D180" s="31" t="n"/>
      <c r="E180" s="31" t="n"/>
      <c r="F180" s="39" t="n"/>
      <c r="G180" s="31" t="n"/>
      <c r="H180" s="31" t="n"/>
      <c r="I180" s="31" t="n"/>
    </row>
    <row r="181">
      <c r="A181" s="37" t="n"/>
      <c r="B181" s="38" t="str">
        <f>IF(A181="","",MAX(1,MIN(24,INT((A181-SETTINGS!$B$6)/7)+1)))</f>
      </c>
      <c r="C181" s="31" t="n"/>
      <c r="D181" s="31" t="n"/>
      <c r="E181" s="31" t="n"/>
      <c r="F181" s="39" t="n"/>
      <c r="G181" s="31" t="n"/>
      <c r="H181" s="31" t="n"/>
      <c r="I181" s="31" t="n"/>
    </row>
    <row r="182">
      <c r="A182" s="37" t="n"/>
      <c r="B182" s="40" t="str">
        <f>IF(A182="","",MAX(1,MIN(24,INT((A182-SETTINGS!$B$6)/7)+1)))</f>
      </c>
      <c r="C182" s="31" t="n"/>
      <c r="D182" s="31" t="n"/>
      <c r="E182" s="31" t="n"/>
      <c r="F182" s="39" t="n"/>
      <c r="G182" s="31" t="n"/>
      <c r="H182" s="31" t="n"/>
      <c r="I182" s="31" t="n"/>
    </row>
    <row r="183">
      <c r="A183" s="37" t="n"/>
      <c r="B183" s="38" t="str">
        <f>IF(A183="","",MAX(1,MIN(24,INT((A183-SETTINGS!$B$6)/7)+1)))</f>
      </c>
      <c r="C183" s="31" t="n"/>
      <c r="D183" s="31" t="n"/>
      <c r="E183" s="31" t="n"/>
      <c r="F183" s="39" t="n"/>
      <c r="G183" s="31" t="n"/>
      <c r="H183" s="31" t="n"/>
      <c r="I183" s="31" t="n"/>
    </row>
    <row r="184">
      <c r="A184" s="37" t="n"/>
      <c r="B184" s="40" t="str">
        <f>IF(A184="","",MAX(1,MIN(24,INT((A184-SETTINGS!$B$6)/7)+1)))</f>
      </c>
      <c r="C184" s="31" t="n"/>
      <c r="D184" s="31" t="n"/>
      <c r="E184" s="31" t="n"/>
      <c r="F184" s="39" t="n"/>
      <c r="G184" s="31" t="n"/>
      <c r="H184" s="31" t="n"/>
      <c r="I184" s="31" t="n"/>
    </row>
    <row r="185">
      <c r="A185" s="37" t="n"/>
      <c r="B185" s="38" t="str">
        <f>IF(A185="","",MAX(1,MIN(24,INT((A185-SETTINGS!$B$6)/7)+1)))</f>
      </c>
      <c r="C185" s="31" t="n"/>
      <c r="D185" s="31" t="n"/>
      <c r="E185" s="31" t="n"/>
      <c r="F185" s="39" t="n"/>
      <c r="G185" s="31" t="n"/>
      <c r="H185" s="31" t="n"/>
      <c r="I185" s="31" t="n"/>
    </row>
    <row r="186">
      <c r="A186" s="37" t="n"/>
      <c r="B186" s="40" t="str">
        <f>IF(A186="","",MAX(1,MIN(24,INT((A186-SETTINGS!$B$6)/7)+1)))</f>
      </c>
      <c r="C186" s="31" t="n"/>
      <c r="D186" s="31" t="n"/>
      <c r="E186" s="31" t="n"/>
      <c r="F186" s="39" t="n"/>
      <c r="G186" s="31" t="n"/>
      <c r="H186" s="31" t="n"/>
      <c r="I186" s="31" t="n"/>
    </row>
    <row r="187">
      <c r="A187" s="37" t="n"/>
      <c r="B187" s="38" t="str">
        <f>IF(A187="","",MAX(1,MIN(24,INT((A187-SETTINGS!$B$6)/7)+1)))</f>
      </c>
      <c r="C187" s="31" t="n"/>
      <c r="D187" s="31" t="n"/>
      <c r="E187" s="31" t="n"/>
      <c r="F187" s="39" t="n"/>
      <c r="G187" s="31" t="n"/>
      <c r="H187" s="31" t="n"/>
      <c r="I187" s="31" t="n"/>
    </row>
    <row r="188">
      <c r="A188" s="37" t="n"/>
      <c r="B188" s="40" t="str">
        <f>IF(A188="","",MAX(1,MIN(24,INT((A188-SETTINGS!$B$6)/7)+1)))</f>
      </c>
      <c r="C188" s="31" t="n"/>
      <c r="D188" s="31" t="n"/>
      <c r="E188" s="31" t="n"/>
      <c r="F188" s="39" t="n"/>
      <c r="G188" s="31" t="n"/>
      <c r="H188" s="31" t="n"/>
      <c r="I188" s="31" t="n"/>
    </row>
    <row r="189">
      <c r="A189" s="37" t="n"/>
      <c r="B189" s="38" t="str">
        <f>IF(A189="","",MAX(1,MIN(24,INT((A189-SETTINGS!$B$6)/7)+1)))</f>
      </c>
      <c r="C189" s="31" t="n"/>
      <c r="D189" s="31" t="n"/>
      <c r="E189" s="31" t="n"/>
      <c r="F189" s="39" t="n"/>
      <c r="G189" s="31" t="n"/>
      <c r="H189" s="31" t="n"/>
      <c r="I189" s="31" t="n"/>
    </row>
    <row r="190">
      <c r="A190" s="37" t="n"/>
      <c r="B190" s="40" t="str">
        <f>IF(A190="","",MAX(1,MIN(24,INT((A190-SETTINGS!$B$6)/7)+1)))</f>
      </c>
      <c r="C190" s="31" t="n"/>
      <c r="D190" s="31" t="n"/>
      <c r="E190" s="31" t="n"/>
      <c r="F190" s="39" t="n"/>
      <c r="G190" s="31" t="n"/>
      <c r="H190" s="31" t="n"/>
      <c r="I190" s="31" t="n"/>
    </row>
    <row r="191">
      <c r="A191" s="37" t="n"/>
      <c r="B191" s="38" t="str">
        <f>IF(A191="","",MAX(1,MIN(24,INT((A191-SETTINGS!$B$6)/7)+1)))</f>
      </c>
      <c r="C191" s="31" t="n"/>
      <c r="D191" s="31" t="n"/>
      <c r="E191" s="31" t="n"/>
      <c r="F191" s="39" t="n"/>
      <c r="G191" s="31" t="n"/>
      <c r="H191" s="31" t="n"/>
      <c r="I191" s="31" t="n"/>
    </row>
    <row r="192">
      <c r="A192" s="37" t="n"/>
      <c r="B192" s="40" t="str">
        <f>IF(A192="","",MAX(1,MIN(24,INT((A192-SETTINGS!$B$6)/7)+1)))</f>
      </c>
      <c r="C192" s="31" t="n"/>
      <c r="D192" s="31" t="n"/>
      <c r="E192" s="31" t="n"/>
      <c r="F192" s="39" t="n"/>
      <c r="G192" s="31" t="n"/>
      <c r="H192" s="31" t="n"/>
      <c r="I192" s="31" t="n"/>
    </row>
    <row r="193">
      <c r="A193" s="37" t="n"/>
      <c r="B193" s="38" t="str">
        <f>IF(A193="","",MAX(1,MIN(24,INT((A193-SETTINGS!$B$6)/7)+1)))</f>
      </c>
      <c r="C193" s="31" t="n"/>
      <c r="D193" s="31" t="n"/>
      <c r="E193" s="31" t="n"/>
      <c r="F193" s="39" t="n"/>
      <c r="G193" s="31" t="n"/>
      <c r="H193" s="31" t="n"/>
      <c r="I193" s="31" t="n"/>
    </row>
    <row r="194">
      <c r="A194" s="37" t="n"/>
      <c r="B194" s="40" t="str">
        <f>IF(A194="","",MAX(1,MIN(24,INT((A194-SETTINGS!$B$6)/7)+1)))</f>
      </c>
      <c r="C194" s="31" t="n"/>
      <c r="D194" s="31" t="n"/>
      <c r="E194" s="31" t="n"/>
      <c r="F194" s="39" t="n"/>
      <c r="G194" s="31" t="n"/>
      <c r="H194" s="31" t="n"/>
      <c r="I194" s="31" t="n"/>
    </row>
    <row r="195">
      <c r="A195" s="37" t="n"/>
      <c r="B195" s="38" t="str">
        <f>IF(A195="","",MAX(1,MIN(24,INT((A195-SETTINGS!$B$6)/7)+1)))</f>
      </c>
      <c r="C195" s="31" t="n"/>
      <c r="D195" s="31" t="n"/>
      <c r="E195" s="31" t="n"/>
      <c r="F195" s="39" t="n"/>
      <c r="G195" s="31" t="n"/>
      <c r="H195" s="31" t="n"/>
      <c r="I195" s="31" t="n"/>
    </row>
    <row r="196">
      <c r="A196" s="37" t="n"/>
      <c r="B196" s="40" t="str">
        <f>IF(A196="","",MAX(1,MIN(24,INT((A196-SETTINGS!$B$6)/7)+1)))</f>
      </c>
      <c r="C196" s="31" t="n"/>
      <c r="D196" s="31" t="n"/>
      <c r="E196" s="31" t="n"/>
      <c r="F196" s="39" t="n"/>
      <c r="G196" s="31" t="n"/>
      <c r="H196" s="31" t="n"/>
      <c r="I196" s="31" t="n"/>
    </row>
    <row r="197">
      <c r="A197" s="37" t="n"/>
      <c r="B197" s="38" t="str">
        <f>IF(A197="","",MAX(1,MIN(24,INT((A197-SETTINGS!$B$6)/7)+1)))</f>
      </c>
      <c r="C197" s="31" t="n"/>
      <c r="D197" s="31" t="n"/>
      <c r="E197" s="31" t="n"/>
      <c r="F197" s="39" t="n"/>
      <c r="G197" s="31" t="n"/>
      <c r="H197" s="31" t="n"/>
      <c r="I197" s="31" t="n"/>
    </row>
    <row r="198">
      <c r="A198" s="37" t="n"/>
      <c r="B198" s="40" t="str">
        <f>IF(A198="","",MAX(1,MIN(24,INT((A198-SETTINGS!$B$6)/7)+1)))</f>
      </c>
      <c r="C198" s="31" t="n"/>
      <c r="D198" s="31" t="n"/>
      <c r="E198" s="31" t="n"/>
      <c r="F198" s="39" t="n"/>
      <c r="G198" s="31" t="n"/>
      <c r="H198" s="31" t="n"/>
      <c r="I198" s="31" t="n"/>
    </row>
    <row r="199">
      <c r="A199" s="37" t="n"/>
      <c r="B199" s="38" t="str">
        <f>IF(A199="","",MAX(1,MIN(24,INT((A199-SETTINGS!$B$6)/7)+1)))</f>
      </c>
      <c r="C199" s="31" t="n"/>
      <c r="D199" s="31" t="n"/>
      <c r="E199" s="31" t="n"/>
      <c r="F199" s="39" t="n"/>
      <c r="G199" s="31" t="n"/>
      <c r="H199" s="31" t="n"/>
      <c r="I199" s="31" t="n"/>
    </row>
    <row r="200">
      <c r="A200" s="37" t="n"/>
      <c r="B200" s="40" t="str">
        <f>IF(A200="","",MAX(1,MIN(24,INT((A200-SETTINGS!$B$6)/7)+1)))</f>
      </c>
      <c r="C200" s="31" t="n"/>
      <c r="D200" s="31" t="n"/>
      <c r="E200" s="31" t="n"/>
      <c r="F200" s="39" t="n"/>
      <c r="G200" s="31" t="n"/>
      <c r="H200" s="31" t="n"/>
      <c r="I200" s="31" t="n"/>
    </row>
    <row r="201">
      <c r="A201" s="37" t="n"/>
      <c r="B201" s="38" t="str">
        <f>IF(A201="","",MAX(1,MIN(24,INT((A201-SETTINGS!$B$6)/7)+1)))</f>
      </c>
      <c r="C201" s="31" t="n"/>
      <c r="D201" s="31" t="n"/>
      <c r="E201" s="31" t="n"/>
      <c r="F201" s="39" t="n"/>
      <c r="G201" s="31" t="n"/>
      <c r="H201" s="31" t="n"/>
      <c r="I201" s="31" t="n"/>
    </row>
    <row r="202">
      <c r="A202" s="37" t="n"/>
      <c r="B202" s="40" t="str">
        <f>IF(A202="","",MAX(1,MIN(24,INT((A202-SETTINGS!$B$6)/7)+1)))</f>
      </c>
      <c r="C202" s="31" t="n"/>
      <c r="D202" s="31" t="n"/>
      <c r="E202" s="31" t="n"/>
      <c r="F202" s="39" t="n"/>
      <c r="G202" s="31" t="n"/>
      <c r="H202" s="31" t="n"/>
      <c r="I202" s="31" t="n"/>
    </row>
    <row r="203">
      <c r="A203" s="37" t="n"/>
      <c r="B203" s="38" t="str">
        <f>IF(A203="","",MAX(1,MIN(24,INT((A203-SETTINGS!$B$6)/7)+1)))</f>
      </c>
      <c r="C203" s="31" t="n"/>
      <c r="D203" s="31" t="n"/>
      <c r="E203" s="31" t="n"/>
      <c r="F203" s="39" t="n"/>
      <c r="G203" s="31" t="n"/>
      <c r="H203" s="31" t="n"/>
      <c r="I203" s="31" t="n"/>
    </row>
    <row r="204">
      <c r="A204" s="37" t="n"/>
      <c r="B204" s="40" t="str">
        <f>IF(A204="","",MAX(1,MIN(24,INT((A204-SETTINGS!$B$6)/7)+1)))</f>
      </c>
      <c r="C204" s="31" t="n"/>
      <c r="D204" s="31" t="n"/>
      <c r="E204" s="31" t="n"/>
      <c r="F204" s="39" t="n"/>
      <c r="G204" s="31" t="n"/>
      <c r="H204" s="31" t="n"/>
      <c r="I204" s="31" t="n"/>
    </row>
  </sheetData>
  <autoFilter ref="A4:I204"/>
  <mergeCells>
    <mergeCell ref="A1:I1"/>
    <mergeCell ref="A2:I2"/>
  </mergeCells>
  <dataValidations count="3">
    <dataValidation type="list" allowBlank="1" showDropDown="0" showInputMessage="0" showErrorMessage="0" errorTitle="Invalid value" error="Choose a value from the dropdown." sqref="C5:C204">
      <formula1>"Founder Funding,Subscription Income,Other Income,Expense,Refund,Reserve Transfer,Reserve Withdrawal"</formula1>
    </dataValidation>
    <dataValidation type="list" allowBlank="1" showDropDown="0" showInputMessage="0" showErrorMessage="0" errorTitle="Invalid value" error="Choose a value from the dropdown." sqref="D5:D204">
      <formula1>"Founder Funding,Subscription Revenue,Replit Hosting,Fuel &amp; Field,Product / Data,Content,Admin / Other,Ads,Creator,Contractor,Refund,Reserve,Other"</formula1>
    </dataValidation>
    <dataValidation type="list" allowBlank="1" showDropDown="0" showInputMessage="0" showErrorMessage="0" errorTitle="Invalid value" error="Choose a value from the dropdown." sqref="G5:G204">
      <formula1>"M-PESA,Bank,Card,App Store / Play Store,Cash,Other"</formula1>
    </dataValidation>
  </dataValidations>
  <pageMargins left="0.7" right="0.7" top="0.75" bottom="0.75" header="0.3" footer="0.3"/>
</worksheet>
</file>

<file path=xl/worksheets/sheet4.xml><?xml version="1.0" encoding="utf-8"?>
<worksheet xmlns="http://schemas.openxmlformats.org/spreadsheetml/2006/main">
  <sheetPr>
    <tabColor rgb="006B46C1"/>
  </sheetPr>
  <sheetViews>
    <sheetView showGridLines="0" zoomScale="90" workbookViewId="0">
      <pane ySplit="4" topLeftCell="A5" activePane="bottomLeft" state="frozen"/>
      <selection pane="bottomLeft" activeCell="A1" sqref="A1"/>
    </sheetView>
  </sheetViews>
  <sheetFormatPr baseColWidth="8" defaultRowHeight="15"/>
  <cols>
    <col min="1" max="1" width="7" customWidth="1"/>
    <col min="2" max="2" width="14" customWidth="1"/>
    <col min="3" max="3" width="14" customWidth="1"/>
    <col min="4" max="4" width="18" customWidth="1"/>
    <col min="5" max="5" width="11" customWidth="1"/>
    <col min="6" max="6" width="13" customWidth="1"/>
    <col min="7" max="7" width="16" customWidth="1"/>
    <col min="8" max="8" width="16" customWidth="1"/>
    <col min="9" max="9" width="16" customWidth="1"/>
    <col min="10" max="10" width="14" customWidth="1"/>
    <col min="11" max="11" width="15" customWidth="1"/>
    <col min="12" max="12" width="18" customWidth="1"/>
    <col min="13" max="13" width="15" customWidth="1"/>
    <col min="14" max="14" width="17" customWidth="1"/>
    <col min="15" max="15" width="52" customWidth="1"/>
  </cols>
  <sheetData>
    <row r="1" ht="30" customHeight="1">
      <c r="A1" s="1" t="inlineStr">
        <is>
          <t xml:space="preserve">USERS &amp; REVENUE</t>
        </is>
      </c>
    </row>
    <row r="2" ht="34" customHeight="1">
      <c r="A2" s="2" t="inlineStr">
        <is>
          <t xml:space="preserve">Update one row every Friday. Cash Received is pulled from MONEY when you log a subscription payout.</t>
        </is>
      </c>
    </row>
    <row r="4" ht="36" customHeight="1">
      <c r="A4" s="41" t="inlineStr">
        <is>
          <t xml:space="preserve">Week</t>
        </is>
      </c>
      <c r="B4" s="41" t="inlineStr">
        <is>
          <t xml:space="preserve">Friday</t>
        </is>
      </c>
      <c r="C4" s="41" t="inlineStr">
        <is>
          <t xml:space="preserve">New Downloads</t>
        </is>
      </c>
      <c r="D4" s="41" t="inlineStr">
        <is>
          <t xml:space="preserve">Total Downloads End</t>
        </is>
      </c>
      <c r="E4" s="41" t="inlineStr">
        <is>
          <t xml:space="preserve">New Paid</t>
        </is>
      </c>
      <c r="F4" s="41" t="inlineStr">
        <is>
          <t xml:space="preserve">Cancellations</t>
        </is>
      </c>
      <c r="G4" s="41" t="inlineStr">
        <is>
          <t xml:space="preserve">Active Paid End</t>
        </is>
      </c>
      <c r="H4" s="41" t="inlineStr">
        <is>
          <t xml:space="preserve">Gross Sales KES</t>
        </is>
      </c>
      <c r="I4" s="41" t="inlineStr">
        <is>
          <t xml:space="preserve">Store Fees KES</t>
        </is>
      </c>
      <c r="J4" s="41" t="inlineStr">
        <is>
          <t xml:space="preserve">Refunds KES</t>
        </is>
      </c>
      <c r="K4" s="41" t="inlineStr">
        <is>
          <t xml:space="preserve">Net Sales KES</t>
        </is>
      </c>
      <c r="L4" s="41" t="inlineStr">
        <is>
          <t xml:space="preserve">Cash Received KES</t>
        </is>
      </c>
      <c r="M4" s="41" t="inlineStr">
        <is>
          <t xml:space="preserve">MRR KES</t>
        </is>
      </c>
      <c r="N4" s="41" t="inlineStr">
        <is>
          <t xml:space="preserve">User Conversations</t>
        </is>
      </c>
      <c r="O4" s="41" t="inlineStr">
        <is>
          <t xml:space="preserve">Biggest Learning / Next Move</t>
        </is>
      </c>
    </row>
    <row r="5">
      <c r="A5" s="6" t="n">
        <v>1</v>
      </c>
      <c r="B5" s="42" t="n">
        <f>SETTINGS!$B$6+7*(A5-1)</f>
        <v>46248</v>
      </c>
      <c r="C5" s="43" t="n"/>
      <c r="D5" s="44" t="n">
        <f>SETTINGS!$B$11+C5</f>
        <v>0</v>
      </c>
      <c r="E5" s="43" t="n"/>
      <c r="F5" s="43" t="n"/>
      <c r="G5" s="44" t="n">
        <f>MAX(0,SETTINGS!$B$12+E5-F5)</f>
        <v>0</v>
      </c>
      <c r="H5" s="39" t="n"/>
      <c r="I5" s="39" t="n"/>
      <c r="J5" s="39" t="n"/>
      <c r="K5" s="45" t="n">
        <f>H5-I5-J5</f>
        <v>0</v>
      </c>
      <c r="L5" s="46" t="n">
        <f>SUMIFS(MONEY!$F$5:$F$204,MONEY!$B$5:$B$204,A5,MONEY!$C$5:$C$204,"Subscription Income")</f>
        <v>0</v>
      </c>
      <c r="M5" s="45" t="n">
        <f>G5*SETTINGS!$B$13</f>
        <v>0</v>
      </c>
      <c r="N5" s="43" t="n"/>
      <c r="O5" s="31" t="n"/>
    </row>
    <row r="6">
      <c r="A6" s="5" t="n">
        <v>2</v>
      </c>
      <c r="B6" s="47" t="n">
        <f>SETTINGS!$B$6+7*(A6-1)</f>
        <v>46255</v>
      </c>
      <c r="C6" s="43" t="n"/>
      <c r="D6" s="44" t="n">
        <f>D5+C6</f>
        <v>0</v>
      </c>
      <c r="E6" s="43" t="n"/>
      <c r="F6" s="43" t="n"/>
      <c r="G6" s="44" t="n">
        <f>MAX(0,G5+E6-F6)</f>
        <v>0</v>
      </c>
      <c r="H6" s="39" t="n"/>
      <c r="I6" s="39" t="n"/>
      <c r="J6" s="39" t="n"/>
      <c r="K6" s="45" t="n">
        <f>H6-I6-J6</f>
        <v>0</v>
      </c>
      <c r="L6" s="46" t="n">
        <f>SUMIFS(MONEY!$F$5:$F$204,MONEY!$B$5:$B$204,A6,MONEY!$C$5:$C$204,"Subscription Income")</f>
        <v>0</v>
      </c>
      <c r="M6" s="45" t="n">
        <f>G6*SETTINGS!$B$13</f>
        <v>0</v>
      </c>
      <c r="N6" s="43" t="n"/>
      <c r="O6" s="31" t="n"/>
    </row>
    <row r="7">
      <c r="A7" s="6" t="n">
        <v>3</v>
      </c>
      <c r="B7" s="42" t="n">
        <f>SETTINGS!$B$6+7*(A7-1)</f>
        <v>46262</v>
      </c>
      <c r="C7" s="43" t="n"/>
      <c r="D7" s="44" t="n">
        <f>D6+C7</f>
        <v>0</v>
      </c>
      <c r="E7" s="43" t="n"/>
      <c r="F7" s="43" t="n"/>
      <c r="G7" s="44" t="n">
        <f>MAX(0,G6+E7-F7)</f>
        <v>0</v>
      </c>
      <c r="H7" s="39" t="n"/>
      <c r="I7" s="39" t="n"/>
      <c r="J7" s="39" t="n"/>
      <c r="K7" s="45" t="n">
        <f>H7-I7-J7</f>
        <v>0</v>
      </c>
      <c r="L7" s="46" t="n">
        <f>SUMIFS(MONEY!$F$5:$F$204,MONEY!$B$5:$B$204,A7,MONEY!$C$5:$C$204,"Subscription Income")</f>
        <v>0</v>
      </c>
      <c r="M7" s="45" t="n">
        <f>G7*SETTINGS!$B$13</f>
        <v>0</v>
      </c>
      <c r="N7" s="43" t="n"/>
      <c r="O7" s="31" t="n"/>
    </row>
    <row r="8">
      <c r="A8" s="5" t="n">
        <v>4</v>
      </c>
      <c r="B8" s="47" t="n">
        <f>SETTINGS!$B$6+7*(A8-1)</f>
        <v>46269</v>
      </c>
      <c r="C8" s="43" t="n"/>
      <c r="D8" s="44" t="n">
        <f>D7+C8</f>
        <v>0</v>
      </c>
      <c r="E8" s="43" t="n"/>
      <c r="F8" s="43" t="n"/>
      <c r="G8" s="44" t="n">
        <f>MAX(0,G7+E8-F8)</f>
        <v>0</v>
      </c>
      <c r="H8" s="39" t="n"/>
      <c r="I8" s="39" t="n"/>
      <c r="J8" s="39" t="n"/>
      <c r="K8" s="45" t="n">
        <f>H8-I8-J8</f>
        <v>0</v>
      </c>
      <c r="L8" s="46" t="n">
        <f>SUMIFS(MONEY!$F$5:$F$204,MONEY!$B$5:$B$204,A8,MONEY!$C$5:$C$204,"Subscription Income")</f>
        <v>0</v>
      </c>
      <c r="M8" s="45" t="n">
        <f>G8*SETTINGS!$B$13</f>
        <v>0</v>
      </c>
      <c r="N8" s="43" t="n"/>
      <c r="O8" s="31" t="n"/>
    </row>
    <row r="9">
      <c r="A9" s="6" t="n">
        <v>5</v>
      </c>
      <c r="B9" s="42" t="n">
        <f>SETTINGS!$B$6+7*(A9-1)</f>
        <v>46276</v>
      </c>
      <c r="C9" s="43" t="n"/>
      <c r="D9" s="44" t="n">
        <f>D8+C9</f>
        <v>0</v>
      </c>
      <c r="E9" s="43" t="n"/>
      <c r="F9" s="43" t="n"/>
      <c r="G9" s="44" t="n">
        <f>MAX(0,G8+E9-F9)</f>
        <v>0</v>
      </c>
      <c r="H9" s="39" t="n"/>
      <c r="I9" s="39" t="n"/>
      <c r="J9" s="39" t="n"/>
      <c r="K9" s="45" t="n">
        <f>H9-I9-J9</f>
        <v>0</v>
      </c>
      <c r="L9" s="46" t="n">
        <f>SUMIFS(MONEY!$F$5:$F$204,MONEY!$B$5:$B$204,A9,MONEY!$C$5:$C$204,"Subscription Income")</f>
        <v>0</v>
      </c>
      <c r="M9" s="45" t="n">
        <f>G9*SETTINGS!$B$13</f>
        <v>0</v>
      </c>
      <c r="N9" s="43" t="n"/>
      <c r="O9" s="31" t="n"/>
    </row>
    <row r="10">
      <c r="A10" s="5" t="n">
        <v>6</v>
      </c>
      <c r="B10" s="47" t="n">
        <f>SETTINGS!$B$6+7*(A10-1)</f>
        <v>46283</v>
      </c>
      <c r="C10" s="43" t="n"/>
      <c r="D10" s="44" t="n">
        <f>D9+C10</f>
        <v>0</v>
      </c>
      <c r="E10" s="43" t="n"/>
      <c r="F10" s="43" t="n"/>
      <c r="G10" s="44" t="n">
        <f>MAX(0,G9+E10-F10)</f>
        <v>0</v>
      </c>
      <c r="H10" s="39" t="n"/>
      <c r="I10" s="39" t="n"/>
      <c r="J10" s="39" t="n"/>
      <c r="K10" s="45" t="n">
        <f>H10-I10-J10</f>
        <v>0</v>
      </c>
      <c r="L10" s="46" t="n">
        <f>SUMIFS(MONEY!$F$5:$F$204,MONEY!$B$5:$B$204,A10,MONEY!$C$5:$C$204,"Subscription Income")</f>
        <v>0</v>
      </c>
      <c r="M10" s="45" t="n">
        <f>G10*SETTINGS!$B$13</f>
        <v>0</v>
      </c>
      <c r="N10" s="43" t="n"/>
      <c r="O10" s="31" t="n"/>
    </row>
    <row r="11">
      <c r="A11" s="6" t="n">
        <v>7</v>
      </c>
      <c r="B11" s="42" t="n">
        <f>SETTINGS!$B$6+7*(A11-1)</f>
        <v>46290</v>
      </c>
      <c r="C11" s="43" t="n"/>
      <c r="D11" s="44" t="n">
        <f>D10+C11</f>
        <v>0</v>
      </c>
      <c r="E11" s="43" t="n"/>
      <c r="F11" s="43" t="n"/>
      <c r="G11" s="44" t="n">
        <f>MAX(0,G10+E11-F11)</f>
        <v>0</v>
      </c>
      <c r="H11" s="39" t="n"/>
      <c r="I11" s="39" t="n"/>
      <c r="J11" s="39" t="n"/>
      <c r="K11" s="45" t="n">
        <f>H11-I11-J11</f>
        <v>0</v>
      </c>
      <c r="L11" s="46" t="n">
        <f>SUMIFS(MONEY!$F$5:$F$204,MONEY!$B$5:$B$204,A11,MONEY!$C$5:$C$204,"Subscription Income")</f>
        <v>0</v>
      </c>
      <c r="M11" s="45" t="n">
        <f>G11*SETTINGS!$B$13</f>
        <v>0</v>
      </c>
      <c r="N11" s="43" t="n"/>
      <c r="O11" s="31" t="n"/>
    </row>
    <row r="12">
      <c r="A12" s="5" t="n">
        <v>8</v>
      </c>
      <c r="B12" s="47" t="n">
        <f>SETTINGS!$B$6+7*(A12-1)</f>
        <v>46297</v>
      </c>
      <c r="C12" s="43" t="n"/>
      <c r="D12" s="44" t="n">
        <f>D11+C12</f>
        <v>0</v>
      </c>
      <c r="E12" s="43" t="n"/>
      <c r="F12" s="43" t="n"/>
      <c r="G12" s="44" t="n">
        <f>MAX(0,G11+E12-F12)</f>
        <v>0</v>
      </c>
      <c r="H12" s="39" t="n"/>
      <c r="I12" s="39" t="n"/>
      <c r="J12" s="39" t="n"/>
      <c r="K12" s="45" t="n">
        <f>H12-I12-J12</f>
        <v>0</v>
      </c>
      <c r="L12" s="46" t="n">
        <f>SUMIFS(MONEY!$F$5:$F$204,MONEY!$B$5:$B$204,A12,MONEY!$C$5:$C$204,"Subscription Income")</f>
        <v>0</v>
      </c>
      <c r="M12" s="45" t="n">
        <f>G12*SETTINGS!$B$13</f>
        <v>0</v>
      </c>
      <c r="N12" s="43" t="n"/>
      <c r="O12" s="31" t="n"/>
    </row>
    <row r="13">
      <c r="A13" s="6" t="n">
        <v>9</v>
      </c>
      <c r="B13" s="42" t="n">
        <f>SETTINGS!$B$6+7*(A13-1)</f>
        <v>46304</v>
      </c>
      <c r="C13" s="43" t="n"/>
      <c r="D13" s="44" t="n">
        <f>D12+C13</f>
        <v>0</v>
      </c>
      <c r="E13" s="43" t="n"/>
      <c r="F13" s="43" t="n"/>
      <c r="G13" s="44" t="n">
        <f>MAX(0,G12+E13-F13)</f>
        <v>0</v>
      </c>
      <c r="H13" s="39" t="n"/>
      <c r="I13" s="39" t="n"/>
      <c r="J13" s="39" t="n"/>
      <c r="K13" s="45" t="n">
        <f>H13-I13-J13</f>
        <v>0</v>
      </c>
      <c r="L13" s="46" t="n">
        <f>SUMIFS(MONEY!$F$5:$F$204,MONEY!$B$5:$B$204,A13,MONEY!$C$5:$C$204,"Subscription Income")</f>
        <v>0</v>
      </c>
      <c r="M13" s="45" t="n">
        <f>G13*SETTINGS!$B$13</f>
        <v>0</v>
      </c>
      <c r="N13" s="43" t="n"/>
      <c r="O13" s="31" t="n"/>
    </row>
    <row r="14">
      <c r="A14" s="5" t="n">
        <v>10</v>
      </c>
      <c r="B14" s="47" t="n">
        <f>SETTINGS!$B$6+7*(A14-1)</f>
        <v>46311</v>
      </c>
      <c r="C14" s="43" t="n"/>
      <c r="D14" s="44" t="n">
        <f>D13+C14</f>
        <v>0</v>
      </c>
      <c r="E14" s="43" t="n"/>
      <c r="F14" s="43" t="n"/>
      <c r="G14" s="44" t="n">
        <f>MAX(0,G13+E14-F14)</f>
        <v>0</v>
      </c>
      <c r="H14" s="39" t="n"/>
      <c r="I14" s="39" t="n"/>
      <c r="J14" s="39" t="n"/>
      <c r="K14" s="45" t="n">
        <f>H14-I14-J14</f>
        <v>0</v>
      </c>
      <c r="L14" s="46" t="n">
        <f>SUMIFS(MONEY!$F$5:$F$204,MONEY!$B$5:$B$204,A14,MONEY!$C$5:$C$204,"Subscription Income")</f>
        <v>0</v>
      </c>
      <c r="M14" s="45" t="n">
        <f>G14*SETTINGS!$B$13</f>
        <v>0</v>
      </c>
      <c r="N14" s="43" t="n"/>
      <c r="O14" s="31" t="n"/>
    </row>
    <row r="15">
      <c r="A15" s="6" t="n">
        <v>11</v>
      </c>
      <c r="B15" s="42" t="n">
        <f>SETTINGS!$B$6+7*(A15-1)</f>
        <v>46318</v>
      </c>
      <c r="C15" s="43" t="n"/>
      <c r="D15" s="44" t="n">
        <f>D14+C15</f>
        <v>0</v>
      </c>
      <c r="E15" s="43" t="n"/>
      <c r="F15" s="43" t="n"/>
      <c r="G15" s="44" t="n">
        <f>MAX(0,G14+E15-F15)</f>
        <v>0</v>
      </c>
      <c r="H15" s="39" t="n"/>
      <c r="I15" s="39" t="n"/>
      <c r="J15" s="39" t="n"/>
      <c r="K15" s="45" t="n">
        <f>H15-I15-J15</f>
        <v>0</v>
      </c>
      <c r="L15" s="46" t="n">
        <f>SUMIFS(MONEY!$F$5:$F$204,MONEY!$B$5:$B$204,A15,MONEY!$C$5:$C$204,"Subscription Income")</f>
        <v>0</v>
      </c>
      <c r="M15" s="45" t="n">
        <f>G15*SETTINGS!$B$13</f>
        <v>0</v>
      </c>
      <c r="N15" s="43" t="n"/>
      <c r="O15" s="31" t="n"/>
    </row>
    <row r="16">
      <c r="A16" s="5" t="n">
        <v>12</v>
      </c>
      <c r="B16" s="47" t="n">
        <f>SETTINGS!$B$6+7*(A16-1)</f>
        <v>46325</v>
      </c>
      <c r="C16" s="43" t="n"/>
      <c r="D16" s="44" t="n">
        <f>D15+C16</f>
        <v>0</v>
      </c>
      <c r="E16" s="43" t="n"/>
      <c r="F16" s="43" t="n"/>
      <c r="G16" s="44" t="n">
        <f>MAX(0,G15+E16-F16)</f>
        <v>0</v>
      </c>
      <c r="H16" s="39" t="n"/>
      <c r="I16" s="39" t="n"/>
      <c r="J16" s="39" t="n"/>
      <c r="K16" s="45" t="n">
        <f>H16-I16-J16</f>
        <v>0</v>
      </c>
      <c r="L16" s="46" t="n">
        <f>SUMIFS(MONEY!$F$5:$F$204,MONEY!$B$5:$B$204,A16,MONEY!$C$5:$C$204,"Subscription Income")</f>
        <v>0</v>
      </c>
      <c r="M16" s="45" t="n">
        <f>G16*SETTINGS!$B$13</f>
        <v>0</v>
      </c>
      <c r="N16" s="43" t="n"/>
      <c r="O16" s="31" t="n"/>
    </row>
    <row r="17">
      <c r="A17" s="6" t="n">
        <v>13</v>
      </c>
      <c r="B17" s="42" t="n">
        <f>SETTINGS!$B$6+7*(A17-1)</f>
        <v>46332</v>
      </c>
      <c r="C17" s="43" t="n"/>
      <c r="D17" s="44" t="n">
        <f>D16+C17</f>
        <v>0</v>
      </c>
      <c r="E17" s="43" t="n"/>
      <c r="F17" s="43" t="n"/>
      <c r="G17" s="44" t="n">
        <f>MAX(0,G16+E17-F17)</f>
        <v>0</v>
      </c>
      <c r="H17" s="39" t="n"/>
      <c r="I17" s="39" t="n"/>
      <c r="J17" s="39" t="n"/>
      <c r="K17" s="45" t="n">
        <f>H17-I17-J17</f>
        <v>0</v>
      </c>
      <c r="L17" s="46" t="n">
        <f>SUMIFS(MONEY!$F$5:$F$204,MONEY!$B$5:$B$204,A17,MONEY!$C$5:$C$204,"Subscription Income")</f>
        <v>0</v>
      </c>
      <c r="M17" s="45" t="n">
        <f>G17*SETTINGS!$B$13</f>
        <v>0</v>
      </c>
      <c r="N17" s="43" t="n"/>
      <c r="O17" s="31" t="n"/>
    </row>
    <row r="18">
      <c r="A18" s="5" t="n">
        <v>14</v>
      </c>
      <c r="B18" s="47" t="n">
        <f>SETTINGS!$B$6+7*(A18-1)</f>
        <v>46339</v>
      </c>
      <c r="C18" s="43" t="n"/>
      <c r="D18" s="44" t="n">
        <f>D17+C18</f>
        <v>0</v>
      </c>
      <c r="E18" s="43" t="n"/>
      <c r="F18" s="43" t="n"/>
      <c r="G18" s="44" t="n">
        <f>MAX(0,G17+E18-F18)</f>
        <v>0</v>
      </c>
      <c r="H18" s="39" t="n"/>
      <c r="I18" s="39" t="n"/>
      <c r="J18" s="39" t="n"/>
      <c r="K18" s="45" t="n">
        <f>H18-I18-J18</f>
        <v>0</v>
      </c>
      <c r="L18" s="46" t="n">
        <f>SUMIFS(MONEY!$F$5:$F$204,MONEY!$B$5:$B$204,A18,MONEY!$C$5:$C$204,"Subscription Income")</f>
        <v>0</v>
      </c>
      <c r="M18" s="45" t="n">
        <f>G18*SETTINGS!$B$13</f>
        <v>0</v>
      </c>
      <c r="N18" s="43" t="n"/>
      <c r="O18" s="31" t="n"/>
    </row>
    <row r="19">
      <c r="A19" s="6" t="n">
        <v>15</v>
      </c>
      <c r="B19" s="42" t="n">
        <f>SETTINGS!$B$6+7*(A19-1)</f>
        <v>46346</v>
      </c>
      <c r="C19" s="43" t="n"/>
      <c r="D19" s="44" t="n">
        <f>D18+C19</f>
        <v>0</v>
      </c>
      <c r="E19" s="43" t="n"/>
      <c r="F19" s="43" t="n"/>
      <c r="G19" s="44" t="n">
        <f>MAX(0,G18+E19-F19)</f>
        <v>0</v>
      </c>
      <c r="H19" s="39" t="n"/>
      <c r="I19" s="39" t="n"/>
      <c r="J19" s="39" t="n"/>
      <c r="K19" s="45" t="n">
        <f>H19-I19-J19</f>
        <v>0</v>
      </c>
      <c r="L19" s="46" t="n">
        <f>SUMIFS(MONEY!$F$5:$F$204,MONEY!$B$5:$B$204,A19,MONEY!$C$5:$C$204,"Subscription Income")</f>
        <v>0</v>
      </c>
      <c r="M19" s="45" t="n">
        <f>G19*SETTINGS!$B$13</f>
        <v>0</v>
      </c>
      <c r="N19" s="43" t="n"/>
      <c r="O19" s="31" t="n"/>
    </row>
    <row r="20">
      <c r="A20" s="5" t="n">
        <v>16</v>
      </c>
      <c r="B20" s="47" t="n">
        <f>SETTINGS!$B$6+7*(A20-1)</f>
        <v>46353</v>
      </c>
      <c r="C20" s="43" t="n"/>
      <c r="D20" s="44" t="n">
        <f>D19+C20</f>
        <v>0</v>
      </c>
      <c r="E20" s="43" t="n"/>
      <c r="F20" s="43" t="n"/>
      <c r="G20" s="44" t="n">
        <f>MAX(0,G19+E20-F20)</f>
        <v>0</v>
      </c>
      <c r="H20" s="39" t="n"/>
      <c r="I20" s="39" t="n"/>
      <c r="J20" s="39" t="n"/>
      <c r="K20" s="45" t="n">
        <f>H20-I20-J20</f>
        <v>0</v>
      </c>
      <c r="L20" s="46" t="n">
        <f>SUMIFS(MONEY!$F$5:$F$204,MONEY!$B$5:$B$204,A20,MONEY!$C$5:$C$204,"Subscription Income")</f>
        <v>0</v>
      </c>
      <c r="M20" s="45" t="n">
        <f>G20*SETTINGS!$B$13</f>
        <v>0</v>
      </c>
      <c r="N20" s="43" t="n"/>
      <c r="O20" s="31" t="n"/>
    </row>
    <row r="21">
      <c r="A21" s="6" t="n">
        <v>17</v>
      </c>
      <c r="B21" s="42" t="n">
        <f>SETTINGS!$B$6+7*(A21-1)</f>
        <v>46360</v>
      </c>
      <c r="C21" s="43" t="n"/>
      <c r="D21" s="44" t="n">
        <f>D20+C21</f>
        <v>0</v>
      </c>
      <c r="E21" s="43" t="n"/>
      <c r="F21" s="43" t="n"/>
      <c r="G21" s="44" t="n">
        <f>MAX(0,G20+E21-F21)</f>
        <v>0</v>
      </c>
      <c r="H21" s="39" t="n"/>
      <c r="I21" s="39" t="n"/>
      <c r="J21" s="39" t="n"/>
      <c r="K21" s="45" t="n">
        <f>H21-I21-J21</f>
        <v>0</v>
      </c>
      <c r="L21" s="46" t="n">
        <f>SUMIFS(MONEY!$F$5:$F$204,MONEY!$B$5:$B$204,A21,MONEY!$C$5:$C$204,"Subscription Income")</f>
        <v>0</v>
      </c>
      <c r="M21" s="45" t="n">
        <f>G21*SETTINGS!$B$13</f>
        <v>0</v>
      </c>
      <c r="N21" s="43" t="n"/>
      <c r="O21" s="31" t="n"/>
    </row>
    <row r="22">
      <c r="A22" s="5" t="n">
        <v>18</v>
      </c>
      <c r="B22" s="47" t="n">
        <f>SETTINGS!$B$6+7*(A22-1)</f>
        <v>46367</v>
      </c>
      <c r="C22" s="43" t="n"/>
      <c r="D22" s="44" t="n">
        <f>D21+C22</f>
        <v>0</v>
      </c>
      <c r="E22" s="43" t="n"/>
      <c r="F22" s="43" t="n"/>
      <c r="G22" s="44" t="n">
        <f>MAX(0,G21+E22-F22)</f>
        <v>0</v>
      </c>
      <c r="H22" s="39" t="n"/>
      <c r="I22" s="39" t="n"/>
      <c r="J22" s="39" t="n"/>
      <c r="K22" s="45" t="n">
        <f>H22-I22-J22</f>
        <v>0</v>
      </c>
      <c r="L22" s="46" t="n">
        <f>SUMIFS(MONEY!$F$5:$F$204,MONEY!$B$5:$B$204,A22,MONEY!$C$5:$C$204,"Subscription Income")</f>
        <v>0</v>
      </c>
      <c r="M22" s="45" t="n">
        <f>G22*SETTINGS!$B$13</f>
        <v>0</v>
      </c>
      <c r="N22" s="43" t="n"/>
      <c r="O22" s="31" t="n"/>
    </row>
    <row r="23">
      <c r="A23" s="6" t="n">
        <v>19</v>
      </c>
      <c r="B23" s="42" t="n">
        <f>SETTINGS!$B$6+7*(A23-1)</f>
        <v>46374</v>
      </c>
      <c r="C23" s="43" t="n"/>
      <c r="D23" s="44" t="n">
        <f>D22+C23</f>
        <v>0</v>
      </c>
      <c r="E23" s="43" t="n"/>
      <c r="F23" s="43" t="n"/>
      <c r="G23" s="44" t="n">
        <f>MAX(0,G22+E23-F23)</f>
        <v>0</v>
      </c>
      <c r="H23" s="39" t="n"/>
      <c r="I23" s="39" t="n"/>
      <c r="J23" s="39" t="n"/>
      <c r="K23" s="45" t="n">
        <f>H23-I23-J23</f>
        <v>0</v>
      </c>
      <c r="L23" s="46" t="n">
        <f>SUMIFS(MONEY!$F$5:$F$204,MONEY!$B$5:$B$204,A23,MONEY!$C$5:$C$204,"Subscription Income")</f>
        <v>0</v>
      </c>
      <c r="M23" s="45" t="n">
        <f>G23*SETTINGS!$B$13</f>
        <v>0</v>
      </c>
      <c r="N23" s="43" t="n"/>
      <c r="O23" s="31" t="n"/>
    </row>
    <row r="24">
      <c r="A24" s="5" t="n">
        <v>20</v>
      </c>
      <c r="B24" s="47" t="n">
        <f>SETTINGS!$B$6+7*(A24-1)</f>
        <v>46381</v>
      </c>
      <c r="C24" s="43" t="n"/>
      <c r="D24" s="44" t="n">
        <f>D23+C24</f>
        <v>0</v>
      </c>
      <c r="E24" s="43" t="n"/>
      <c r="F24" s="43" t="n"/>
      <c r="G24" s="44" t="n">
        <f>MAX(0,G23+E24-F24)</f>
        <v>0</v>
      </c>
      <c r="H24" s="39" t="n"/>
      <c r="I24" s="39" t="n"/>
      <c r="J24" s="39" t="n"/>
      <c r="K24" s="45" t="n">
        <f>H24-I24-J24</f>
        <v>0</v>
      </c>
      <c r="L24" s="46" t="n">
        <f>SUMIFS(MONEY!$F$5:$F$204,MONEY!$B$5:$B$204,A24,MONEY!$C$5:$C$204,"Subscription Income")</f>
        <v>0</v>
      </c>
      <c r="M24" s="45" t="n">
        <f>G24*SETTINGS!$B$13</f>
        <v>0</v>
      </c>
      <c r="N24" s="43" t="n"/>
      <c r="O24" s="31" t="n"/>
    </row>
    <row r="25">
      <c r="A25" s="6" t="n">
        <v>21</v>
      </c>
      <c r="B25" s="42" t="n">
        <f>SETTINGS!$B$6+7*(A25-1)</f>
        <v>46388</v>
      </c>
      <c r="C25" s="43" t="n"/>
      <c r="D25" s="44" t="n">
        <f>D24+C25</f>
        <v>0</v>
      </c>
      <c r="E25" s="43" t="n"/>
      <c r="F25" s="43" t="n"/>
      <c r="G25" s="44" t="n">
        <f>MAX(0,G24+E25-F25)</f>
        <v>0</v>
      </c>
      <c r="H25" s="39" t="n"/>
      <c r="I25" s="39" t="n"/>
      <c r="J25" s="39" t="n"/>
      <c r="K25" s="45" t="n">
        <f>H25-I25-J25</f>
        <v>0</v>
      </c>
      <c r="L25" s="46" t="n">
        <f>SUMIFS(MONEY!$F$5:$F$204,MONEY!$B$5:$B$204,A25,MONEY!$C$5:$C$204,"Subscription Income")</f>
        <v>0</v>
      </c>
      <c r="M25" s="45" t="n">
        <f>G25*SETTINGS!$B$13</f>
        <v>0</v>
      </c>
      <c r="N25" s="43" t="n"/>
      <c r="O25" s="31" t="n"/>
    </row>
    <row r="26">
      <c r="A26" s="5" t="n">
        <v>22</v>
      </c>
      <c r="B26" s="47" t="n">
        <f>SETTINGS!$B$6+7*(A26-1)</f>
        <v>46395</v>
      </c>
      <c r="C26" s="43" t="n"/>
      <c r="D26" s="44" t="n">
        <f>D25+C26</f>
        <v>0</v>
      </c>
      <c r="E26" s="43" t="n"/>
      <c r="F26" s="43" t="n"/>
      <c r="G26" s="44" t="n">
        <f>MAX(0,G25+E26-F26)</f>
        <v>0</v>
      </c>
      <c r="H26" s="39" t="n"/>
      <c r="I26" s="39" t="n"/>
      <c r="J26" s="39" t="n"/>
      <c r="K26" s="45" t="n">
        <f>H26-I26-J26</f>
        <v>0</v>
      </c>
      <c r="L26" s="46" t="n">
        <f>SUMIFS(MONEY!$F$5:$F$204,MONEY!$B$5:$B$204,A26,MONEY!$C$5:$C$204,"Subscription Income")</f>
        <v>0</v>
      </c>
      <c r="M26" s="45" t="n">
        <f>G26*SETTINGS!$B$13</f>
        <v>0</v>
      </c>
      <c r="N26" s="43" t="n"/>
      <c r="O26" s="31" t="n"/>
    </row>
    <row r="27">
      <c r="A27" s="6" t="n">
        <v>23</v>
      </c>
      <c r="B27" s="42" t="n">
        <f>SETTINGS!$B$6+7*(A27-1)</f>
        <v>46402</v>
      </c>
      <c r="C27" s="43" t="n"/>
      <c r="D27" s="44" t="n">
        <f>D26+C27</f>
        <v>0</v>
      </c>
      <c r="E27" s="43" t="n"/>
      <c r="F27" s="43" t="n"/>
      <c r="G27" s="44" t="n">
        <f>MAX(0,G26+E27-F27)</f>
        <v>0</v>
      </c>
      <c r="H27" s="39" t="n"/>
      <c r="I27" s="39" t="n"/>
      <c r="J27" s="39" t="n"/>
      <c r="K27" s="45" t="n">
        <f>H27-I27-J27</f>
        <v>0</v>
      </c>
      <c r="L27" s="46" t="n">
        <f>SUMIFS(MONEY!$F$5:$F$204,MONEY!$B$5:$B$204,A27,MONEY!$C$5:$C$204,"Subscription Income")</f>
        <v>0</v>
      </c>
      <c r="M27" s="45" t="n">
        <f>G27*SETTINGS!$B$13</f>
        <v>0</v>
      </c>
      <c r="N27" s="43" t="n"/>
      <c r="O27" s="31" t="n"/>
    </row>
    <row r="28">
      <c r="A28" s="5" t="n">
        <v>24</v>
      </c>
      <c r="B28" s="47" t="n">
        <f>SETTINGS!$B$6+7*(A28-1)</f>
        <v>46409</v>
      </c>
      <c r="C28" s="43" t="n"/>
      <c r="D28" s="44" t="n">
        <f>D27+C28</f>
        <v>0</v>
      </c>
      <c r="E28" s="43" t="n"/>
      <c r="F28" s="43" t="n"/>
      <c r="G28" s="44" t="n">
        <f>MAX(0,G27+E28-F28)</f>
        <v>0</v>
      </c>
      <c r="H28" s="39" t="n"/>
      <c r="I28" s="39" t="n"/>
      <c r="J28" s="39" t="n"/>
      <c r="K28" s="45" t="n">
        <f>H28-I28-J28</f>
        <v>0</v>
      </c>
      <c r="L28" s="46" t="n">
        <f>SUMIFS(MONEY!$F$5:$F$204,MONEY!$B$5:$B$204,A28,MONEY!$C$5:$C$204,"Subscription Income")</f>
        <v>0</v>
      </c>
      <c r="M28" s="45" t="n">
        <f>G28*SETTINGS!$B$13</f>
        <v>0</v>
      </c>
      <c r="N28" s="43" t="n"/>
      <c r="O28" s="31" t="n"/>
    </row>
  </sheetData>
  <autoFilter ref="A4:O28"/>
  <mergeCells>
    <mergeCell ref="A1:O1"/>
    <mergeCell ref="A2:O2"/>
  </mergeCells>
  <pageMargins left="0.7" right="0.7" top="0.75" bottom="0.75" header="0.3" footer="0.3"/>
</worksheet>
</file>

<file path=xl/worksheets/sheet5.xml><?xml version="1.0" encoding="utf-8"?>
<worksheet xmlns="http://schemas.openxmlformats.org/spreadsheetml/2006/main">
  <sheetPr>
    <tabColor rgb="000E7490"/>
  </sheetPr>
  <sheetViews>
    <sheetView showGridLines="0" zoomScale="90" workbookViewId="0">
      <pane ySplit="4" topLeftCell="A5" activePane="bottomLeft" state="frozen"/>
      <selection pane="bottomLeft" activeCell="A1" sqref="A1"/>
    </sheetView>
  </sheetViews>
  <sheetFormatPr baseColWidth="8" defaultRowHeight="15"/>
  <cols>
    <col min="1" max="1" width="10" customWidth="1"/>
    <col min="2" max="2" width="8" customWidth="1"/>
    <col min="3" max="3" width="14" customWidth="1"/>
    <col min="4" max="4" width="21" customWidth="1"/>
    <col min="5" max="5" width="21" customWidth="1"/>
    <col min="6" max="6" width="48" customWidth="1"/>
    <col min="7" max="7" width="18" customWidth="1"/>
    <col min="8" max="8" width="20" customWidth="1"/>
    <col min="9" max="9" width="13" customWidth="1"/>
    <col min="10" max="10" width="30" customWidth="1"/>
    <col min="11" max="11" width="11" customWidth="1"/>
    <col min="12" max="12" width="12" customWidth="1"/>
    <col min="13" max="13" width="13" customWidth="1"/>
    <col min="14" max="14" width="42" customWidth="1"/>
  </cols>
  <sheetData>
    <row r="1" ht="30" customHeight="1">
      <c r="A1" s="1" t="inlineStr">
        <is>
          <t xml:space="preserve">CONTENT</t>
        </is>
      </c>
    </row>
    <row r="2" ht="34" customHeight="1">
      <c r="A2" s="2" t="inlineStr">
        <is>
          <t xml:space="preserve">Four core posts per week. Use the full Founder OS only as an idea library; run day-to-day publishing here.</t>
        </is>
      </c>
    </row>
    <row r="4" ht="36" customHeight="1">
      <c r="A4" s="29" t="inlineStr">
        <is>
          <t xml:space="preserve">Post ID</t>
        </is>
      </c>
      <c r="B4" s="29" t="inlineStr">
        <is>
          <t xml:space="preserve">Week #</t>
        </is>
      </c>
      <c r="C4" s="29" t="inlineStr">
        <is>
          <t xml:space="preserve">Planned Date</t>
        </is>
      </c>
      <c r="D4" s="29" t="inlineStr">
        <is>
          <t xml:space="preserve">Core Type</t>
        </is>
      </c>
      <c r="E4" s="29" t="inlineStr">
        <is>
          <t xml:space="preserve">Platform</t>
        </is>
      </c>
      <c r="F4" s="29" t="inlineStr">
        <is>
          <t xml:space="preserve">Topic / Hook</t>
        </is>
      </c>
      <c r="G4" s="29" t="inlineStr">
        <is>
          <t xml:space="preserve">Format</t>
        </is>
      </c>
      <c r="H4" s="29" t="inlineStr">
        <is>
          <t xml:space="preserve">CTA</t>
        </is>
      </c>
      <c r="I4" s="29" t="inlineStr">
        <is>
          <t xml:space="preserve">Status</t>
        </is>
      </c>
      <c r="J4" s="29" t="inlineStr">
        <is>
          <t xml:space="preserve">Published Link</t>
        </is>
      </c>
      <c r="K4" s="29" t="inlineStr">
        <is>
          <t xml:space="preserve">Views</t>
        </is>
      </c>
      <c r="L4" s="29" t="inlineStr">
        <is>
          <t xml:space="preserve">App Clicks</t>
        </is>
      </c>
      <c r="M4" s="29" t="inlineStr">
        <is>
          <t xml:space="preserve">Paid Signups</t>
        </is>
      </c>
      <c r="N4" s="29" t="inlineStr">
        <is>
          <t xml:space="preserve">Learning / Reuse</t>
        </is>
      </c>
    </row>
    <row r="5">
      <c r="A5" s="48" t="inlineStr">
        <is>
          <t xml:space="preserve">C001</t>
        </is>
      </c>
      <c r="B5" s="48" t="n">
        <v>1</v>
      </c>
      <c r="C5" s="49" t="n">
        <v>46251</v>
      </c>
      <c r="D5" s="48" t="inlineStr">
        <is>
          <t xml:space="preserve">Founder / Trust</t>
        </is>
      </c>
      <c r="E5" s="48" t="inlineStr">
        <is>
          <t xml:space="preserve">TikTok + Instagram</t>
        </is>
      </c>
      <c r="F5" s="31" t="inlineStr">
        <is>
          <t xml:space="preserve">Why I built Msafiri and the road problem it is trying to solve</t>
        </is>
      </c>
      <c r="G5" s="48" t="inlineStr">
        <is>
          <t xml:space="preserve">Talking Head</t>
        </is>
      </c>
      <c r="H5" s="48" t="inlineStr">
        <is>
          <t xml:space="preserve">Follow / Save</t>
        </is>
      </c>
      <c r="I5" s="31" t="inlineStr">
        <is>
          <t xml:space="preserve">Idea</t>
        </is>
      </c>
      <c r="J5" s="31" t="n"/>
      <c r="K5" s="43" t="n"/>
      <c r="L5" s="43" t="n"/>
      <c r="M5" s="43" t="n"/>
      <c r="N5" s="31" t="n"/>
    </row>
    <row r="6">
      <c r="A6" s="50" t="inlineStr">
        <is>
          <t xml:space="preserve">C002</t>
        </is>
      </c>
      <c r="B6" s="50" t="n">
        <v>1</v>
      </c>
      <c r="C6" s="51" t="n">
        <v>46253</v>
      </c>
      <c r="D6" s="50" t="inlineStr">
        <is>
          <t xml:space="preserve">Product Demo</t>
        </is>
      </c>
      <c r="E6" s="50" t="inlineStr">
        <is>
          <t xml:space="preserve">TikTok + Instagram</t>
        </is>
      </c>
      <c r="F6" s="31" t="inlineStr">
        <is>
          <t xml:space="preserve">30-second walkthrough: the fastest way to get value from Msafiri</t>
        </is>
      </c>
      <c r="G6" s="50" t="inlineStr">
        <is>
          <t xml:space="preserve">Screen Recording</t>
        </is>
      </c>
      <c r="H6" s="50" t="inlineStr">
        <is>
          <t xml:space="preserve">Download Msafiri</t>
        </is>
      </c>
      <c r="I6" s="31" t="inlineStr">
        <is>
          <t xml:space="preserve">Idea</t>
        </is>
      </c>
      <c r="J6" s="31" t="n"/>
      <c r="K6" s="43" t="n"/>
      <c r="L6" s="43" t="n"/>
      <c r="M6" s="43" t="n"/>
      <c r="N6" s="31" t="n"/>
    </row>
    <row r="7">
      <c r="A7" s="48" t="inlineStr">
        <is>
          <t xml:space="preserve">C003</t>
        </is>
      </c>
      <c r="B7" s="48" t="n">
        <v>1</v>
      </c>
      <c r="C7" s="49" t="n">
        <v>46255</v>
      </c>
      <c r="D7" s="48" t="inlineStr">
        <is>
          <t xml:space="preserve">Road Safety / Field</t>
        </is>
      </c>
      <c r="E7" s="48" t="inlineStr">
        <is>
          <t xml:space="preserve">TikTok + Instagram</t>
        </is>
      </c>
      <c r="F7" s="31" t="inlineStr">
        <is>
          <t xml:space="preserve">What a real speed-camera verification trip looks like</t>
        </is>
      </c>
      <c r="G7" s="48" t="inlineStr">
        <is>
          <t xml:space="preserve">Field Clip</t>
        </is>
      </c>
      <c r="H7" s="48" t="inlineStr">
        <is>
          <t xml:space="preserve">Share with a driver</t>
        </is>
      </c>
      <c r="I7" s="31" t="inlineStr">
        <is>
          <t xml:space="preserve">Idea</t>
        </is>
      </c>
      <c r="J7" s="31" t="n"/>
      <c r="K7" s="43" t="n"/>
      <c r="L7" s="43" t="n"/>
      <c r="M7" s="43" t="n"/>
      <c r="N7" s="31" t="n"/>
    </row>
    <row r="8">
      <c r="A8" s="50" t="inlineStr">
        <is>
          <t xml:space="preserve">C004</t>
        </is>
      </c>
      <c r="B8" s="50" t="n">
        <v>1</v>
      </c>
      <c r="C8" s="51" t="n">
        <v>46257</v>
      </c>
      <c r="D8" s="50" t="inlineStr">
        <is>
          <t xml:space="preserve">Community / Conversion</t>
        </is>
      </c>
      <c r="E8" s="50" t="inlineStr">
        <is>
          <t xml:space="preserve">TikTok + Instagram</t>
        </is>
      </c>
      <c r="F8" s="31" t="inlineStr">
        <is>
          <t xml:space="preserve">Ask drivers: which Kenyan route should we verify first?</t>
        </is>
      </c>
      <c r="G8" s="50" t="inlineStr">
        <is>
          <t xml:space="preserve">Q&amp;A / Offer</t>
        </is>
      </c>
      <c r="H8" s="50" t="inlineStr">
        <is>
          <t xml:space="preserve">Try the app / Comment</t>
        </is>
      </c>
      <c r="I8" s="31" t="inlineStr">
        <is>
          <t xml:space="preserve">Idea</t>
        </is>
      </c>
      <c r="J8" s="31" t="n"/>
      <c r="K8" s="43" t="n"/>
      <c r="L8" s="43" t="n"/>
      <c r="M8" s="43" t="n"/>
      <c r="N8" s="31" t="n"/>
    </row>
    <row r="9">
      <c r="A9" s="48" t="inlineStr">
        <is>
          <t xml:space="preserve">C005</t>
        </is>
      </c>
      <c r="B9" s="48" t="n">
        <v>2</v>
      </c>
      <c r="C9" s="49" t="n">
        <v>46258</v>
      </c>
      <c r="D9" s="48" t="inlineStr">
        <is>
          <t xml:space="preserve">Founder / Trust</t>
        </is>
      </c>
      <c r="E9" s="48" t="inlineStr">
        <is>
          <t xml:space="preserve">TikTok + Instagram</t>
        </is>
      </c>
      <c r="F9" s="31" t="inlineStr">
        <is>
          <t xml:space="preserve">What the first paying users are teaching us</t>
        </is>
      </c>
      <c r="G9" s="48" t="inlineStr">
        <is>
          <t xml:space="preserve">Talking Head</t>
        </is>
      </c>
      <c r="H9" s="48" t="inlineStr">
        <is>
          <t xml:space="preserve">Follow / Save</t>
        </is>
      </c>
      <c r="I9" s="31" t="inlineStr">
        <is>
          <t xml:space="preserve">Idea</t>
        </is>
      </c>
      <c r="J9" s="31" t="n"/>
      <c r="K9" s="43" t="n"/>
      <c r="L9" s="43" t="n"/>
      <c r="M9" s="43" t="n"/>
      <c r="N9" s="31" t="n"/>
    </row>
    <row r="10">
      <c r="A10" s="50" t="inlineStr">
        <is>
          <t xml:space="preserve">C006</t>
        </is>
      </c>
      <c r="B10" s="50" t="n">
        <v>2</v>
      </c>
      <c r="C10" s="51" t="n">
        <v>46260</v>
      </c>
      <c r="D10" s="50" t="inlineStr">
        <is>
          <t xml:space="preserve">Product Demo</t>
        </is>
      </c>
      <c r="E10" s="50" t="inlineStr">
        <is>
          <t xml:space="preserve">TikTok + Instagram</t>
        </is>
      </c>
      <c r="F10" s="31" t="inlineStr">
        <is>
          <t xml:space="preserve">Show one feature that saves a driver time or uncertainty</t>
        </is>
      </c>
      <c r="G10" s="50" t="inlineStr">
        <is>
          <t xml:space="preserve">Screen Recording</t>
        </is>
      </c>
      <c r="H10" s="50" t="inlineStr">
        <is>
          <t xml:space="preserve">Download Msafiri</t>
        </is>
      </c>
      <c r="I10" s="31" t="inlineStr">
        <is>
          <t xml:space="preserve">Idea</t>
        </is>
      </c>
      <c r="J10" s="31" t="n"/>
      <c r="K10" s="43" t="n"/>
      <c r="L10" s="43" t="n"/>
      <c r="M10" s="43" t="n"/>
      <c r="N10" s="31" t="n"/>
    </row>
    <row r="11">
      <c r="A11" s="48" t="inlineStr">
        <is>
          <t xml:space="preserve">C007</t>
        </is>
      </c>
      <c r="B11" s="48" t="n">
        <v>2</v>
      </c>
      <c r="C11" s="49" t="n">
        <v>46262</v>
      </c>
      <c r="D11" s="48" t="inlineStr">
        <is>
          <t xml:space="preserve">Road Safety / Field</t>
        </is>
      </c>
      <c r="E11" s="48" t="inlineStr">
        <is>
          <t xml:space="preserve">TikTok + Instagram</t>
        </is>
      </c>
      <c r="F11" s="31" t="inlineStr">
        <is>
          <t xml:space="preserve">One road-safety fact learned during field verification</t>
        </is>
      </c>
      <c r="G11" s="48" t="inlineStr">
        <is>
          <t xml:space="preserve">Field Clip</t>
        </is>
      </c>
      <c r="H11" s="48" t="inlineStr">
        <is>
          <t xml:space="preserve">Share with a driver</t>
        </is>
      </c>
      <c r="I11" s="31" t="inlineStr">
        <is>
          <t xml:space="preserve">Idea</t>
        </is>
      </c>
      <c r="J11" s="31" t="n"/>
      <c r="K11" s="43" t="n"/>
      <c r="L11" s="43" t="n"/>
      <c r="M11" s="43" t="n"/>
      <c r="N11" s="31" t="n"/>
    </row>
    <row r="12">
      <c r="A12" s="50" t="inlineStr">
        <is>
          <t xml:space="preserve">C008</t>
        </is>
      </c>
      <c r="B12" s="50" t="n">
        <v>2</v>
      </c>
      <c r="C12" s="51" t="n">
        <v>46264</v>
      </c>
      <c r="D12" s="50" t="inlineStr">
        <is>
          <t xml:space="preserve">Community / Conversion</t>
        </is>
      </c>
      <c r="E12" s="50" t="inlineStr">
        <is>
          <t xml:space="preserve">TikTok + Instagram</t>
        </is>
      </c>
      <c r="F12" s="31" t="inlineStr">
        <is>
          <t xml:space="preserve">Invite users to report an incorrect or missing road record</t>
        </is>
      </c>
      <c r="G12" s="50" t="inlineStr">
        <is>
          <t xml:space="preserve">Q&amp;A / Offer</t>
        </is>
      </c>
      <c r="H12" s="50" t="inlineStr">
        <is>
          <t xml:space="preserve">Try the app / Comment</t>
        </is>
      </c>
      <c r="I12" s="31" t="inlineStr">
        <is>
          <t xml:space="preserve">Idea</t>
        </is>
      </c>
      <c r="J12" s="31" t="n"/>
      <c r="K12" s="43" t="n"/>
      <c r="L12" s="43" t="n"/>
      <c r="M12" s="43" t="n"/>
      <c r="N12" s="31" t="n"/>
    </row>
    <row r="13">
      <c r="A13" s="48" t="inlineStr">
        <is>
          <t xml:space="preserve">C009</t>
        </is>
      </c>
      <c r="B13" s="48" t="n">
        <v>3</v>
      </c>
      <c r="C13" s="49" t="n">
        <v>46265</v>
      </c>
      <c r="D13" s="48" t="inlineStr">
        <is>
          <t xml:space="preserve">Founder / Trust</t>
        </is>
      </c>
      <c r="E13" s="48" t="inlineStr">
        <is>
          <t xml:space="preserve">TikTok + Instagram</t>
        </is>
      </c>
      <c r="F13" s="31" t="inlineStr">
        <is>
          <t xml:space="preserve">A founder update: what changed in Msafiri this week</t>
        </is>
      </c>
      <c r="G13" s="48" t="inlineStr">
        <is>
          <t xml:space="preserve">Talking Head</t>
        </is>
      </c>
      <c r="H13" s="48" t="inlineStr">
        <is>
          <t xml:space="preserve">Follow / Save</t>
        </is>
      </c>
      <c r="I13" s="31" t="inlineStr">
        <is>
          <t xml:space="preserve">Idea</t>
        </is>
      </c>
      <c r="J13" s="31" t="n"/>
      <c r="K13" s="43" t="n"/>
      <c r="L13" s="43" t="n"/>
      <c r="M13" s="43" t="n"/>
      <c r="N13" s="31" t="n"/>
    </row>
    <row r="14">
      <c r="A14" s="50" t="inlineStr">
        <is>
          <t xml:space="preserve">C010</t>
        </is>
      </c>
      <c r="B14" s="50" t="n">
        <v>3</v>
      </c>
      <c r="C14" s="51" t="n">
        <v>46267</v>
      </c>
      <c r="D14" s="50" t="inlineStr">
        <is>
          <t xml:space="preserve">Product Demo</t>
        </is>
      </c>
      <c r="E14" s="50" t="inlineStr">
        <is>
          <t xml:space="preserve">TikTok + Instagram</t>
        </is>
      </c>
      <c r="F14" s="31" t="inlineStr">
        <is>
          <t xml:space="preserve">Before and after: a product issue we fixed from user feedback</t>
        </is>
      </c>
      <c r="G14" s="50" t="inlineStr">
        <is>
          <t xml:space="preserve">Screen Recording</t>
        </is>
      </c>
      <c r="H14" s="50" t="inlineStr">
        <is>
          <t xml:space="preserve">Download Msafiri</t>
        </is>
      </c>
      <c r="I14" s="31" t="inlineStr">
        <is>
          <t xml:space="preserve">Idea</t>
        </is>
      </c>
      <c r="J14" s="31" t="n"/>
      <c r="K14" s="43" t="n"/>
      <c r="L14" s="43" t="n"/>
      <c r="M14" s="43" t="n"/>
      <c r="N14" s="31" t="n"/>
    </row>
    <row r="15">
      <c r="A15" s="48" t="inlineStr">
        <is>
          <t xml:space="preserve">C011</t>
        </is>
      </c>
      <c r="B15" s="48" t="n">
        <v>3</v>
      </c>
      <c r="C15" s="49" t="n">
        <v>46269</v>
      </c>
      <c r="D15" s="48" t="inlineStr">
        <is>
          <t xml:space="preserve">Road Safety / Field</t>
        </is>
      </c>
      <c r="E15" s="48" t="inlineStr">
        <is>
          <t xml:space="preserve">TikTok + Instagram</t>
        </is>
      </c>
      <c r="F15" s="31" t="inlineStr">
        <is>
          <t xml:space="preserve">Field evidence: how we confirm a camera or speed-limit record</t>
        </is>
      </c>
      <c r="G15" s="48" t="inlineStr">
        <is>
          <t xml:space="preserve">Field Clip</t>
        </is>
      </c>
      <c r="H15" s="48" t="inlineStr">
        <is>
          <t xml:space="preserve">Share with a driver</t>
        </is>
      </c>
      <c r="I15" s="31" t="inlineStr">
        <is>
          <t xml:space="preserve">Idea</t>
        </is>
      </c>
      <c r="J15" s="31" t="n"/>
      <c r="K15" s="43" t="n"/>
      <c r="L15" s="43" t="n"/>
      <c r="M15" s="43" t="n"/>
      <c r="N15" s="31" t="n"/>
    </row>
    <row r="16">
      <c r="A16" s="50" t="inlineStr">
        <is>
          <t xml:space="preserve">C012</t>
        </is>
      </c>
      <c r="B16" s="50" t="n">
        <v>3</v>
      </c>
      <c r="C16" s="51" t="n">
        <v>46271</v>
      </c>
      <c r="D16" s="50" t="inlineStr">
        <is>
          <t xml:space="preserve">Community / Conversion</t>
        </is>
      </c>
      <c r="E16" s="50" t="inlineStr">
        <is>
          <t xml:space="preserve">TikTok + Instagram</t>
        </is>
      </c>
      <c r="F16" s="31" t="inlineStr">
        <is>
          <t xml:space="preserve">Answer the most common question or objection from users</t>
        </is>
      </c>
      <c r="G16" s="50" t="inlineStr">
        <is>
          <t xml:space="preserve">Q&amp;A / Offer</t>
        </is>
      </c>
      <c r="H16" s="50" t="inlineStr">
        <is>
          <t xml:space="preserve">Try the app / Comment</t>
        </is>
      </c>
      <c r="I16" s="31" t="inlineStr">
        <is>
          <t xml:space="preserve">Idea</t>
        </is>
      </c>
      <c r="J16" s="31" t="n"/>
      <c r="K16" s="43" t="n"/>
      <c r="L16" s="43" t="n"/>
      <c r="M16" s="43" t="n"/>
      <c r="N16" s="31" t="n"/>
    </row>
    <row r="17">
      <c r="A17" s="48" t="inlineStr">
        <is>
          <t xml:space="preserve">C013</t>
        </is>
      </c>
      <c r="B17" s="48" t="n">
        <v>4</v>
      </c>
      <c r="C17" s="49" t="n">
        <v>46272</v>
      </c>
      <c r="D17" s="48" t="inlineStr">
        <is>
          <t xml:space="preserve">Founder / Trust</t>
        </is>
      </c>
      <c r="E17" s="48" t="inlineStr">
        <is>
          <t xml:space="preserve">TikTok + Instagram</t>
        </is>
      </c>
      <c r="F17" s="31" t="inlineStr">
        <is>
          <t xml:space="preserve">The honest cost of building Msafiri from KES 10,000 Fridays</t>
        </is>
      </c>
      <c r="G17" s="48" t="inlineStr">
        <is>
          <t xml:space="preserve">Talking Head</t>
        </is>
      </c>
      <c r="H17" s="48" t="inlineStr">
        <is>
          <t xml:space="preserve">Follow / Save</t>
        </is>
      </c>
      <c r="I17" s="31" t="inlineStr">
        <is>
          <t xml:space="preserve">Idea</t>
        </is>
      </c>
      <c r="J17" s="31" t="n"/>
      <c r="K17" s="43" t="n"/>
      <c r="L17" s="43" t="n"/>
      <c r="M17" s="43" t="n"/>
      <c r="N17" s="31" t="n"/>
    </row>
    <row r="18">
      <c r="A18" s="50" t="inlineStr">
        <is>
          <t xml:space="preserve">C014</t>
        </is>
      </c>
      <c r="B18" s="50" t="n">
        <v>4</v>
      </c>
      <c r="C18" s="51" t="n">
        <v>46274</v>
      </c>
      <c r="D18" s="50" t="inlineStr">
        <is>
          <t xml:space="preserve">Product Demo</t>
        </is>
      </c>
      <c r="E18" s="50" t="inlineStr">
        <is>
          <t xml:space="preserve">TikTok + Instagram</t>
        </is>
      </c>
      <c r="F18" s="31" t="inlineStr">
        <is>
          <t xml:space="preserve">Show the subscription value in one practical scenario</t>
        </is>
      </c>
      <c r="G18" s="50" t="inlineStr">
        <is>
          <t xml:space="preserve">Screen Recording</t>
        </is>
      </c>
      <c r="H18" s="50" t="inlineStr">
        <is>
          <t xml:space="preserve">Download Msafiri</t>
        </is>
      </c>
      <c r="I18" s="31" t="inlineStr">
        <is>
          <t xml:space="preserve">Idea</t>
        </is>
      </c>
      <c r="J18" s="31" t="n"/>
      <c r="K18" s="43" t="n"/>
      <c r="L18" s="43" t="n"/>
      <c r="M18" s="43" t="n"/>
      <c r="N18" s="31" t="n"/>
    </row>
    <row r="19">
      <c r="A19" s="48" t="inlineStr">
        <is>
          <t xml:space="preserve">C015</t>
        </is>
      </c>
      <c r="B19" s="48" t="n">
        <v>4</v>
      </c>
      <c r="C19" s="49" t="n">
        <v>46276</v>
      </c>
      <c r="D19" s="48" t="inlineStr">
        <is>
          <t xml:space="preserve">Road Safety / Field</t>
        </is>
      </c>
      <c r="E19" s="48" t="inlineStr">
        <is>
          <t xml:space="preserve">TikTok + Instagram</t>
        </is>
      </c>
      <c r="F19" s="31" t="inlineStr">
        <is>
          <t xml:space="preserve">One corridor recap: findings, missing data and next checks</t>
        </is>
      </c>
      <c r="G19" s="48" t="inlineStr">
        <is>
          <t xml:space="preserve">Field Clip</t>
        </is>
      </c>
      <c r="H19" s="48" t="inlineStr">
        <is>
          <t xml:space="preserve">Share with a driver</t>
        </is>
      </c>
      <c r="I19" s="31" t="inlineStr">
        <is>
          <t xml:space="preserve">Idea</t>
        </is>
      </c>
      <c r="J19" s="31" t="n"/>
      <c r="K19" s="43" t="n"/>
      <c r="L19" s="43" t="n"/>
      <c r="M19" s="43" t="n"/>
      <c r="N19" s="31" t="n"/>
    </row>
    <row r="20">
      <c r="A20" s="50" t="inlineStr">
        <is>
          <t xml:space="preserve">C016</t>
        </is>
      </c>
      <c r="B20" s="50" t="n">
        <v>4</v>
      </c>
      <c r="C20" s="51" t="n">
        <v>46278</v>
      </c>
      <c r="D20" s="50" t="inlineStr">
        <is>
          <t xml:space="preserve">Community / Conversion</t>
        </is>
      </c>
      <c r="E20" s="50" t="inlineStr">
        <is>
          <t xml:space="preserve">TikTok + Instagram</t>
        </is>
      </c>
      <c r="F20" s="31" t="inlineStr">
        <is>
          <t xml:space="preserve">Share a user result, review or anonymised learning</t>
        </is>
      </c>
      <c r="G20" s="50" t="inlineStr">
        <is>
          <t xml:space="preserve">Q&amp;A / Offer</t>
        </is>
      </c>
      <c r="H20" s="50" t="inlineStr">
        <is>
          <t xml:space="preserve">Try the app / Comment</t>
        </is>
      </c>
      <c r="I20" s="31" t="inlineStr">
        <is>
          <t xml:space="preserve">Idea</t>
        </is>
      </c>
      <c r="J20" s="31" t="n"/>
      <c r="K20" s="43" t="n"/>
      <c r="L20" s="43" t="n"/>
      <c r="M20" s="43" t="n"/>
      <c r="N20" s="31" t="n"/>
    </row>
    <row r="21">
      <c r="A21" s="48" t="inlineStr">
        <is>
          <t xml:space="preserve">C017</t>
        </is>
      </c>
      <c r="B21" s="48" t="n">
        <v>5</v>
      </c>
      <c r="C21" s="49" t="n">
        <v>46279</v>
      </c>
      <c r="D21" s="48" t="inlineStr">
        <is>
          <t xml:space="preserve">Founder / Trust</t>
        </is>
      </c>
      <c r="E21" s="48" t="inlineStr">
        <is>
          <t xml:space="preserve">TikTok + Instagram</t>
        </is>
      </c>
      <c r="F21" s="31" t="inlineStr">
        <is>
          <t xml:space="preserve">Choose a founder/trust idea from the full plan</t>
        </is>
      </c>
      <c r="G21" s="48" t="inlineStr">
        <is>
          <t xml:space="preserve">Talking Head</t>
        </is>
      </c>
      <c r="H21" s="48" t="inlineStr">
        <is>
          <t xml:space="preserve">Follow / Save</t>
        </is>
      </c>
      <c r="I21" s="31" t="inlineStr">
        <is>
          <t xml:space="preserve">Idea</t>
        </is>
      </c>
      <c r="J21" s="31" t="n"/>
      <c r="K21" s="43" t="n"/>
      <c r="L21" s="43" t="n"/>
      <c r="M21" s="43" t="n"/>
      <c r="N21" s="31" t="n"/>
    </row>
    <row r="22">
      <c r="A22" s="50" t="inlineStr">
        <is>
          <t xml:space="preserve">C018</t>
        </is>
      </c>
      <c r="B22" s="50" t="n">
        <v>5</v>
      </c>
      <c r="C22" s="51" t="n">
        <v>46281</v>
      </c>
      <c r="D22" s="50" t="inlineStr">
        <is>
          <t xml:space="preserve">Product Demo</t>
        </is>
      </c>
      <c r="E22" s="50" t="inlineStr">
        <is>
          <t xml:space="preserve">TikTok + Instagram</t>
        </is>
      </c>
      <c r="F22" s="31" t="inlineStr">
        <is>
          <t xml:space="preserve">Choose a product-demo idea from the full plan</t>
        </is>
      </c>
      <c r="G22" s="50" t="inlineStr">
        <is>
          <t xml:space="preserve">Screen Recording</t>
        </is>
      </c>
      <c r="H22" s="50" t="inlineStr">
        <is>
          <t xml:space="preserve">Download Msafiri</t>
        </is>
      </c>
      <c r="I22" s="31" t="inlineStr">
        <is>
          <t xml:space="preserve">Idea</t>
        </is>
      </c>
      <c r="J22" s="31" t="n"/>
      <c r="K22" s="43" t="n"/>
      <c r="L22" s="43" t="n"/>
      <c r="M22" s="43" t="n"/>
      <c r="N22" s="31" t="n"/>
    </row>
    <row r="23">
      <c r="A23" s="48" t="inlineStr">
        <is>
          <t xml:space="preserve">C019</t>
        </is>
      </c>
      <c r="B23" s="48" t="n">
        <v>5</v>
      </c>
      <c r="C23" s="49" t="n">
        <v>46283</v>
      </c>
      <c r="D23" s="48" t="inlineStr">
        <is>
          <t xml:space="preserve">Road Safety / Field</t>
        </is>
      </c>
      <c r="E23" s="48" t="inlineStr">
        <is>
          <t xml:space="preserve">TikTok + Instagram</t>
        </is>
      </c>
      <c r="F23" s="31" t="inlineStr">
        <is>
          <t xml:space="preserve">Choose a field/road-safety idea from the full plan</t>
        </is>
      </c>
      <c r="G23" s="48" t="inlineStr">
        <is>
          <t xml:space="preserve">Field Clip</t>
        </is>
      </c>
      <c r="H23" s="48" t="inlineStr">
        <is>
          <t xml:space="preserve">Share with a driver</t>
        </is>
      </c>
      <c r="I23" s="31" t="inlineStr">
        <is>
          <t xml:space="preserve">Idea</t>
        </is>
      </c>
      <c r="J23" s="31" t="n"/>
      <c r="K23" s="43" t="n"/>
      <c r="L23" s="43" t="n"/>
      <c r="M23" s="43" t="n"/>
      <c r="N23" s="31" t="n"/>
    </row>
    <row r="24">
      <c r="A24" s="50" t="inlineStr">
        <is>
          <t xml:space="preserve">C020</t>
        </is>
      </c>
      <c r="B24" s="50" t="n">
        <v>5</v>
      </c>
      <c r="C24" s="51" t="n">
        <v>46285</v>
      </c>
      <c r="D24" s="50" t="inlineStr">
        <is>
          <t xml:space="preserve">Community / Conversion</t>
        </is>
      </c>
      <c r="E24" s="50" t="inlineStr">
        <is>
          <t xml:space="preserve">TikTok + Instagram</t>
        </is>
      </c>
      <c r="F24" s="31" t="inlineStr">
        <is>
          <t xml:space="preserve">Choose a community/conversion idea from the full plan</t>
        </is>
      </c>
      <c r="G24" s="50" t="inlineStr">
        <is>
          <t xml:space="preserve">Q&amp;A / Offer</t>
        </is>
      </c>
      <c r="H24" s="50" t="inlineStr">
        <is>
          <t xml:space="preserve">Try the app / Comment</t>
        </is>
      </c>
      <c r="I24" s="31" t="inlineStr">
        <is>
          <t xml:space="preserve">Idea</t>
        </is>
      </c>
      <c r="J24" s="31" t="n"/>
      <c r="K24" s="43" t="n"/>
      <c r="L24" s="43" t="n"/>
      <c r="M24" s="43" t="n"/>
      <c r="N24" s="31" t="n"/>
    </row>
    <row r="25">
      <c r="A25" s="48" t="inlineStr">
        <is>
          <t xml:space="preserve">C021</t>
        </is>
      </c>
      <c r="B25" s="48" t="n">
        <v>6</v>
      </c>
      <c r="C25" s="49" t="n">
        <v>46286</v>
      </c>
      <c r="D25" s="48" t="inlineStr">
        <is>
          <t xml:space="preserve">Founder / Trust</t>
        </is>
      </c>
      <c r="E25" s="48" t="inlineStr">
        <is>
          <t xml:space="preserve">TikTok + Instagram</t>
        </is>
      </c>
      <c r="F25" s="31" t="inlineStr">
        <is>
          <t xml:space="preserve">Choose a founder/trust idea from the full plan</t>
        </is>
      </c>
      <c r="G25" s="48" t="inlineStr">
        <is>
          <t xml:space="preserve">Talking Head</t>
        </is>
      </c>
      <c r="H25" s="48" t="inlineStr">
        <is>
          <t xml:space="preserve">Follow / Save</t>
        </is>
      </c>
      <c r="I25" s="31" t="inlineStr">
        <is>
          <t xml:space="preserve">Idea</t>
        </is>
      </c>
      <c r="J25" s="31" t="n"/>
      <c r="K25" s="43" t="n"/>
      <c r="L25" s="43" t="n"/>
      <c r="M25" s="43" t="n"/>
      <c r="N25" s="31" t="n"/>
    </row>
    <row r="26">
      <c r="A26" s="50" t="inlineStr">
        <is>
          <t xml:space="preserve">C022</t>
        </is>
      </c>
      <c r="B26" s="50" t="n">
        <v>6</v>
      </c>
      <c r="C26" s="51" t="n">
        <v>46288</v>
      </c>
      <c r="D26" s="50" t="inlineStr">
        <is>
          <t xml:space="preserve">Product Demo</t>
        </is>
      </c>
      <c r="E26" s="50" t="inlineStr">
        <is>
          <t xml:space="preserve">TikTok + Instagram</t>
        </is>
      </c>
      <c r="F26" s="31" t="inlineStr">
        <is>
          <t xml:space="preserve">Choose a product-demo idea from the full plan</t>
        </is>
      </c>
      <c r="G26" s="50" t="inlineStr">
        <is>
          <t xml:space="preserve">Screen Recording</t>
        </is>
      </c>
      <c r="H26" s="50" t="inlineStr">
        <is>
          <t xml:space="preserve">Download Msafiri</t>
        </is>
      </c>
      <c r="I26" s="31" t="inlineStr">
        <is>
          <t xml:space="preserve">Idea</t>
        </is>
      </c>
      <c r="J26" s="31" t="n"/>
      <c r="K26" s="43" t="n"/>
      <c r="L26" s="43" t="n"/>
      <c r="M26" s="43" t="n"/>
      <c r="N26" s="31" t="n"/>
    </row>
    <row r="27">
      <c r="A27" s="48" t="inlineStr">
        <is>
          <t xml:space="preserve">C023</t>
        </is>
      </c>
      <c r="B27" s="48" t="n">
        <v>6</v>
      </c>
      <c r="C27" s="49" t="n">
        <v>46290</v>
      </c>
      <c r="D27" s="48" t="inlineStr">
        <is>
          <t xml:space="preserve">Road Safety / Field</t>
        </is>
      </c>
      <c r="E27" s="48" t="inlineStr">
        <is>
          <t xml:space="preserve">TikTok + Instagram</t>
        </is>
      </c>
      <c r="F27" s="31" t="inlineStr">
        <is>
          <t xml:space="preserve">Choose a field/road-safety idea from the full plan</t>
        </is>
      </c>
      <c r="G27" s="48" t="inlineStr">
        <is>
          <t xml:space="preserve">Field Clip</t>
        </is>
      </c>
      <c r="H27" s="48" t="inlineStr">
        <is>
          <t xml:space="preserve">Share with a driver</t>
        </is>
      </c>
      <c r="I27" s="31" t="inlineStr">
        <is>
          <t xml:space="preserve">Idea</t>
        </is>
      </c>
      <c r="J27" s="31" t="n"/>
      <c r="K27" s="43" t="n"/>
      <c r="L27" s="43" t="n"/>
      <c r="M27" s="43" t="n"/>
      <c r="N27" s="31" t="n"/>
    </row>
    <row r="28">
      <c r="A28" s="50" t="inlineStr">
        <is>
          <t xml:space="preserve">C024</t>
        </is>
      </c>
      <c r="B28" s="50" t="n">
        <v>6</v>
      </c>
      <c r="C28" s="51" t="n">
        <v>46292</v>
      </c>
      <c r="D28" s="50" t="inlineStr">
        <is>
          <t xml:space="preserve">Community / Conversion</t>
        </is>
      </c>
      <c r="E28" s="50" t="inlineStr">
        <is>
          <t xml:space="preserve">TikTok + Instagram</t>
        </is>
      </c>
      <c r="F28" s="31" t="inlineStr">
        <is>
          <t xml:space="preserve">Choose a community/conversion idea from the full plan</t>
        </is>
      </c>
      <c r="G28" s="50" t="inlineStr">
        <is>
          <t xml:space="preserve">Q&amp;A / Offer</t>
        </is>
      </c>
      <c r="H28" s="50" t="inlineStr">
        <is>
          <t xml:space="preserve">Try the app / Comment</t>
        </is>
      </c>
      <c r="I28" s="31" t="inlineStr">
        <is>
          <t xml:space="preserve">Idea</t>
        </is>
      </c>
      <c r="J28" s="31" t="n"/>
      <c r="K28" s="43" t="n"/>
      <c r="L28" s="43" t="n"/>
      <c r="M28" s="43" t="n"/>
      <c r="N28" s="31" t="n"/>
    </row>
    <row r="29">
      <c r="A29" s="48" t="inlineStr">
        <is>
          <t xml:space="preserve">C025</t>
        </is>
      </c>
      <c r="B29" s="48" t="n">
        <v>7</v>
      </c>
      <c r="C29" s="49" t="n">
        <v>46293</v>
      </c>
      <c r="D29" s="48" t="inlineStr">
        <is>
          <t xml:space="preserve">Founder / Trust</t>
        </is>
      </c>
      <c r="E29" s="48" t="inlineStr">
        <is>
          <t xml:space="preserve">TikTok + Instagram</t>
        </is>
      </c>
      <c r="F29" s="31" t="inlineStr">
        <is>
          <t xml:space="preserve">Choose a founder/trust idea from the full plan</t>
        </is>
      </c>
      <c r="G29" s="48" t="inlineStr">
        <is>
          <t xml:space="preserve">Talking Head</t>
        </is>
      </c>
      <c r="H29" s="48" t="inlineStr">
        <is>
          <t xml:space="preserve">Follow / Save</t>
        </is>
      </c>
      <c r="I29" s="31" t="inlineStr">
        <is>
          <t xml:space="preserve">Idea</t>
        </is>
      </c>
      <c r="J29" s="31" t="n"/>
      <c r="K29" s="43" t="n"/>
      <c r="L29" s="43" t="n"/>
      <c r="M29" s="43" t="n"/>
      <c r="N29" s="31" t="n"/>
    </row>
    <row r="30">
      <c r="A30" s="50" t="inlineStr">
        <is>
          <t xml:space="preserve">C026</t>
        </is>
      </c>
      <c r="B30" s="50" t="n">
        <v>7</v>
      </c>
      <c r="C30" s="51" t="n">
        <v>46295</v>
      </c>
      <c r="D30" s="50" t="inlineStr">
        <is>
          <t xml:space="preserve">Product Demo</t>
        </is>
      </c>
      <c r="E30" s="50" t="inlineStr">
        <is>
          <t xml:space="preserve">TikTok + Instagram</t>
        </is>
      </c>
      <c r="F30" s="31" t="inlineStr">
        <is>
          <t xml:space="preserve">Choose a product-demo idea from the full plan</t>
        </is>
      </c>
      <c r="G30" s="50" t="inlineStr">
        <is>
          <t xml:space="preserve">Screen Recording</t>
        </is>
      </c>
      <c r="H30" s="50" t="inlineStr">
        <is>
          <t xml:space="preserve">Download Msafiri</t>
        </is>
      </c>
      <c r="I30" s="31" t="inlineStr">
        <is>
          <t xml:space="preserve">Idea</t>
        </is>
      </c>
      <c r="J30" s="31" t="n"/>
      <c r="K30" s="43" t="n"/>
      <c r="L30" s="43" t="n"/>
      <c r="M30" s="43" t="n"/>
      <c r="N30" s="31" t="n"/>
    </row>
    <row r="31">
      <c r="A31" s="48" t="inlineStr">
        <is>
          <t xml:space="preserve">C027</t>
        </is>
      </c>
      <c r="B31" s="48" t="n">
        <v>7</v>
      </c>
      <c r="C31" s="49" t="n">
        <v>46297</v>
      </c>
      <c r="D31" s="48" t="inlineStr">
        <is>
          <t xml:space="preserve">Road Safety / Field</t>
        </is>
      </c>
      <c r="E31" s="48" t="inlineStr">
        <is>
          <t xml:space="preserve">TikTok + Instagram</t>
        </is>
      </c>
      <c r="F31" s="31" t="inlineStr">
        <is>
          <t xml:space="preserve">Choose a field/road-safety idea from the full plan</t>
        </is>
      </c>
      <c r="G31" s="48" t="inlineStr">
        <is>
          <t xml:space="preserve">Field Clip</t>
        </is>
      </c>
      <c r="H31" s="48" t="inlineStr">
        <is>
          <t xml:space="preserve">Share with a driver</t>
        </is>
      </c>
      <c r="I31" s="31" t="inlineStr">
        <is>
          <t xml:space="preserve">Idea</t>
        </is>
      </c>
      <c r="J31" s="31" t="n"/>
      <c r="K31" s="43" t="n"/>
      <c r="L31" s="43" t="n"/>
      <c r="M31" s="43" t="n"/>
      <c r="N31" s="31" t="n"/>
    </row>
    <row r="32">
      <c r="A32" s="50" t="inlineStr">
        <is>
          <t xml:space="preserve">C028</t>
        </is>
      </c>
      <c r="B32" s="50" t="n">
        <v>7</v>
      </c>
      <c r="C32" s="51" t="n">
        <v>46299</v>
      </c>
      <c r="D32" s="50" t="inlineStr">
        <is>
          <t xml:space="preserve">Community / Conversion</t>
        </is>
      </c>
      <c r="E32" s="50" t="inlineStr">
        <is>
          <t xml:space="preserve">TikTok + Instagram</t>
        </is>
      </c>
      <c r="F32" s="31" t="inlineStr">
        <is>
          <t xml:space="preserve">Choose a community/conversion idea from the full plan</t>
        </is>
      </c>
      <c r="G32" s="50" t="inlineStr">
        <is>
          <t xml:space="preserve">Q&amp;A / Offer</t>
        </is>
      </c>
      <c r="H32" s="50" t="inlineStr">
        <is>
          <t xml:space="preserve">Try the app / Comment</t>
        </is>
      </c>
      <c r="I32" s="31" t="inlineStr">
        <is>
          <t xml:space="preserve">Idea</t>
        </is>
      </c>
      <c r="J32" s="31" t="n"/>
      <c r="K32" s="43" t="n"/>
      <c r="L32" s="43" t="n"/>
      <c r="M32" s="43" t="n"/>
      <c r="N32" s="31" t="n"/>
    </row>
    <row r="33">
      <c r="A33" s="48" t="inlineStr">
        <is>
          <t xml:space="preserve">C029</t>
        </is>
      </c>
      <c r="B33" s="48" t="n">
        <v>8</v>
      </c>
      <c r="C33" s="49" t="n">
        <v>46300</v>
      </c>
      <c r="D33" s="48" t="inlineStr">
        <is>
          <t xml:space="preserve">Founder / Trust</t>
        </is>
      </c>
      <c r="E33" s="48" t="inlineStr">
        <is>
          <t xml:space="preserve">TikTok + Instagram</t>
        </is>
      </c>
      <c r="F33" s="31" t="inlineStr">
        <is>
          <t xml:space="preserve">Choose a founder/trust idea from the full plan</t>
        </is>
      </c>
      <c r="G33" s="48" t="inlineStr">
        <is>
          <t xml:space="preserve">Talking Head</t>
        </is>
      </c>
      <c r="H33" s="48" t="inlineStr">
        <is>
          <t xml:space="preserve">Follow / Save</t>
        </is>
      </c>
      <c r="I33" s="31" t="inlineStr">
        <is>
          <t xml:space="preserve">Idea</t>
        </is>
      </c>
      <c r="J33" s="31" t="n"/>
      <c r="K33" s="43" t="n"/>
      <c r="L33" s="43" t="n"/>
      <c r="M33" s="43" t="n"/>
      <c r="N33" s="31" t="n"/>
    </row>
    <row r="34">
      <c r="A34" s="50" t="inlineStr">
        <is>
          <t xml:space="preserve">C030</t>
        </is>
      </c>
      <c r="B34" s="50" t="n">
        <v>8</v>
      </c>
      <c r="C34" s="51" t="n">
        <v>46302</v>
      </c>
      <c r="D34" s="50" t="inlineStr">
        <is>
          <t xml:space="preserve">Product Demo</t>
        </is>
      </c>
      <c r="E34" s="50" t="inlineStr">
        <is>
          <t xml:space="preserve">TikTok + Instagram</t>
        </is>
      </c>
      <c r="F34" s="31" t="inlineStr">
        <is>
          <t xml:space="preserve">Choose a product-demo idea from the full plan</t>
        </is>
      </c>
      <c r="G34" s="50" t="inlineStr">
        <is>
          <t xml:space="preserve">Screen Recording</t>
        </is>
      </c>
      <c r="H34" s="50" t="inlineStr">
        <is>
          <t xml:space="preserve">Download Msafiri</t>
        </is>
      </c>
      <c r="I34" s="31" t="inlineStr">
        <is>
          <t xml:space="preserve">Idea</t>
        </is>
      </c>
      <c r="J34" s="31" t="n"/>
      <c r="K34" s="43" t="n"/>
      <c r="L34" s="43" t="n"/>
      <c r="M34" s="43" t="n"/>
      <c r="N34" s="31" t="n"/>
    </row>
    <row r="35">
      <c r="A35" s="48" t="inlineStr">
        <is>
          <t xml:space="preserve">C031</t>
        </is>
      </c>
      <c r="B35" s="48" t="n">
        <v>8</v>
      </c>
      <c r="C35" s="49" t="n">
        <v>46304</v>
      </c>
      <c r="D35" s="48" t="inlineStr">
        <is>
          <t xml:space="preserve">Road Safety / Field</t>
        </is>
      </c>
      <c r="E35" s="48" t="inlineStr">
        <is>
          <t xml:space="preserve">TikTok + Instagram</t>
        </is>
      </c>
      <c r="F35" s="31" t="inlineStr">
        <is>
          <t xml:space="preserve">Choose a field/road-safety idea from the full plan</t>
        </is>
      </c>
      <c r="G35" s="48" t="inlineStr">
        <is>
          <t xml:space="preserve">Field Clip</t>
        </is>
      </c>
      <c r="H35" s="48" t="inlineStr">
        <is>
          <t xml:space="preserve">Share with a driver</t>
        </is>
      </c>
      <c r="I35" s="31" t="inlineStr">
        <is>
          <t xml:space="preserve">Idea</t>
        </is>
      </c>
      <c r="J35" s="31" t="n"/>
      <c r="K35" s="43" t="n"/>
      <c r="L35" s="43" t="n"/>
      <c r="M35" s="43" t="n"/>
      <c r="N35" s="31" t="n"/>
    </row>
    <row r="36">
      <c r="A36" s="50" t="inlineStr">
        <is>
          <t xml:space="preserve">C032</t>
        </is>
      </c>
      <c r="B36" s="50" t="n">
        <v>8</v>
      </c>
      <c r="C36" s="51" t="n">
        <v>46306</v>
      </c>
      <c r="D36" s="50" t="inlineStr">
        <is>
          <t xml:space="preserve">Community / Conversion</t>
        </is>
      </c>
      <c r="E36" s="50" t="inlineStr">
        <is>
          <t xml:space="preserve">TikTok + Instagram</t>
        </is>
      </c>
      <c r="F36" s="31" t="inlineStr">
        <is>
          <t xml:space="preserve">Choose a community/conversion idea from the full plan</t>
        </is>
      </c>
      <c r="G36" s="50" t="inlineStr">
        <is>
          <t xml:space="preserve">Q&amp;A / Offer</t>
        </is>
      </c>
      <c r="H36" s="50" t="inlineStr">
        <is>
          <t xml:space="preserve">Try the app / Comment</t>
        </is>
      </c>
      <c r="I36" s="31" t="inlineStr">
        <is>
          <t xml:space="preserve">Idea</t>
        </is>
      </c>
      <c r="J36" s="31" t="n"/>
      <c r="K36" s="43" t="n"/>
      <c r="L36" s="43" t="n"/>
      <c r="M36" s="43" t="n"/>
      <c r="N36" s="31" t="n"/>
    </row>
    <row r="37">
      <c r="A37" s="48" t="inlineStr">
        <is>
          <t xml:space="preserve">C033</t>
        </is>
      </c>
      <c r="B37" s="48" t="n">
        <v>9</v>
      </c>
      <c r="C37" s="49" t="n">
        <v>46307</v>
      </c>
      <c r="D37" s="48" t="inlineStr">
        <is>
          <t xml:space="preserve">Founder / Trust</t>
        </is>
      </c>
      <c r="E37" s="48" t="inlineStr">
        <is>
          <t xml:space="preserve">TikTok + Instagram</t>
        </is>
      </c>
      <c r="F37" s="31" t="inlineStr">
        <is>
          <t xml:space="preserve">Choose a founder/trust idea from the full plan</t>
        </is>
      </c>
      <c r="G37" s="48" t="inlineStr">
        <is>
          <t xml:space="preserve">Talking Head</t>
        </is>
      </c>
      <c r="H37" s="48" t="inlineStr">
        <is>
          <t xml:space="preserve">Follow / Save</t>
        </is>
      </c>
      <c r="I37" s="31" t="inlineStr">
        <is>
          <t xml:space="preserve">Idea</t>
        </is>
      </c>
      <c r="J37" s="31" t="n"/>
      <c r="K37" s="43" t="n"/>
      <c r="L37" s="43" t="n"/>
      <c r="M37" s="43" t="n"/>
      <c r="N37" s="31" t="n"/>
    </row>
    <row r="38">
      <c r="A38" s="50" t="inlineStr">
        <is>
          <t xml:space="preserve">C034</t>
        </is>
      </c>
      <c r="B38" s="50" t="n">
        <v>9</v>
      </c>
      <c r="C38" s="51" t="n">
        <v>46309</v>
      </c>
      <c r="D38" s="50" t="inlineStr">
        <is>
          <t xml:space="preserve">Product Demo</t>
        </is>
      </c>
      <c r="E38" s="50" t="inlineStr">
        <is>
          <t xml:space="preserve">TikTok + Instagram</t>
        </is>
      </c>
      <c r="F38" s="31" t="inlineStr">
        <is>
          <t xml:space="preserve">Choose a product-demo idea from the full plan</t>
        </is>
      </c>
      <c r="G38" s="50" t="inlineStr">
        <is>
          <t xml:space="preserve">Screen Recording</t>
        </is>
      </c>
      <c r="H38" s="50" t="inlineStr">
        <is>
          <t xml:space="preserve">Download Msafiri</t>
        </is>
      </c>
      <c r="I38" s="31" t="inlineStr">
        <is>
          <t xml:space="preserve">Idea</t>
        </is>
      </c>
      <c r="J38" s="31" t="n"/>
      <c r="K38" s="43" t="n"/>
      <c r="L38" s="43" t="n"/>
      <c r="M38" s="43" t="n"/>
      <c r="N38" s="31" t="n"/>
    </row>
    <row r="39">
      <c r="A39" s="48" t="inlineStr">
        <is>
          <t xml:space="preserve">C035</t>
        </is>
      </c>
      <c r="B39" s="48" t="n">
        <v>9</v>
      </c>
      <c r="C39" s="49" t="n">
        <v>46311</v>
      </c>
      <c r="D39" s="48" t="inlineStr">
        <is>
          <t xml:space="preserve">Road Safety / Field</t>
        </is>
      </c>
      <c r="E39" s="48" t="inlineStr">
        <is>
          <t xml:space="preserve">TikTok + Instagram</t>
        </is>
      </c>
      <c r="F39" s="31" t="inlineStr">
        <is>
          <t xml:space="preserve">Choose a field/road-safety idea from the full plan</t>
        </is>
      </c>
      <c r="G39" s="48" t="inlineStr">
        <is>
          <t xml:space="preserve">Field Clip</t>
        </is>
      </c>
      <c r="H39" s="48" t="inlineStr">
        <is>
          <t xml:space="preserve">Share with a driver</t>
        </is>
      </c>
      <c r="I39" s="31" t="inlineStr">
        <is>
          <t xml:space="preserve">Idea</t>
        </is>
      </c>
      <c r="J39" s="31" t="n"/>
      <c r="K39" s="43" t="n"/>
      <c r="L39" s="43" t="n"/>
      <c r="M39" s="43" t="n"/>
      <c r="N39" s="31" t="n"/>
    </row>
    <row r="40">
      <c r="A40" s="50" t="inlineStr">
        <is>
          <t xml:space="preserve">C036</t>
        </is>
      </c>
      <c r="B40" s="50" t="n">
        <v>9</v>
      </c>
      <c r="C40" s="51" t="n">
        <v>46313</v>
      </c>
      <c r="D40" s="50" t="inlineStr">
        <is>
          <t xml:space="preserve">Community / Conversion</t>
        </is>
      </c>
      <c r="E40" s="50" t="inlineStr">
        <is>
          <t xml:space="preserve">TikTok + Instagram</t>
        </is>
      </c>
      <c r="F40" s="31" t="inlineStr">
        <is>
          <t xml:space="preserve">Choose a community/conversion idea from the full plan</t>
        </is>
      </c>
      <c r="G40" s="50" t="inlineStr">
        <is>
          <t xml:space="preserve">Q&amp;A / Offer</t>
        </is>
      </c>
      <c r="H40" s="50" t="inlineStr">
        <is>
          <t xml:space="preserve">Try the app / Comment</t>
        </is>
      </c>
      <c r="I40" s="31" t="inlineStr">
        <is>
          <t xml:space="preserve">Idea</t>
        </is>
      </c>
      <c r="J40" s="31" t="n"/>
      <c r="K40" s="43" t="n"/>
      <c r="L40" s="43" t="n"/>
      <c r="M40" s="43" t="n"/>
      <c r="N40" s="31" t="n"/>
    </row>
    <row r="41">
      <c r="A41" s="48" t="inlineStr">
        <is>
          <t xml:space="preserve">C037</t>
        </is>
      </c>
      <c r="B41" s="48" t="n">
        <v>10</v>
      </c>
      <c r="C41" s="49" t="n">
        <v>46314</v>
      </c>
      <c r="D41" s="48" t="inlineStr">
        <is>
          <t xml:space="preserve">Founder / Trust</t>
        </is>
      </c>
      <c r="E41" s="48" t="inlineStr">
        <is>
          <t xml:space="preserve">TikTok + Instagram</t>
        </is>
      </c>
      <c r="F41" s="31" t="inlineStr">
        <is>
          <t xml:space="preserve">Choose a founder/trust idea from the full plan</t>
        </is>
      </c>
      <c r="G41" s="48" t="inlineStr">
        <is>
          <t xml:space="preserve">Talking Head</t>
        </is>
      </c>
      <c r="H41" s="48" t="inlineStr">
        <is>
          <t xml:space="preserve">Follow / Save</t>
        </is>
      </c>
      <c r="I41" s="31" t="inlineStr">
        <is>
          <t xml:space="preserve">Idea</t>
        </is>
      </c>
      <c r="J41" s="31" t="n"/>
      <c r="K41" s="43" t="n"/>
      <c r="L41" s="43" t="n"/>
      <c r="M41" s="43" t="n"/>
      <c r="N41" s="31" t="n"/>
    </row>
    <row r="42">
      <c r="A42" s="50" t="inlineStr">
        <is>
          <t xml:space="preserve">C038</t>
        </is>
      </c>
      <c r="B42" s="50" t="n">
        <v>10</v>
      </c>
      <c r="C42" s="51" t="n">
        <v>46316</v>
      </c>
      <c r="D42" s="50" t="inlineStr">
        <is>
          <t xml:space="preserve">Product Demo</t>
        </is>
      </c>
      <c r="E42" s="50" t="inlineStr">
        <is>
          <t xml:space="preserve">TikTok + Instagram</t>
        </is>
      </c>
      <c r="F42" s="31" t="inlineStr">
        <is>
          <t xml:space="preserve">Choose a product-demo idea from the full plan</t>
        </is>
      </c>
      <c r="G42" s="50" t="inlineStr">
        <is>
          <t xml:space="preserve">Screen Recording</t>
        </is>
      </c>
      <c r="H42" s="50" t="inlineStr">
        <is>
          <t xml:space="preserve">Download Msafiri</t>
        </is>
      </c>
      <c r="I42" s="31" t="inlineStr">
        <is>
          <t xml:space="preserve">Idea</t>
        </is>
      </c>
      <c r="J42" s="31" t="n"/>
      <c r="K42" s="43" t="n"/>
      <c r="L42" s="43" t="n"/>
      <c r="M42" s="43" t="n"/>
      <c r="N42" s="31" t="n"/>
    </row>
    <row r="43">
      <c r="A43" s="48" t="inlineStr">
        <is>
          <t xml:space="preserve">C039</t>
        </is>
      </c>
      <c r="B43" s="48" t="n">
        <v>10</v>
      </c>
      <c r="C43" s="49" t="n">
        <v>46318</v>
      </c>
      <c r="D43" s="48" t="inlineStr">
        <is>
          <t xml:space="preserve">Road Safety / Field</t>
        </is>
      </c>
      <c r="E43" s="48" t="inlineStr">
        <is>
          <t xml:space="preserve">TikTok + Instagram</t>
        </is>
      </c>
      <c r="F43" s="31" t="inlineStr">
        <is>
          <t xml:space="preserve">Choose a field/road-safety idea from the full plan</t>
        </is>
      </c>
      <c r="G43" s="48" t="inlineStr">
        <is>
          <t xml:space="preserve">Field Clip</t>
        </is>
      </c>
      <c r="H43" s="48" t="inlineStr">
        <is>
          <t xml:space="preserve">Share with a driver</t>
        </is>
      </c>
      <c r="I43" s="31" t="inlineStr">
        <is>
          <t xml:space="preserve">Idea</t>
        </is>
      </c>
      <c r="J43" s="31" t="n"/>
      <c r="K43" s="43" t="n"/>
      <c r="L43" s="43" t="n"/>
      <c r="M43" s="43" t="n"/>
      <c r="N43" s="31" t="n"/>
    </row>
    <row r="44">
      <c r="A44" s="50" t="inlineStr">
        <is>
          <t xml:space="preserve">C040</t>
        </is>
      </c>
      <c r="B44" s="50" t="n">
        <v>10</v>
      </c>
      <c r="C44" s="51" t="n">
        <v>46320</v>
      </c>
      <c r="D44" s="50" t="inlineStr">
        <is>
          <t xml:space="preserve">Community / Conversion</t>
        </is>
      </c>
      <c r="E44" s="50" t="inlineStr">
        <is>
          <t xml:space="preserve">TikTok + Instagram</t>
        </is>
      </c>
      <c r="F44" s="31" t="inlineStr">
        <is>
          <t xml:space="preserve">Choose a community/conversion idea from the full plan</t>
        </is>
      </c>
      <c r="G44" s="50" t="inlineStr">
        <is>
          <t xml:space="preserve">Q&amp;A / Offer</t>
        </is>
      </c>
      <c r="H44" s="50" t="inlineStr">
        <is>
          <t xml:space="preserve">Try the app / Comment</t>
        </is>
      </c>
      <c r="I44" s="31" t="inlineStr">
        <is>
          <t xml:space="preserve">Idea</t>
        </is>
      </c>
      <c r="J44" s="31" t="n"/>
      <c r="K44" s="43" t="n"/>
      <c r="L44" s="43" t="n"/>
      <c r="M44" s="43" t="n"/>
      <c r="N44" s="31" t="n"/>
    </row>
    <row r="45">
      <c r="A45" s="48" t="inlineStr">
        <is>
          <t xml:space="preserve">C041</t>
        </is>
      </c>
      <c r="B45" s="48" t="n">
        <v>11</v>
      </c>
      <c r="C45" s="49" t="n">
        <v>46321</v>
      </c>
      <c r="D45" s="48" t="inlineStr">
        <is>
          <t xml:space="preserve">Founder / Trust</t>
        </is>
      </c>
      <c r="E45" s="48" t="inlineStr">
        <is>
          <t xml:space="preserve">TikTok + Instagram</t>
        </is>
      </c>
      <c r="F45" s="31" t="inlineStr">
        <is>
          <t xml:space="preserve">Choose a founder/trust idea from the full plan</t>
        </is>
      </c>
      <c r="G45" s="48" t="inlineStr">
        <is>
          <t xml:space="preserve">Talking Head</t>
        </is>
      </c>
      <c r="H45" s="48" t="inlineStr">
        <is>
          <t xml:space="preserve">Follow / Save</t>
        </is>
      </c>
      <c r="I45" s="31" t="inlineStr">
        <is>
          <t xml:space="preserve">Idea</t>
        </is>
      </c>
      <c r="J45" s="31" t="n"/>
      <c r="K45" s="43" t="n"/>
      <c r="L45" s="43" t="n"/>
      <c r="M45" s="43" t="n"/>
      <c r="N45" s="31" t="n"/>
    </row>
    <row r="46">
      <c r="A46" s="50" t="inlineStr">
        <is>
          <t xml:space="preserve">C042</t>
        </is>
      </c>
      <c r="B46" s="50" t="n">
        <v>11</v>
      </c>
      <c r="C46" s="51" t="n">
        <v>46323</v>
      </c>
      <c r="D46" s="50" t="inlineStr">
        <is>
          <t xml:space="preserve">Product Demo</t>
        </is>
      </c>
      <c r="E46" s="50" t="inlineStr">
        <is>
          <t xml:space="preserve">TikTok + Instagram</t>
        </is>
      </c>
      <c r="F46" s="31" t="inlineStr">
        <is>
          <t xml:space="preserve">Choose a product-demo idea from the full plan</t>
        </is>
      </c>
      <c r="G46" s="50" t="inlineStr">
        <is>
          <t xml:space="preserve">Screen Recording</t>
        </is>
      </c>
      <c r="H46" s="50" t="inlineStr">
        <is>
          <t xml:space="preserve">Download Msafiri</t>
        </is>
      </c>
      <c r="I46" s="31" t="inlineStr">
        <is>
          <t xml:space="preserve">Idea</t>
        </is>
      </c>
      <c r="J46" s="31" t="n"/>
      <c r="K46" s="43" t="n"/>
      <c r="L46" s="43" t="n"/>
      <c r="M46" s="43" t="n"/>
      <c r="N46" s="31" t="n"/>
    </row>
    <row r="47">
      <c r="A47" s="48" t="inlineStr">
        <is>
          <t xml:space="preserve">C043</t>
        </is>
      </c>
      <c r="B47" s="48" t="n">
        <v>11</v>
      </c>
      <c r="C47" s="49" t="n">
        <v>46325</v>
      </c>
      <c r="D47" s="48" t="inlineStr">
        <is>
          <t xml:space="preserve">Road Safety / Field</t>
        </is>
      </c>
      <c r="E47" s="48" t="inlineStr">
        <is>
          <t xml:space="preserve">TikTok + Instagram</t>
        </is>
      </c>
      <c r="F47" s="31" t="inlineStr">
        <is>
          <t xml:space="preserve">Choose a field/road-safety idea from the full plan</t>
        </is>
      </c>
      <c r="G47" s="48" t="inlineStr">
        <is>
          <t xml:space="preserve">Field Clip</t>
        </is>
      </c>
      <c r="H47" s="48" t="inlineStr">
        <is>
          <t xml:space="preserve">Share with a driver</t>
        </is>
      </c>
      <c r="I47" s="31" t="inlineStr">
        <is>
          <t xml:space="preserve">Idea</t>
        </is>
      </c>
      <c r="J47" s="31" t="n"/>
      <c r="K47" s="43" t="n"/>
      <c r="L47" s="43" t="n"/>
      <c r="M47" s="43" t="n"/>
      <c r="N47" s="31" t="n"/>
    </row>
    <row r="48">
      <c r="A48" s="50" t="inlineStr">
        <is>
          <t xml:space="preserve">C044</t>
        </is>
      </c>
      <c r="B48" s="50" t="n">
        <v>11</v>
      </c>
      <c r="C48" s="51" t="n">
        <v>46327</v>
      </c>
      <c r="D48" s="50" t="inlineStr">
        <is>
          <t xml:space="preserve">Community / Conversion</t>
        </is>
      </c>
      <c r="E48" s="50" t="inlineStr">
        <is>
          <t xml:space="preserve">TikTok + Instagram</t>
        </is>
      </c>
      <c r="F48" s="31" t="inlineStr">
        <is>
          <t xml:space="preserve">Choose a community/conversion idea from the full plan</t>
        </is>
      </c>
      <c r="G48" s="50" t="inlineStr">
        <is>
          <t xml:space="preserve">Q&amp;A / Offer</t>
        </is>
      </c>
      <c r="H48" s="50" t="inlineStr">
        <is>
          <t xml:space="preserve">Try the app / Comment</t>
        </is>
      </c>
      <c r="I48" s="31" t="inlineStr">
        <is>
          <t xml:space="preserve">Idea</t>
        </is>
      </c>
      <c r="J48" s="31" t="n"/>
      <c r="K48" s="43" t="n"/>
      <c r="L48" s="43" t="n"/>
      <c r="M48" s="43" t="n"/>
      <c r="N48" s="31" t="n"/>
    </row>
    <row r="49">
      <c r="A49" s="48" t="inlineStr">
        <is>
          <t xml:space="preserve">C045</t>
        </is>
      </c>
      <c r="B49" s="48" t="n">
        <v>12</v>
      </c>
      <c r="C49" s="49" t="n">
        <v>46328</v>
      </c>
      <c r="D49" s="48" t="inlineStr">
        <is>
          <t xml:space="preserve">Founder / Trust</t>
        </is>
      </c>
      <c r="E49" s="48" t="inlineStr">
        <is>
          <t xml:space="preserve">TikTok + Instagram</t>
        </is>
      </c>
      <c r="F49" s="31" t="inlineStr">
        <is>
          <t xml:space="preserve">Choose a founder/trust idea from the full plan</t>
        </is>
      </c>
      <c r="G49" s="48" t="inlineStr">
        <is>
          <t xml:space="preserve">Talking Head</t>
        </is>
      </c>
      <c r="H49" s="48" t="inlineStr">
        <is>
          <t xml:space="preserve">Follow / Save</t>
        </is>
      </c>
      <c r="I49" s="31" t="inlineStr">
        <is>
          <t xml:space="preserve">Idea</t>
        </is>
      </c>
      <c r="J49" s="31" t="n"/>
      <c r="K49" s="43" t="n"/>
      <c r="L49" s="43" t="n"/>
      <c r="M49" s="43" t="n"/>
      <c r="N49" s="31" t="n"/>
    </row>
    <row r="50">
      <c r="A50" s="50" t="inlineStr">
        <is>
          <t xml:space="preserve">C046</t>
        </is>
      </c>
      <c r="B50" s="50" t="n">
        <v>12</v>
      </c>
      <c r="C50" s="51" t="n">
        <v>46330</v>
      </c>
      <c r="D50" s="50" t="inlineStr">
        <is>
          <t xml:space="preserve">Product Demo</t>
        </is>
      </c>
      <c r="E50" s="50" t="inlineStr">
        <is>
          <t xml:space="preserve">TikTok + Instagram</t>
        </is>
      </c>
      <c r="F50" s="31" t="inlineStr">
        <is>
          <t xml:space="preserve">Choose a product-demo idea from the full plan</t>
        </is>
      </c>
      <c r="G50" s="50" t="inlineStr">
        <is>
          <t xml:space="preserve">Screen Recording</t>
        </is>
      </c>
      <c r="H50" s="50" t="inlineStr">
        <is>
          <t xml:space="preserve">Download Msafiri</t>
        </is>
      </c>
      <c r="I50" s="31" t="inlineStr">
        <is>
          <t xml:space="preserve">Idea</t>
        </is>
      </c>
      <c r="J50" s="31" t="n"/>
      <c r="K50" s="43" t="n"/>
      <c r="L50" s="43" t="n"/>
      <c r="M50" s="43" t="n"/>
      <c r="N50" s="31" t="n"/>
    </row>
    <row r="51">
      <c r="A51" s="48" t="inlineStr">
        <is>
          <t xml:space="preserve">C047</t>
        </is>
      </c>
      <c r="B51" s="48" t="n">
        <v>12</v>
      </c>
      <c r="C51" s="49" t="n">
        <v>46332</v>
      </c>
      <c r="D51" s="48" t="inlineStr">
        <is>
          <t xml:space="preserve">Road Safety / Field</t>
        </is>
      </c>
      <c r="E51" s="48" t="inlineStr">
        <is>
          <t xml:space="preserve">TikTok + Instagram</t>
        </is>
      </c>
      <c r="F51" s="31" t="inlineStr">
        <is>
          <t xml:space="preserve">Choose a field/road-safety idea from the full plan</t>
        </is>
      </c>
      <c r="G51" s="48" t="inlineStr">
        <is>
          <t xml:space="preserve">Field Clip</t>
        </is>
      </c>
      <c r="H51" s="48" t="inlineStr">
        <is>
          <t xml:space="preserve">Share with a driver</t>
        </is>
      </c>
      <c r="I51" s="31" t="inlineStr">
        <is>
          <t xml:space="preserve">Idea</t>
        </is>
      </c>
      <c r="J51" s="31" t="n"/>
      <c r="K51" s="43" t="n"/>
      <c r="L51" s="43" t="n"/>
      <c r="M51" s="43" t="n"/>
      <c r="N51" s="31" t="n"/>
    </row>
    <row r="52">
      <c r="A52" s="50" t="inlineStr">
        <is>
          <t xml:space="preserve">C048</t>
        </is>
      </c>
      <c r="B52" s="50" t="n">
        <v>12</v>
      </c>
      <c r="C52" s="51" t="n">
        <v>46334</v>
      </c>
      <c r="D52" s="50" t="inlineStr">
        <is>
          <t xml:space="preserve">Community / Conversion</t>
        </is>
      </c>
      <c r="E52" s="50" t="inlineStr">
        <is>
          <t xml:space="preserve">TikTok + Instagram</t>
        </is>
      </c>
      <c r="F52" s="31" t="inlineStr">
        <is>
          <t xml:space="preserve">Choose a community/conversion idea from the full plan</t>
        </is>
      </c>
      <c r="G52" s="50" t="inlineStr">
        <is>
          <t xml:space="preserve">Q&amp;A / Offer</t>
        </is>
      </c>
      <c r="H52" s="50" t="inlineStr">
        <is>
          <t xml:space="preserve">Try the app / Comment</t>
        </is>
      </c>
      <c r="I52" s="31" t="inlineStr">
        <is>
          <t xml:space="preserve">Idea</t>
        </is>
      </c>
      <c r="J52" s="31" t="n"/>
      <c r="K52" s="43" t="n"/>
      <c r="L52" s="43" t="n"/>
      <c r="M52" s="43" t="n"/>
      <c r="N52" s="31" t="n"/>
    </row>
    <row r="53">
      <c r="A53" s="48" t="inlineStr">
        <is>
          <t xml:space="preserve">C049</t>
        </is>
      </c>
      <c r="B53" s="48" t="n">
        <v>13</v>
      </c>
      <c r="C53" s="49" t="n">
        <v>46335</v>
      </c>
      <c r="D53" s="48" t="inlineStr">
        <is>
          <t xml:space="preserve">Founder / Trust</t>
        </is>
      </c>
      <c r="E53" s="48" t="inlineStr">
        <is>
          <t xml:space="preserve">TikTok + Instagram</t>
        </is>
      </c>
      <c r="F53" s="31" t="inlineStr">
        <is>
          <t xml:space="preserve">Choose a founder/trust idea from the full plan</t>
        </is>
      </c>
      <c r="G53" s="48" t="inlineStr">
        <is>
          <t xml:space="preserve">Talking Head</t>
        </is>
      </c>
      <c r="H53" s="48" t="inlineStr">
        <is>
          <t xml:space="preserve">Follow / Save</t>
        </is>
      </c>
      <c r="I53" s="31" t="inlineStr">
        <is>
          <t xml:space="preserve">Idea</t>
        </is>
      </c>
      <c r="J53" s="31" t="n"/>
      <c r="K53" s="43" t="n"/>
      <c r="L53" s="43" t="n"/>
      <c r="M53" s="43" t="n"/>
      <c r="N53" s="31" t="n"/>
    </row>
    <row r="54">
      <c r="A54" s="50" t="inlineStr">
        <is>
          <t xml:space="preserve">C050</t>
        </is>
      </c>
      <c r="B54" s="50" t="n">
        <v>13</v>
      </c>
      <c r="C54" s="51" t="n">
        <v>46337</v>
      </c>
      <c r="D54" s="50" t="inlineStr">
        <is>
          <t xml:space="preserve">Product Demo</t>
        </is>
      </c>
      <c r="E54" s="50" t="inlineStr">
        <is>
          <t xml:space="preserve">TikTok + Instagram</t>
        </is>
      </c>
      <c r="F54" s="31" t="inlineStr">
        <is>
          <t xml:space="preserve">Choose a product-demo idea from the full plan</t>
        </is>
      </c>
      <c r="G54" s="50" t="inlineStr">
        <is>
          <t xml:space="preserve">Screen Recording</t>
        </is>
      </c>
      <c r="H54" s="50" t="inlineStr">
        <is>
          <t xml:space="preserve">Download Msafiri</t>
        </is>
      </c>
      <c r="I54" s="31" t="inlineStr">
        <is>
          <t xml:space="preserve">Idea</t>
        </is>
      </c>
      <c r="J54" s="31" t="n"/>
      <c r="K54" s="43" t="n"/>
      <c r="L54" s="43" t="n"/>
      <c r="M54" s="43" t="n"/>
      <c r="N54" s="31" t="n"/>
    </row>
    <row r="55">
      <c r="A55" s="48" t="inlineStr">
        <is>
          <t xml:space="preserve">C051</t>
        </is>
      </c>
      <c r="B55" s="48" t="n">
        <v>13</v>
      </c>
      <c r="C55" s="49" t="n">
        <v>46339</v>
      </c>
      <c r="D55" s="48" t="inlineStr">
        <is>
          <t xml:space="preserve">Road Safety / Field</t>
        </is>
      </c>
      <c r="E55" s="48" t="inlineStr">
        <is>
          <t xml:space="preserve">TikTok + Instagram</t>
        </is>
      </c>
      <c r="F55" s="31" t="inlineStr">
        <is>
          <t xml:space="preserve">Choose a field/road-safety idea from the full plan</t>
        </is>
      </c>
      <c r="G55" s="48" t="inlineStr">
        <is>
          <t xml:space="preserve">Field Clip</t>
        </is>
      </c>
      <c r="H55" s="48" t="inlineStr">
        <is>
          <t xml:space="preserve">Share with a driver</t>
        </is>
      </c>
      <c r="I55" s="31" t="inlineStr">
        <is>
          <t xml:space="preserve">Idea</t>
        </is>
      </c>
      <c r="J55" s="31" t="n"/>
      <c r="K55" s="43" t="n"/>
      <c r="L55" s="43" t="n"/>
      <c r="M55" s="43" t="n"/>
      <c r="N55" s="31" t="n"/>
    </row>
    <row r="56">
      <c r="A56" s="50" t="inlineStr">
        <is>
          <t xml:space="preserve">C052</t>
        </is>
      </c>
      <c r="B56" s="50" t="n">
        <v>13</v>
      </c>
      <c r="C56" s="51" t="n">
        <v>46341</v>
      </c>
      <c r="D56" s="50" t="inlineStr">
        <is>
          <t xml:space="preserve">Community / Conversion</t>
        </is>
      </c>
      <c r="E56" s="50" t="inlineStr">
        <is>
          <t xml:space="preserve">TikTok + Instagram</t>
        </is>
      </c>
      <c r="F56" s="31" t="inlineStr">
        <is>
          <t xml:space="preserve">Choose a community/conversion idea from the full plan</t>
        </is>
      </c>
      <c r="G56" s="50" t="inlineStr">
        <is>
          <t xml:space="preserve">Q&amp;A / Offer</t>
        </is>
      </c>
      <c r="H56" s="50" t="inlineStr">
        <is>
          <t xml:space="preserve">Try the app / Comment</t>
        </is>
      </c>
      <c r="I56" s="31" t="inlineStr">
        <is>
          <t xml:space="preserve">Idea</t>
        </is>
      </c>
      <c r="J56" s="31" t="n"/>
      <c r="K56" s="43" t="n"/>
      <c r="L56" s="43" t="n"/>
      <c r="M56" s="43" t="n"/>
      <c r="N56" s="31" t="n"/>
    </row>
    <row r="57">
      <c r="A57" s="48" t="inlineStr">
        <is>
          <t xml:space="preserve">C053</t>
        </is>
      </c>
      <c r="B57" s="48" t="n">
        <v>14</v>
      </c>
      <c r="C57" s="49" t="n">
        <v>46342</v>
      </c>
      <c r="D57" s="48" t="inlineStr">
        <is>
          <t xml:space="preserve">Founder / Trust</t>
        </is>
      </c>
      <c r="E57" s="48" t="inlineStr">
        <is>
          <t xml:space="preserve">TikTok + Instagram</t>
        </is>
      </c>
      <c r="F57" s="31" t="inlineStr">
        <is>
          <t xml:space="preserve">Choose a founder/trust idea from the full plan</t>
        </is>
      </c>
      <c r="G57" s="48" t="inlineStr">
        <is>
          <t xml:space="preserve">Talking Head</t>
        </is>
      </c>
      <c r="H57" s="48" t="inlineStr">
        <is>
          <t xml:space="preserve">Follow / Save</t>
        </is>
      </c>
      <c r="I57" s="31" t="inlineStr">
        <is>
          <t xml:space="preserve">Idea</t>
        </is>
      </c>
      <c r="J57" s="31" t="n"/>
      <c r="K57" s="43" t="n"/>
      <c r="L57" s="43" t="n"/>
      <c r="M57" s="43" t="n"/>
      <c r="N57" s="31" t="n"/>
    </row>
    <row r="58">
      <c r="A58" s="50" t="inlineStr">
        <is>
          <t xml:space="preserve">C054</t>
        </is>
      </c>
      <c r="B58" s="50" t="n">
        <v>14</v>
      </c>
      <c r="C58" s="51" t="n">
        <v>46344</v>
      </c>
      <c r="D58" s="50" t="inlineStr">
        <is>
          <t xml:space="preserve">Product Demo</t>
        </is>
      </c>
      <c r="E58" s="50" t="inlineStr">
        <is>
          <t xml:space="preserve">TikTok + Instagram</t>
        </is>
      </c>
      <c r="F58" s="31" t="inlineStr">
        <is>
          <t xml:space="preserve">Choose a product-demo idea from the full plan</t>
        </is>
      </c>
      <c r="G58" s="50" t="inlineStr">
        <is>
          <t xml:space="preserve">Screen Recording</t>
        </is>
      </c>
      <c r="H58" s="50" t="inlineStr">
        <is>
          <t xml:space="preserve">Download Msafiri</t>
        </is>
      </c>
      <c r="I58" s="31" t="inlineStr">
        <is>
          <t xml:space="preserve">Idea</t>
        </is>
      </c>
      <c r="J58" s="31" t="n"/>
      <c r="K58" s="43" t="n"/>
      <c r="L58" s="43" t="n"/>
      <c r="M58" s="43" t="n"/>
      <c r="N58" s="31" t="n"/>
    </row>
    <row r="59">
      <c r="A59" s="48" t="inlineStr">
        <is>
          <t xml:space="preserve">C055</t>
        </is>
      </c>
      <c r="B59" s="48" t="n">
        <v>14</v>
      </c>
      <c r="C59" s="49" t="n">
        <v>46346</v>
      </c>
      <c r="D59" s="48" t="inlineStr">
        <is>
          <t xml:space="preserve">Road Safety / Field</t>
        </is>
      </c>
      <c r="E59" s="48" t="inlineStr">
        <is>
          <t xml:space="preserve">TikTok + Instagram</t>
        </is>
      </c>
      <c r="F59" s="31" t="inlineStr">
        <is>
          <t xml:space="preserve">Choose a field/road-safety idea from the full plan</t>
        </is>
      </c>
      <c r="G59" s="48" t="inlineStr">
        <is>
          <t xml:space="preserve">Field Clip</t>
        </is>
      </c>
      <c r="H59" s="48" t="inlineStr">
        <is>
          <t xml:space="preserve">Share with a driver</t>
        </is>
      </c>
      <c r="I59" s="31" t="inlineStr">
        <is>
          <t xml:space="preserve">Idea</t>
        </is>
      </c>
      <c r="J59" s="31" t="n"/>
      <c r="K59" s="43" t="n"/>
      <c r="L59" s="43" t="n"/>
      <c r="M59" s="43" t="n"/>
      <c r="N59" s="31" t="n"/>
    </row>
    <row r="60">
      <c r="A60" s="50" t="inlineStr">
        <is>
          <t xml:space="preserve">C056</t>
        </is>
      </c>
      <c r="B60" s="50" t="n">
        <v>14</v>
      </c>
      <c r="C60" s="51" t="n">
        <v>46348</v>
      </c>
      <c r="D60" s="50" t="inlineStr">
        <is>
          <t xml:space="preserve">Community / Conversion</t>
        </is>
      </c>
      <c r="E60" s="50" t="inlineStr">
        <is>
          <t xml:space="preserve">TikTok + Instagram</t>
        </is>
      </c>
      <c r="F60" s="31" t="inlineStr">
        <is>
          <t xml:space="preserve">Choose a community/conversion idea from the full plan</t>
        </is>
      </c>
      <c r="G60" s="50" t="inlineStr">
        <is>
          <t xml:space="preserve">Q&amp;A / Offer</t>
        </is>
      </c>
      <c r="H60" s="50" t="inlineStr">
        <is>
          <t xml:space="preserve">Try the app / Comment</t>
        </is>
      </c>
      <c r="I60" s="31" t="inlineStr">
        <is>
          <t xml:space="preserve">Idea</t>
        </is>
      </c>
      <c r="J60" s="31" t="n"/>
      <c r="K60" s="43" t="n"/>
      <c r="L60" s="43" t="n"/>
      <c r="M60" s="43" t="n"/>
      <c r="N60" s="31" t="n"/>
    </row>
    <row r="61">
      <c r="A61" s="48" t="inlineStr">
        <is>
          <t xml:space="preserve">C057</t>
        </is>
      </c>
      <c r="B61" s="48" t="n">
        <v>15</v>
      </c>
      <c r="C61" s="49" t="n">
        <v>46349</v>
      </c>
      <c r="D61" s="48" t="inlineStr">
        <is>
          <t xml:space="preserve">Founder / Trust</t>
        </is>
      </c>
      <c r="E61" s="48" t="inlineStr">
        <is>
          <t xml:space="preserve">TikTok + Instagram</t>
        </is>
      </c>
      <c r="F61" s="31" t="inlineStr">
        <is>
          <t xml:space="preserve">Choose a founder/trust idea from the full plan</t>
        </is>
      </c>
      <c r="G61" s="48" t="inlineStr">
        <is>
          <t xml:space="preserve">Talking Head</t>
        </is>
      </c>
      <c r="H61" s="48" t="inlineStr">
        <is>
          <t xml:space="preserve">Follow / Save</t>
        </is>
      </c>
      <c r="I61" s="31" t="inlineStr">
        <is>
          <t xml:space="preserve">Idea</t>
        </is>
      </c>
      <c r="J61" s="31" t="n"/>
      <c r="K61" s="43" t="n"/>
      <c r="L61" s="43" t="n"/>
      <c r="M61" s="43" t="n"/>
      <c r="N61" s="31" t="n"/>
    </row>
    <row r="62">
      <c r="A62" s="50" t="inlineStr">
        <is>
          <t xml:space="preserve">C058</t>
        </is>
      </c>
      <c r="B62" s="50" t="n">
        <v>15</v>
      </c>
      <c r="C62" s="51" t="n">
        <v>46351</v>
      </c>
      <c r="D62" s="50" t="inlineStr">
        <is>
          <t xml:space="preserve">Product Demo</t>
        </is>
      </c>
      <c r="E62" s="50" t="inlineStr">
        <is>
          <t xml:space="preserve">TikTok + Instagram</t>
        </is>
      </c>
      <c r="F62" s="31" t="inlineStr">
        <is>
          <t xml:space="preserve">Choose a product-demo idea from the full plan</t>
        </is>
      </c>
      <c r="G62" s="50" t="inlineStr">
        <is>
          <t xml:space="preserve">Screen Recording</t>
        </is>
      </c>
      <c r="H62" s="50" t="inlineStr">
        <is>
          <t xml:space="preserve">Download Msafiri</t>
        </is>
      </c>
      <c r="I62" s="31" t="inlineStr">
        <is>
          <t xml:space="preserve">Idea</t>
        </is>
      </c>
      <c r="J62" s="31" t="n"/>
      <c r="K62" s="43" t="n"/>
      <c r="L62" s="43" t="n"/>
      <c r="M62" s="43" t="n"/>
      <c r="N62" s="31" t="n"/>
    </row>
    <row r="63">
      <c r="A63" s="48" t="inlineStr">
        <is>
          <t xml:space="preserve">C059</t>
        </is>
      </c>
      <c r="B63" s="48" t="n">
        <v>15</v>
      </c>
      <c r="C63" s="49" t="n">
        <v>46353</v>
      </c>
      <c r="D63" s="48" t="inlineStr">
        <is>
          <t xml:space="preserve">Road Safety / Field</t>
        </is>
      </c>
      <c r="E63" s="48" t="inlineStr">
        <is>
          <t xml:space="preserve">TikTok + Instagram</t>
        </is>
      </c>
      <c r="F63" s="31" t="inlineStr">
        <is>
          <t xml:space="preserve">Choose a field/road-safety idea from the full plan</t>
        </is>
      </c>
      <c r="G63" s="48" t="inlineStr">
        <is>
          <t xml:space="preserve">Field Clip</t>
        </is>
      </c>
      <c r="H63" s="48" t="inlineStr">
        <is>
          <t xml:space="preserve">Share with a driver</t>
        </is>
      </c>
      <c r="I63" s="31" t="inlineStr">
        <is>
          <t xml:space="preserve">Idea</t>
        </is>
      </c>
      <c r="J63" s="31" t="n"/>
      <c r="K63" s="43" t="n"/>
      <c r="L63" s="43" t="n"/>
      <c r="M63" s="43" t="n"/>
      <c r="N63" s="31" t="n"/>
    </row>
    <row r="64">
      <c r="A64" s="50" t="inlineStr">
        <is>
          <t xml:space="preserve">C060</t>
        </is>
      </c>
      <c r="B64" s="50" t="n">
        <v>15</v>
      </c>
      <c r="C64" s="51" t="n">
        <v>46355</v>
      </c>
      <c r="D64" s="50" t="inlineStr">
        <is>
          <t xml:space="preserve">Community / Conversion</t>
        </is>
      </c>
      <c r="E64" s="50" t="inlineStr">
        <is>
          <t xml:space="preserve">TikTok + Instagram</t>
        </is>
      </c>
      <c r="F64" s="31" t="inlineStr">
        <is>
          <t xml:space="preserve">Choose a community/conversion idea from the full plan</t>
        </is>
      </c>
      <c r="G64" s="50" t="inlineStr">
        <is>
          <t xml:space="preserve">Q&amp;A / Offer</t>
        </is>
      </c>
      <c r="H64" s="50" t="inlineStr">
        <is>
          <t xml:space="preserve">Try the app / Comment</t>
        </is>
      </c>
      <c r="I64" s="31" t="inlineStr">
        <is>
          <t xml:space="preserve">Idea</t>
        </is>
      </c>
      <c r="J64" s="31" t="n"/>
      <c r="K64" s="43" t="n"/>
      <c r="L64" s="43" t="n"/>
      <c r="M64" s="43" t="n"/>
      <c r="N64" s="31" t="n"/>
    </row>
    <row r="65">
      <c r="A65" s="48" t="inlineStr">
        <is>
          <t xml:space="preserve">C061</t>
        </is>
      </c>
      <c r="B65" s="48" t="n">
        <v>16</v>
      </c>
      <c r="C65" s="49" t="n">
        <v>46356</v>
      </c>
      <c r="D65" s="48" t="inlineStr">
        <is>
          <t xml:space="preserve">Founder / Trust</t>
        </is>
      </c>
      <c r="E65" s="48" t="inlineStr">
        <is>
          <t xml:space="preserve">TikTok + Instagram</t>
        </is>
      </c>
      <c r="F65" s="31" t="inlineStr">
        <is>
          <t xml:space="preserve">Choose a founder/trust idea from the full plan</t>
        </is>
      </c>
      <c r="G65" s="48" t="inlineStr">
        <is>
          <t xml:space="preserve">Talking Head</t>
        </is>
      </c>
      <c r="H65" s="48" t="inlineStr">
        <is>
          <t xml:space="preserve">Follow / Save</t>
        </is>
      </c>
      <c r="I65" s="31" t="inlineStr">
        <is>
          <t xml:space="preserve">Idea</t>
        </is>
      </c>
      <c r="J65" s="31" t="n"/>
      <c r="K65" s="43" t="n"/>
      <c r="L65" s="43" t="n"/>
      <c r="M65" s="43" t="n"/>
      <c r="N65" s="31" t="n"/>
    </row>
    <row r="66">
      <c r="A66" s="50" t="inlineStr">
        <is>
          <t xml:space="preserve">C062</t>
        </is>
      </c>
      <c r="B66" s="50" t="n">
        <v>16</v>
      </c>
      <c r="C66" s="51" t="n">
        <v>46358</v>
      </c>
      <c r="D66" s="50" t="inlineStr">
        <is>
          <t xml:space="preserve">Product Demo</t>
        </is>
      </c>
      <c r="E66" s="50" t="inlineStr">
        <is>
          <t xml:space="preserve">TikTok + Instagram</t>
        </is>
      </c>
      <c r="F66" s="31" t="inlineStr">
        <is>
          <t xml:space="preserve">Choose a product-demo idea from the full plan</t>
        </is>
      </c>
      <c r="G66" s="50" t="inlineStr">
        <is>
          <t xml:space="preserve">Screen Recording</t>
        </is>
      </c>
      <c r="H66" s="50" t="inlineStr">
        <is>
          <t xml:space="preserve">Download Msafiri</t>
        </is>
      </c>
      <c r="I66" s="31" t="inlineStr">
        <is>
          <t xml:space="preserve">Idea</t>
        </is>
      </c>
      <c r="J66" s="31" t="n"/>
      <c r="K66" s="43" t="n"/>
      <c r="L66" s="43" t="n"/>
      <c r="M66" s="43" t="n"/>
      <c r="N66" s="31" t="n"/>
    </row>
    <row r="67">
      <c r="A67" s="48" t="inlineStr">
        <is>
          <t xml:space="preserve">C063</t>
        </is>
      </c>
      <c r="B67" s="48" t="n">
        <v>16</v>
      </c>
      <c r="C67" s="49" t="n">
        <v>46360</v>
      </c>
      <c r="D67" s="48" t="inlineStr">
        <is>
          <t xml:space="preserve">Road Safety / Field</t>
        </is>
      </c>
      <c r="E67" s="48" t="inlineStr">
        <is>
          <t xml:space="preserve">TikTok + Instagram</t>
        </is>
      </c>
      <c r="F67" s="31" t="inlineStr">
        <is>
          <t xml:space="preserve">Choose a field/road-safety idea from the full plan</t>
        </is>
      </c>
      <c r="G67" s="48" t="inlineStr">
        <is>
          <t xml:space="preserve">Field Clip</t>
        </is>
      </c>
      <c r="H67" s="48" t="inlineStr">
        <is>
          <t xml:space="preserve">Share with a driver</t>
        </is>
      </c>
      <c r="I67" s="31" t="inlineStr">
        <is>
          <t xml:space="preserve">Idea</t>
        </is>
      </c>
      <c r="J67" s="31" t="n"/>
      <c r="K67" s="43" t="n"/>
      <c r="L67" s="43" t="n"/>
      <c r="M67" s="43" t="n"/>
      <c r="N67" s="31" t="n"/>
    </row>
    <row r="68">
      <c r="A68" s="50" t="inlineStr">
        <is>
          <t xml:space="preserve">C064</t>
        </is>
      </c>
      <c r="B68" s="50" t="n">
        <v>16</v>
      </c>
      <c r="C68" s="51" t="n">
        <v>46362</v>
      </c>
      <c r="D68" s="50" t="inlineStr">
        <is>
          <t xml:space="preserve">Community / Conversion</t>
        </is>
      </c>
      <c r="E68" s="50" t="inlineStr">
        <is>
          <t xml:space="preserve">TikTok + Instagram</t>
        </is>
      </c>
      <c r="F68" s="31" t="inlineStr">
        <is>
          <t xml:space="preserve">Choose a community/conversion idea from the full plan</t>
        </is>
      </c>
      <c r="G68" s="50" t="inlineStr">
        <is>
          <t xml:space="preserve">Q&amp;A / Offer</t>
        </is>
      </c>
      <c r="H68" s="50" t="inlineStr">
        <is>
          <t xml:space="preserve">Try the app / Comment</t>
        </is>
      </c>
      <c r="I68" s="31" t="inlineStr">
        <is>
          <t xml:space="preserve">Idea</t>
        </is>
      </c>
      <c r="J68" s="31" t="n"/>
      <c r="K68" s="43" t="n"/>
      <c r="L68" s="43" t="n"/>
      <c r="M68" s="43" t="n"/>
      <c r="N68" s="31" t="n"/>
    </row>
    <row r="69">
      <c r="A69" s="48" t="inlineStr">
        <is>
          <t xml:space="preserve">C065</t>
        </is>
      </c>
      <c r="B69" s="48" t="n">
        <v>17</v>
      </c>
      <c r="C69" s="49" t="n">
        <v>46363</v>
      </c>
      <c r="D69" s="48" t="inlineStr">
        <is>
          <t xml:space="preserve">Founder / Trust</t>
        </is>
      </c>
      <c r="E69" s="48" t="inlineStr">
        <is>
          <t xml:space="preserve">TikTok + Instagram</t>
        </is>
      </c>
      <c r="F69" s="31" t="inlineStr">
        <is>
          <t xml:space="preserve">Choose a founder/trust idea from the full plan</t>
        </is>
      </c>
      <c r="G69" s="48" t="inlineStr">
        <is>
          <t xml:space="preserve">Talking Head</t>
        </is>
      </c>
      <c r="H69" s="48" t="inlineStr">
        <is>
          <t xml:space="preserve">Follow / Save</t>
        </is>
      </c>
      <c r="I69" s="31" t="inlineStr">
        <is>
          <t xml:space="preserve">Idea</t>
        </is>
      </c>
      <c r="J69" s="31" t="n"/>
      <c r="K69" s="43" t="n"/>
      <c r="L69" s="43" t="n"/>
      <c r="M69" s="43" t="n"/>
      <c r="N69" s="31" t="n"/>
    </row>
    <row r="70">
      <c r="A70" s="50" t="inlineStr">
        <is>
          <t xml:space="preserve">C066</t>
        </is>
      </c>
      <c r="B70" s="50" t="n">
        <v>17</v>
      </c>
      <c r="C70" s="51" t="n">
        <v>46365</v>
      </c>
      <c r="D70" s="50" t="inlineStr">
        <is>
          <t xml:space="preserve">Product Demo</t>
        </is>
      </c>
      <c r="E70" s="50" t="inlineStr">
        <is>
          <t xml:space="preserve">TikTok + Instagram</t>
        </is>
      </c>
      <c r="F70" s="31" t="inlineStr">
        <is>
          <t xml:space="preserve">Choose a product-demo idea from the full plan</t>
        </is>
      </c>
      <c r="G70" s="50" t="inlineStr">
        <is>
          <t xml:space="preserve">Screen Recording</t>
        </is>
      </c>
      <c r="H70" s="50" t="inlineStr">
        <is>
          <t xml:space="preserve">Download Msafiri</t>
        </is>
      </c>
      <c r="I70" s="31" t="inlineStr">
        <is>
          <t xml:space="preserve">Idea</t>
        </is>
      </c>
      <c r="J70" s="31" t="n"/>
      <c r="K70" s="43" t="n"/>
      <c r="L70" s="43" t="n"/>
      <c r="M70" s="43" t="n"/>
      <c r="N70" s="31" t="n"/>
    </row>
    <row r="71">
      <c r="A71" s="48" t="inlineStr">
        <is>
          <t xml:space="preserve">C067</t>
        </is>
      </c>
      <c r="B71" s="48" t="n">
        <v>17</v>
      </c>
      <c r="C71" s="49" t="n">
        <v>46367</v>
      </c>
      <c r="D71" s="48" t="inlineStr">
        <is>
          <t xml:space="preserve">Road Safety / Field</t>
        </is>
      </c>
      <c r="E71" s="48" t="inlineStr">
        <is>
          <t xml:space="preserve">TikTok + Instagram</t>
        </is>
      </c>
      <c r="F71" s="31" t="inlineStr">
        <is>
          <t xml:space="preserve">Choose a field/road-safety idea from the full plan</t>
        </is>
      </c>
      <c r="G71" s="48" t="inlineStr">
        <is>
          <t xml:space="preserve">Field Clip</t>
        </is>
      </c>
      <c r="H71" s="48" t="inlineStr">
        <is>
          <t xml:space="preserve">Share with a driver</t>
        </is>
      </c>
      <c r="I71" s="31" t="inlineStr">
        <is>
          <t xml:space="preserve">Idea</t>
        </is>
      </c>
      <c r="J71" s="31" t="n"/>
      <c r="K71" s="43" t="n"/>
      <c r="L71" s="43" t="n"/>
      <c r="M71" s="43" t="n"/>
      <c r="N71" s="31" t="n"/>
    </row>
    <row r="72">
      <c r="A72" s="50" t="inlineStr">
        <is>
          <t xml:space="preserve">C068</t>
        </is>
      </c>
      <c r="B72" s="50" t="n">
        <v>17</v>
      </c>
      <c r="C72" s="51" t="n">
        <v>46369</v>
      </c>
      <c r="D72" s="50" t="inlineStr">
        <is>
          <t xml:space="preserve">Community / Conversion</t>
        </is>
      </c>
      <c r="E72" s="50" t="inlineStr">
        <is>
          <t xml:space="preserve">TikTok + Instagram</t>
        </is>
      </c>
      <c r="F72" s="31" t="inlineStr">
        <is>
          <t xml:space="preserve">Choose a community/conversion idea from the full plan</t>
        </is>
      </c>
      <c r="G72" s="50" t="inlineStr">
        <is>
          <t xml:space="preserve">Q&amp;A / Offer</t>
        </is>
      </c>
      <c r="H72" s="50" t="inlineStr">
        <is>
          <t xml:space="preserve">Try the app / Comment</t>
        </is>
      </c>
      <c r="I72" s="31" t="inlineStr">
        <is>
          <t xml:space="preserve">Idea</t>
        </is>
      </c>
      <c r="J72" s="31" t="n"/>
      <c r="K72" s="43" t="n"/>
      <c r="L72" s="43" t="n"/>
      <c r="M72" s="43" t="n"/>
      <c r="N72" s="31" t="n"/>
    </row>
    <row r="73">
      <c r="A73" s="48" t="inlineStr">
        <is>
          <t xml:space="preserve">C069</t>
        </is>
      </c>
      <c r="B73" s="48" t="n">
        <v>18</v>
      </c>
      <c r="C73" s="49" t="n">
        <v>46370</v>
      </c>
      <c r="D73" s="48" t="inlineStr">
        <is>
          <t xml:space="preserve">Founder / Trust</t>
        </is>
      </c>
      <c r="E73" s="48" t="inlineStr">
        <is>
          <t xml:space="preserve">TikTok + Instagram</t>
        </is>
      </c>
      <c r="F73" s="31" t="inlineStr">
        <is>
          <t xml:space="preserve">Choose a founder/trust idea from the full plan</t>
        </is>
      </c>
      <c r="G73" s="48" t="inlineStr">
        <is>
          <t xml:space="preserve">Talking Head</t>
        </is>
      </c>
      <c r="H73" s="48" t="inlineStr">
        <is>
          <t xml:space="preserve">Follow / Save</t>
        </is>
      </c>
      <c r="I73" s="31" t="inlineStr">
        <is>
          <t xml:space="preserve">Idea</t>
        </is>
      </c>
      <c r="J73" s="31" t="n"/>
      <c r="K73" s="43" t="n"/>
      <c r="L73" s="43" t="n"/>
      <c r="M73" s="43" t="n"/>
      <c r="N73" s="31" t="n"/>
    </row>
    <row r="74">
      <c r="A74" s="50" t="inlineStr">
        <is>
          <t xml:space="preserve">C070</t>
        </is>
      </c>
      <c r="B74" s="50" t="n">
        <v>18</v>
      </c>
      <c r="C74" s="51" t="n">
        <v>46372</v>
      </c>
      <c r="D74" s="50" t="inlineStr">
        <is>
          <t xml:space="preserve">Product Demo</t>
        </is>
      </c>
      <c r="E74" s="50" t="inlineStr">
        <is>
          <t xml:space="preserve">TikTok + Instagram</t>
        </is>
      </c>
      <c r="F74" s="31" t="inlineStr">
        <is>
          <t xml:space="preserve">Choose a product-demo idea from the full plan</t>
        </is>
      </c>
      <c r="G74" s="50" t="inlineStr">
        <is>
          <t xml:space="preserve">Screen Recording</t>
        </is>
      </c>
      <c r="H74" s="50" t="inlineStr">
        <is>
          <t xml:space="preserve">Download Msafiri</t>
        </is>
      </c>
      <c r="I74" s="31" t="inlineStr">
        <is>
          <t xml:space="preserve">Idea</t>
        </is>
      </c>
      <c r="J74" s="31" t="n"/>
      <c r="K74" s="43" t="n"/>
      <c r="L74" s="43" t="n"/>
      <c r="M74" s="43" t="n"/>
      <c r="N74" s="31" t="n"/>
    </row>
    <row r="75">
      <c r="A75" s="48" t="inlineStr">
        <is>
          <t xml:space="preserve">C071</t>
        </is>
      </c>
      <c r="B75" s="48" t="n">
        <v>18</v>
      </c>
      <c r="C75" s="49" t="n">
        <v>46374</v>
      </c>
      <c r="D75" s="48" t="inlineStr">
        <is>
          <t xml:space="preserve">Road Safety / Field</t>
        </is>
      </c>
      <c r="E75" s="48" t="inlineStr">
        <is>
          <t xml:space="preserve">TikTok + Instagram</t>
        </is>
      </c>
      <c r="F75" s="31" t="inlineStr">
        <is>
          <t xml:space="preserve">Choose a field/road-safety idea from the full plan</t>
        </is>
      </c>
      <c r="G75" s="48" t="inlineStr">
        <is>
          <t xml:space="preserve">Field Clip</t>
        </is>
      </c>
      <c r="H75" s="48" t="inlineStr">
        <is>
          <t xml:space="preserve">Share with a driver</t>
        </is>
      </c>
      <c r="I75" s="31" t="inlineStr">
        <is>
          <t xml:space="preserve">Idea</t>
        </is>
      </c>
      <c r="J75" s="31" t="n"/>
      <c r="K75" s="43" t="n"/>
      <c r="L75" s="43" t="n"/>
      <c r="M75" s="43" t="n"/>
      <c r="N75" s="31" t="n"/>
    </row>
    <row r="76">
      <c r="A76" s="50" t="inlineStr">
        <is>
          <t xml:space="preserve">C072</t>
        </is>
      </c>
      <c r="B76" s="50" t="n">
        <v>18</v>
      </c>
      <c r="C76" s="51" t="n">
        <v>46376</v>
      </c>
      <c r="D76" s="50" t="inlineStr">
        <is>
          <t xml:space="preserve">Community / Conversion</t>
        </is>
      </c>
      <c r="E76" s="50" t="inlineStr">
        <is>
          <t xml:space="preserve">TikTok + Instagram</t>
        </is>
      </c>
      <c r="F76" s="31" t="inlineStr">
        <is>
          <t xml:space="preserve">Choose a community/conversion idea from the full plan</t>
        </is>
      </c>
      <c r="G76" s="50" t="inlineStr">
        <is>
          <t xml:space="preserve">Q&amp;A / Offer</t>
        </is>
      </c>
      <c r="H76" s="50" t="inlineStr">
        <is>
          <t xml:space="preserve">Try the app / Comment</t>
        </is>
      </c>
      <c r="I76" s="31" t="inlineStr">
        <is>
          <t xml:space="preserve">Idea</t>
        </is>
      </c>
      <c r="J76" s="31" t="n"/>
      <c r="K76" s="43" t="n"/>
      <c r="L76" s="43" t="n"/>
      <c r="M76" s="43" t="n"/>
      <c r="N76" s="31" t="n"/>
    </row>
    <row r="77">
      <c r="A77" s="48" t="inlineStr">
        <is>
          <t xml:space="preserve">C073</t>
        </is>
      </c>
      <c r="B77" s="48" t="n">
        <v>19</v>
      </c>
      <c r="C77" s="49" t="n">
        <v>46377</v>
      </c>
      <c r="D77" s="48" t="inlineStr">
        <is>
          <t xml:space="preserve">Founder / Trust</t>
        </is>
      </c>
      <c r="E77" s="48" t="inlineStr">
        <is>
          <t xml:space="preserve">TikTok + Instagram</t>
        </is>
      </c>
      <c r="F77" s="31" t="inlineStr">
        <is>
          <t xml:space="preserve">Choose a founder/trust idea from the full plan</t>
        </is>
      </c>
      <c r="G77" s="48" t="inlineStr">
        <is>
          <t xml:space="preserve">Talking Head</t>
        </is>
      </c>
      <c r="H77" s="48" t="inlineStr">
        <is>
          <t xml:space="preserve">Follow / Save</t>
        </is>
      </c>
      <c r="I77" s="31" t="inlineStr">
        <is>
          <t xml:space="preserve">Idea</t>
        </is>
      </c>
      <c r="J77" s="31" t="n"/>
      <c r="K77" s="43" t="n"/>
      <c r="L77" s="43" t="n"/>
      <c r="M77" s="43" t="n"/>
      <c r="N77" s="31" t="n"/>
    </row>
    <row r="78">
      <c r="A78" s="50" t="inlineStr">
        <is>
          <t xml:space="preserve">C074</t>
        </is>
      </c>
      <c r="B78" s="50" t="n">
        <v>19</v>
      </c>
      <c r="C78" s="51" t="n">
        <v>46379</v>
      </c>
      <c r="D78" s="50" t="inlineStr">
        <is>
          <t xml:space="preserve">Product Demo</t>
        </is>
      </c>
      <c r="E78" s="50" t="inlineStr">
        <is>
          <t xml:space="preserve">TikTok + Instagram</t>
        </is>
      </c>
      <c r="F78" s="31" t="inlineStr">
        <is>
          <t xml:space="preserve">Choose a product-demo idea from the full plan</t>
        </is>
      </c>
      <c r="G78" s="50" t="inlineStr">
        <is>
          <t xml:space="preserve">Screen Recording</t>
        </is>
      </c>
      <c r="H78" s="50" t="inlineStr">
        <is>
          <t xml:space="preserve">Download Msafiri</t>
        </is>
      </c>
      <c r="I78" s="31" t="inlineStr">
        <is>
          <t xml:space="preserve">Idea</t>
        </is>
      </c>
      <c r="J78" s="31" t="n"/>
      <c r="K78" s="43" t="n"/>
      <c r="L78" s="43" t="n"/>
      <c r="M78" s="43" t="n"/>
      <c r="N78" s="31" t="n"/>
    </row>
    <row r="79">
      <c r="A79" s="48" t="inlineStr">
        <is>
          <t xml:space="preserve">C075</t>
        </is>
      </c>
      <c r="B79" s="48" t="n">
        <v>19</v>
      </c>
      <c r="C79" s="49" t="n">
        <v>46381</v>
      </c>
      <c r="D79" s="48" t="inlineStr">
        <is>
          <t xml:space="preserve">Road Safety / Field</t>
        </is>
      </c>
      <c r="E79" s="48" t="inlineStr">
        <is>
          <t xml:space="preserve">TikTok + Instagram</t>
        </is>
      </c>
      <c r="F79" s="31" t="inlineStr">
        <is>
          <t xml:space="preserve">Choose a field/road-safety idea from the full plan</t>
        </is>
      </c>
      <c r="G79" s="48" t="inlineStr">
        <is>
          <t xml:space="preserve">Field Clip</t>
        </is>
      </c>
      <c r="H79" s="48" t="inlineStr">
        <is>
          <t xml:space="preserve">Share with a driver</t>
        </is>
      </c>
      <c r="I79" s="31" t="inlineStr">
        <is>
          <t xml:space="preserve">Idea</t>
        </is>
      </c>
      <c r="J79" s="31" t="n"/>
      <c r="K79" s="43" t="n"/>
      <c r="L79" s="43" t="n"/>
      <c r="M79" s="43" t="n"/>
      <c r="N79" s="31" t="n"/>
    </row>
    <row r="80">
      <c r="A80" s="50" t="inlineStr">
        <is>
          <t xml:space="preserve">C076</t>
        </is>
      </c>
      <c r="B80" s="50" t="n">
        <v>19</v>
      </c>
      <c r="C80" s="51" t="n">
        <v>46383</v>
      </c>
      <c r="D80" s="50" t="inlineStr">
        <is>
          <t xml:space="preserve">Community / Conversion</t>
        </is>
      </c>
      <c r="E80" s="50" t="inlineStr">
        <is>
          <t xml:space="preserve">TikTok + Instagram</t>
        </is>
      </c>
      <c r="F80" s="31" t="inlineStr">
        <is>
          <t xml:space="preserve">Choose a community/conversion idea from the full plan</t>
        </is>
      </c>
      <c r="G80" s="50" t="inlineStr">
        <is>
          <t xml:space="preserve">Q&amp;A / Offer</t>
        </is>
      </c>
      <c r="H80" s="50" t="inlineStr">
        <is>
          <t xml:space="preserve">Try the app / Comment</t>
        </is>
      </c>
      <c r="I80" s="31" t="inlineStr">
        <is>
          <t xml:space="preserve">Idea</t>
        </is>
      </c>
      <c r="J80" s="31" t="n"/>
      <c r="K80" s="43" t="n"/>
      <c r="L80" s="43" t="n"/>
      <c r="M80" s="43" t="n"/>
      <c r="N80" s="31" t="n"/>
    </row>
    <row r="81">
      <c r="A81" s="48" t="inlineStr">
        <is>
          <t xml:space="preserve">C077</t>
        </is>
      </c>
      <c r="B81" s="48" t="n">
        <v>20</v>
      </c>
      <c r="C81" s="49" t="n">
        <v>46384</v>
      </c>
      <c r="D81" s="48" t="inlineStr">
        <is>
          <t xml:space="preserve">Founder / Trust</t>
        </is>
      </c>
      <c r="E81" s="48" t="inlineStr">
        <is>
          <t xml:space="preserve">TikTok + Instagram</t>
        </is>
      </c>
      <c r="F81" s="31" t="inlineStr">
        <is>
          <t xml:space="preserve">Choose a founder/trust idea from the full plan</t>
        </is>
      </c>
      <c r="G81" s="48" t="inlineStr">
        <is>
          <t xml:space="preserve">Talking Head</t>
        </is>
      </c>
      <c r="H81" s="48" t="inlineStr">
        <is>
          <t xml:space="preserve">Follow / Save</t>
        </is>
      </c>
      <c r="I81" s="31" t="inlineStr">
        <is>
          <t xml:space="preserve">Idea</t>
        </is>
      </c>
      <c r="J81" s="31" t="n"/>
      <c r="K81" s="43" t="n"/>
      <c r="L81" s="43" t="n"/>
      <c r="M81" s="43" t="n"/>
      <c r="N81" s="31" t="n"/>
    </row>
    <row r="82">
      <c r="A82" s="50" t="inlineStr">
        <is>
          <t xml:space="preserve">C078</t>
        </is>
      </c>
      <c r="B82" s="50" t="n">
        <v>20</v>
      </c>
      <c r="C82" s="51" t="n">
        <v>46386</v>
      </c>
      <c r="D82" s="50" t="inlineStr">
        <is>
          <t xml:space="preserve">Product Demo</t>
        </is>
      </c>
      <c r="E82" s="50" t="inlineStr">
        <is>
          <t xml:space="preserve">TikTok + Instagram</t>
        </is>
      </c>
      <c r="F82" s="31" t="inlineStr">
        <is>
          <t xml:space="preserve">Choose a product-demo idea from the full plan</t>
        </is>
      </c>
      <c r="G82" s="50" t="inlineStr">
        <is>
          <t xml:space="preserve">Screen Recording</t>
        </is>
      </c>
      <c r="H82" s="50" t="inlineStr">
        <is>
          <t xml:space="preserve">Download Msafiri</t>
        </is>
      </c>
      <c r="I82" s="31" t="inlineStr">
        <is>
          <t xml:space="preserve">Idea</t>
        </is>
      </c>
      <c r="J82" s="31" t="n"/>
      <c r="K82" s="43" t="n"/>
      <c r="L82" s="43" t="n"/>
      <c r="M82" s="43" t="n"/>
      <c r="N82" s="31" t="n"/>
    </row>
    <row r="83">
      <c r="A83" s="48" t="inlineStr">
        <is>
          <t xml:space="preserve">C079</t>
        </is>
      </c>
      <c r="B83" s="48" t="n">
        <v>20</v>
      </c>
      <c r="C83" s="49" t="n">
        <v>46388</v>
      </c>
      <c r="D83" s="48" t="inlineStr">
        <is>
          <t xml:space="preserve">Road Safety / Field</t>
        </is>
      </c>
      <c r="E83" s="48" t="inlineStr">
        <is>
          <t xml:space="preserve">TikTok + Instagram</t>
        </is>
      </c>
      <c r="F83" s="31" t="inlineStr">
        <is>
          <t xml:space="preserve">Choose a field/road-safety idea from the full plan</t>
        </is>
      </c>
      <c r="G83" s="48" t="inlineStr">
        <is>
          <t xml:space="preserve">Field Clip</t>
        </is>
      </c>
      <c r="H83" s="48" t="inlineStr">
        <is>
          <t xml:space="preserve">Share with a driver</t>
        </is>
      </c>
      <c r="I83" s="31" t="inlineStr">
        <is>
          <t xml:space="preserve">Idea</t>
        </is>
      </c>
      <c r="J83" s="31" t="n"/>
      <c r="K83" s="43" t="n"/>
      <c r="L83" s="43" t="n"/>
      <c r="M83" s="43" t="n"/>
      <c r="N83" s="31" t="n"/>
    </row>
    <row r="84">
      <c r="A84" s="50" t="inlineStr">
        <is>
          <t xml:space="preserve">C080</t>
        </is>
      </c>
      <c r="B84" s="50" t="n">
        <v>20</v>
      </c>
      <c r="C84" s="51" t="n">
        <v>46390</v>
      </c>
      <c r="D84" s="50" t="inlineStr">
        <is>
          <t xml:space="preserve">Community / Conversion</t>
        </is>
      </c>
      <c r="E84" s="50" t="inlineStr">
        <is>
          <t xml:space="preserve">TikTok + Instagram</t>
        </is>
      </c>
      <c r="F84" s="31" t="inlineStr">
        <is>
          <t xml:space="preserve">Choose a community/conversion idea from the full plan</t>
        </is>
      </c>
      <c r="G84" s="50" t="inlineStr">
        <is>
          <t xml:space="preserve">Q&amp;A / Offer</t>
        </is>
      </c>
      <c r="H84" s="50" t="inlineStr">
        <is>
          <t xml:space="preserve">Try the app / Comment</t>
        </is>
      </c>
      <c r="I84" s="31" t="inlineStr">
        <is>
          <t xml:space="preserve">Idea</t>
        </is>
      </c>
      <c r="J84" s="31" t="n"/>
      <c r="K84" s="43" t="n"/>
      <c r="L84" s="43" t="n"/>
      <c r="M84" s="43" t="n"/>
      <c r="N84" s="31" t="n"/>
    </row>
    <row r="85">
      <c r="A85" s="48" t="inlineStr">
        <is>
          <t xml:space="preserve">C081</t>
        </is>
      </c>
      <c r="B85" s="48" t="n">
        <v>21</v>
      </c>
      <c r="C85" s="49" t="n">
        <v>46391</v>
      </c>
      <c r="D85" s="48" t="inlineStr">
        <is>
          <t xml:space="preserve">Founder / Trust</t>
        </is>
      </c>
      <c r="E85" s="48" t="inlineStr">
        <is>
          <t xml:space="preserve">TikTok + Instagram</t>
        </is>
      </c>
      <c r="F85" s="31" t="inlineStr">
        <is>
          <t xml:space="preserve">Choose a founder/trust idea from the full plan</t>
        </is>
      </c>
      <c r="G85" s="48" t="inlineStr">
        <is>
          <t xml:space="preserve">Talking Head</t>
        </is>
      </c>
      <c r="H85" s="48" t="inlineStr">
        <is>
          <t xml:space="preserve">Follow / Save</t>
        </is>
      </c>
      <c r="I85" s="31" t="inlineStr">
        <is>
          <t xml:space="preserve">Idea</t>
        </is>
      </c>
      <c r="J85" s="31" t="n"/>
      <c r="K85" s="43" t="n"/>
      <c r="L85" s="43" t="n"/>
      <c r="M85" s="43" t="n"/>
      <c r="N85" s="31" t="n"/>
    </row>
    <row r="86">
      <c r="A86" s="50" t="inlineStr">
        <is>
          <t xml:space="preserve">C082</t>
        </is>
      </c>
      <c r="B86" s="50" t="n">
        <v>21</v>
      </c>
      <c r="C86" s="51" t="n">
        <v>46393</v>
      </c>
      <c r="D86" s="50" t="inlineStr">
        <is>
          <t xml:space="preserve">Product Demo</t>
        </is>
      </c>
      <c r="E86" s="50" t="inlineStr">
        <is>
          <t xml:space="preserve">TikTok + Instagram</t>
        </is>
      </c>
      <c r="F86" s="31" t="inlineStr">
        <is>
          <t xml:space="preserve">Choose a product-demo idea from the full plan</t>
        </is>
      </c>
      <c r="G86" s="50" t="inlineStr">
        <is>
          <t xml:space="preserve">Screen Recording</t>
        </is>
      </c>
      <c r="H86" s="50" t="inlineStr">
        <is>
          <t xml:space="preserve">Download Msafiri</t>
        </is>
      </c>
      <c r="I86" s="31" t="inlineStr">
        <is>
          <t xml:space="preserve">Idea</t>
        </is>
      </c>
      <c r="J86" s="31" t="n"/>
      <c r="K86" s="43" t="n"/>
      <c r="L86" s="43" t="n"/>
      <c r="M86" s="43" t="n"/>
      <c r="N86" s="31" t="n"/>
    </row>
    <row r="87">
      <c r="A87" s="48" t="inlineStr">
        <is>
          <t xml:space="preserve">C083</t>
        </is>
      </c>
      <c r="B87" s="48" t="n">
        <v>21</v>
      </c>
      <c r="C87" s="49" t="n">
        <v>46395</v>
      </c>
      <c r="D87" s="48" t="inlineStr">
        <is>
          <t xml:space="preserve">Road Safety / Field</t>
        </is>
      </c>
      <c r="E87" s="48" t="inlineStr">
        <is>
          <t xml:space="preserve">TikTok + Instagram</t>
        </is>
      </c>
      <c r="F87" s="31" t="inlineStr">
        <is>
          <t xml:space="preserve">Choose a field/road-safety idea from the full plan</t>
        </is>
      </c>
      <c r="G87" s="48" t="inlineStr">
        <is>
          <t xml:space="preserve">Field Clip</t>
        </is>
      </c>
      <c r="H87" s="48" t="inlineStr">
        <is>
          <t xml:space="preserve">Share with a driver</t>
        </is>
      </c>
      <c r="I87" s="31" t="inlineStr">
        <is>
          <t xml:space="preserve">Idea</t>
        </is>
      </c>
      <c r="J87" s="31" t="n"/>
      <c r="K87" s="43" t="n"/>
      <c r="L87" s="43" t="n"/>
      <c r="M87" s="43" t="n"/>
      <c r="N87" s="31" t="n"/>
    </row>
    <row r="88">
      <c r="A88" s="50" t="inlineStr">
        <is>
          <t xml:space="preserve">C084</t>
        </is>
      </c>
      <c r="B88" s="50" t="n">
        <v>21</v>
      </c>
      <c r="C88" s="51" t="n">
        <v>46397</v>
      </c>
      <c r="D88" s="50" t="inlineStr">
        <is>
          <t xml:space="preserve">Community / Conversion</t>
        </is>
      </c>
      <c r="E88" s="50" t="inlineStr">
        <is>
          <t xml:space="preserve">TikTok + Instagram</t>
        </is>
      </c>
      <c r="F88" s="31" t="inlineStr">
        <is>
          <t xml:space="preserve">Choose a community/conversion idea from the full plan</t>
        </is>
      </c>
      <c r="G88" s="50" t="inlineStr">
        <is>
          <t xml:space="preserve">Q&amp;A / Offer</t>
        </is>
      </c>
      <c r="H88" s="50" t="inlineStr">
        <is>
          <t xml:space="preserve">Try the app / Comment</t>
        </is>
      </c>
      <c r="I88" s="31" t="inlineStr">
        <is>
          <t xml:space="preserve">Idea</t>
        </is>
      </c>
      <c r="J88" s="31" t="n"/>
      <c r="K88" s="43" t="n"/>
      <c r="L88" s="43" t="n"/>
      <c r="M88" s="43" t="n"/>
      <c r="N88" s="31" t="n"/>
    </row>
    <row r="89">
      <c r="A89" s="48" t="inlineStr">
        <is>
          <t xml:space="preserve">C085</t>
        </is>
      </c>
      <c r="B89" s="48" t="n">
        <v>22</v>
      </c>
      <c r="C89" s="49" t="n">
        <v>46398</v>
      </c>
      <c r="D89" s="48" t="inlineStr">
        <is>
          <t xml:space="preserve">Founder / Trust</t>
        </is>
      </c>
      <c r="E89" s="48" t="inlineStr">
        <is>
          <t xml:space="preserve">TikTok + Instagram</t>
        </is>
      </c>
      <c r="F89" s="31" t="inlineStr">
        <is>
          <t xml:space="preserve">Choose a founder/trust idea from the full plan</t>
        </is>
      </c>
      <c r="G89" s="48" t="inlineStr">
        <is>
          <t xml:space="preserve">Talking Head</t>
        </is>
      </c>
      <c r="H89" s="48" t="inlineStr">
        <is>
          <t xml:space="preserve">Follow / Save</t>
        </is>
      </c>
      <c r="I89" s="31" t="inlineStr">
        <is>
          <t xml:space="preserve">Idea</t>
        </is>
      </c>
      <c r="J89" s="31" t="n"/>
      <c r="K89" s="43" t="n"/>
      <c r="L89" s="43" t="n"/>
      <c r="M89" s="43" t="n"/>
      <c r="N89" s="31" t="n"/>
    </row>
    <row r="90">
      <c r="A90" s="50" t="inlineStr">
        <is>
          <t xml:space="preserve">C086</t>
        </is>
      </c>
      <c r="B90" s="50" t="n">
        <v>22</v>
      </c>
      <c r="C90" s="51" t="n">
        <v>46400</v>
      </c>
      <c r="D90" s="50" t="inlineStr">
        <is>
          <t xml:space="preserve">Product Demo</t>
        </is>
      </c>
      <c r="E90" s="50" t="inlineStr">
        <is>
          <t xml:space="preserve">TikTok + Instagram</t>
        </is>
      </c>
      <c r="F90" s="31" t="inlineStr">
        <is>
          <t xml:space="preserve">Choose a product-demo idea from the full plan</t>
        </is>
      </c>
      <c r="G90" s="50" t="inlineStr">
        <is>
          <t xml:space="preserve">Screen Recording</t>
        </is>
      </c>
      <c r="H90" s="50" t="inlineStr">
        <is>
          <t xml:space="preserve">Download Msafiri</t>
        </is>
      </c>
      <c r="I90" s="31" t="inlineStr">
        <is>
          <t xml:space="preserve">Idea</t>
        </is>
      </c>
      <c r="J90" s="31" t="n"/>
      <c r="K90" s="43" t="n"/>
      <c r="L90" s="43" t="n"/>
      <c r="M90" s="43" t="n"/>
      <c r="N90" s="31" t="n"/>
    </row>
    <row r="91">
      <c r="A91" s="48" t="inlineStr">
        <is>
          <t xml:space="preserve">C087</t>
        </is>
      </c>
      <c r="B91" s="48" t="n">
        <v>22</v>
      </c>
      <c r="C91" s="49" t="n">
        <v>46402</v>
      </c>
      <c r="D91" s="48" t="inlineStr">
        <is>
          <t xml:space="preserve">Road Safety / Field</t>
        </is>
      </c>
      <c r="E91" s="48" t="inlineStr">
        <is>
          <t xml:space="preserve">TikTok + Instagram</t>
        </is>
      </c>
      <c r="F91" s="31" t="inlineStr">
        <is>
          <t xml:space="preserve">Choose a field/road-safety idea from the full plan</t>
        </is>
      </c>
      <c r="G91" s="48" t="inlineStr">
        <is>
          <t xml:space="preserve">Field Clip</t>
        </is>
      </c>
      <c r="H91" s="48" t="inlineStr">
        <is>
          <t xml:space="preserve">Share with a driver</t>
        </is>
      </c>
      <c r="I91" s="31" t="inlineStr">
        <is>
          <t xml:space="preserve">Idea</t>
        </is>
      </c>
      <c r="J91" s="31" t="n"/>
      <c r="K91" s="43" t="n"/>
      <c r="L91" s="43" t="n"/>
      <c r="M91" s="43" t="n"/>
      <c r="N91" s="31" t="n"/>
    </row>
    <row r="92">
      <c r="A92" s="50" t="inlineStr">
        <is>
          <t xml:space="preserve">C088</t>
        </is>
      </c>
      <c r="B92" s="50" t="n">
        <v>22</v>
      </c>
      <c r="C92" s="51" t="n">
        <v>46404</v>
      </c>
      <c r="D92" s="50" t="inlineStr">
        <is>
          <t xml:space="preserve">Community / Conversion</t>
        </is>
      </c>
      <c r="E92" s="50" t="inlineStr">
        <is>
          <t xml:space="preserve">TikTok + Instagram</t>
        </is>
      </c>
      <c r="F92" s="31" t="inlineStr">
        <is>
          <t xml:space="preserve">Choose a community/conversion idea from the full plan</t>
        </is>
      </c>
      <c r="G92" s="50" t="inlineStr">
        <is>
          <t xml:space="preserve">Q&amp;A / Offer</t>
        </is>
      </c>
      <c r="H92" s="50" t="inlineStr">
        <is>
          <t xml:space="preserve">Try the app / Comment</t>
        </is>
      </c>
      <c r="I92" s="31" t="inlineStr">
        <is>
          <t xml:space="preserve">Idea</t>
        </is>
      </c>
      <c r="J92" s="31" t="n"/>
      <c r="K92" s="43" t="n"/>
      <c r="L92" s="43" t="n"/>
      <c r="M92" s="43" t="n"/>
      <c r="N92" s="31" t="n"/>
    </row>
    <row r="93">
      <c r="A93" s="48" t="inlineStr">
        <is>
          <t xml:space="preserve">C089</t>
        </is>
      </c>
      <c r="B93" s="48" t="n">
        <v>23</v>
      </c>
      <c r="C93" s="49" t="n">
        <v>46405</v>
      </c>
      <c r="D93" s="48" t="inlineStr">
        <is>
          <t xml:space="preserve">Founder / Trust</t>
        </is>
      </c>
      <c r="E93" s="48" t="inlineStr">
        <is>
          <t xml:space="preserve">TikTok + Instagram</t>
        </is>
      </c>
      <c r="F93" s="31" t="inlineStr">
        <is>
          <t xml:space="preserve">Choose a founder/trust idea from the full plan</t>
        </is>
      </c>
      <c r="G93" s="48" t="inlineStr">
        <is>
          <t xml:space="preserve">Talking Head</t>
        </is>
      </c>
      <c r="H93" s="48" t="inlineStr">
        <is>
          <t xml:space="preserve">Follow / Save</t>
        </is>
      </c>
      <c r="I93" s="31" t="inlineStr">
        <is>
          <t xml:space="preserve">Idea</t>
        </is>
      </c>
      <c r="J93" s="31" t="n"/>
      <c r="K93" s="43" t="n"/>
      <c r="L93" s="43" t="n"/>
      <c r="M93" s="43" t="n"/>
      <c r="N93" s="31" t="n"/>
    </row>
    <row r="94">
      <c r="A94" s="50" t="inlineStr">
        <is>
          <t xml:space="preserve">C090</t>
        </is>
      </c>
      <c r="B94" s="50" t="n">
        <v>23</v>
      </c>
      <c r="C94" s="51" t="n">
        <v>46407</v>
      </c>
      <c r="D94" s="50" t="inlineStr">
        <is>
          <t xml:space="preserve">Product Demo</t>
        </is>
      </c>
      <c r="E94" s="50" t="inlineStr">
        <is>
          <t xml:space="preserve">TikTok + Instagram</t>
        </is>
      </c>
      <c r="F94" s="31" t="inlineStr">
        <is>
          <t xml:space="preserve">Choose a product-demo idea from the full plan</t>
        </is>
      </c>
      <c r="G94" s="50" t="inlineStr">
        <is>
          <t xml:space="preserve">Screen Recording</t>
        </is>
      </c>
      <c r="H94" s="50" t="inlineStr">
        <is>
          <t xml:space="preserve">Download Msafiri</t>
        </is>
      </c>
      <c r="I94" s="31" t="inlineStr">
        <is>
          <t xml:space="preserve">Idea</t>
        </is>
      </c>
      <c r="J94" s="31" t="n"/>
      <c r="K94" s="43" t="n"/>
      <c r="L94" s="43" t="n"/>
      <c r="M94" s="43" t="n"/>
      <c r="N94" s="31" t="n"/>
    </row>
    <row r="95">
      <c r="A95" s="48" t="inlineStr">
        <is>
          <t xml:space="preserve">C091</t>
        </is>
      </c>
      <c r="B95" s="48" t="n">
        <v>23</v>
      </c>
      <c r="C95" s="49" t="n">
        <v>46409</v>
      </c>
      <c r="D95" s="48" t="inlineStr">
        <is>
          <t xml:space="preserve">Road Safety / Field</t>
        </is>
      </c>
      <c r="E95" s="48" t="inlineStr">
        <is>
          <t xml:space="preserve">TikTok + Instagram</t>
        </is>
      </c>
      <c r="F95" s="31" t="inlineStr">
        <is>
          <t xml:space="preserve">Choose a field/road-safety idea from the full plan</t>
        </is>
      </c>
      <c r="G95" s="48" t="inlineStr">
        <is>
          <t xml:space="preserve">Field Clip</t>
        </is>
      </c>
      <c r="H95" s="48" t="inlineStr">
        <is>
          <t xml:space="preserve">Share with a driver</t>
        </is>
      </c>
      <c r="I95" s="31" t="inlineStr">
        <is>
          <t xml:space="preserve">Idea</t>
        </is>
      </c>
      <c r="J95" s="31" t="n"/>
      <c r="K95" s="43" t="n"/>
      <c r="L95" s="43" t="n"/>
      <c r="M95" s="43" t="n"/>
      <c r="N95" s="31" t="n"/>
    </row>
    <row r="96">
      <c r="A96" s="50" t="inlineStr">
        <is>
          <t xml:space="preserve">C092</t>
        </is>
      </c>
      <c r="B96" s="50" t="n">
        <v>23</v>
      </c>
      <c r="C96" s="51" t="n">
        <v>46411</v>
      </c>
      <c r="D96" s="50" t="inlineStr">
        <is>
          <t xml:space="preserve">Community / Conversion</t>
        </is>
      </c>
      <c r="E96" s="50" t="inlineStr">
        <is>
          <t xml:space="preserve">TikTok + Instagram</t>
        </is>
      </c>
      <c r="F96" s="31" t="inlineStr">
        <is>
          <t xml:space="preserve">Choose a community/conversion idea from the full plan</t>
        </is>
      </c>
      <c r="G96" s="50" t="inlineStr">
        <is>
          <t xml:space="preserve">Q&amp;A / Offer</t>
        </is>
      </c>
      <c r="H96" s="50" t="inlineStr">
        <is>
          <t xml:space="preserve">Try the app / Comment</t>
        </is>
      </c>
      <c r="I96" s="31" t="inlineStr">
        <is>
          <t xml:space="preserve">Idea</t>
        </is>
      </c>
      <c r="J96" s="31" t="n"/>
      <c r="K96" s="43" t="n"/>
      <c r="L96" s="43" t="n"/>
      <c r="M96" s="43" t="n"/>
      <c r="N96" s="31" t="n"/>
    </row>
    <row r="97">
      <c r="A97" s="48" t="inlineStr">
        <is>
          <t xml:space="preserve">C093</t>
        </is>
      </c>
      <c r="B97" s="48" t="n">
        <v>24</v>
      </c>
      <c r="C97" s="49" t="n">
        <v>46412</v>
      </c>
      <c r="D97" s="48" t="inlineStr">
        <is>
          <t xml:space="preserve">Founder / Trust</t>
        </is>
      </c>
      <c r="E97" s="48" t="inlineStr">
        <is>
          <t xml:space="preserve">TikTok + Instagram</t>
        </is>
      </c>
      <c r="F97" s="31" t="inlineStr">
        <is>
          <t xml:space="preserve">Choose a founder/trust idea from the full plan</t>
        </is>
      </c>
      <c r="G97" s="48" t="inlineStr">
        <is>
          <t xml:space="preserve">Talking Head</t>
        </is>
      </c>
      <c r="H97" s="48" t="inlineStr">
        <is>
          <t xml:space="preserve">Follow / Save</t>
        </is>
      </c>
      <c r="I97" s="31" t="inlineStr">
        <is>
          <t xml:space="preserve">Idea</t>
        </is>
      </c>
      <c r="J97" s="31" t="n"/>
      <c r="K97" s="43" t="n"/>
      <c r="L97" s="43" t="n"/>
      <c r="M97" s="43" t="n"/>
      <c r="N97" s="31" t="n"/>
    </row>
    <row r="98">
      <c r="A98" s="50" t="inlineStr">
        <is>
          <t xml:space="preserve">C094</t>
        </is>
      </c>
      <c r="B98" s="50" t="n">
        <v>24</v>
      </c>
      <c r="C98" s="51" t="n">
        <v>46414</v>
      </c>
      <c r="D98" s="50" t="inlineStr">
        <is>
          <t xml:space="preserve">Product Demo</t>
        </is>
      </c>
      <c r="E98" s="50" t="inlineStr">
        <is>
          <t xml:space="preserve">TikTok + Instagram</t>
        </is>
      </c>
      <c r="F98" s="31" t="inlineStr">
        <is>
          <t xml:space="preserve">Choose a product-demo idea from the full plan</t>
        </is>
      </c>
      <c r="G98" s="50" t="inlineStr">
        <is>
          <t xml:space="preserve">Screen Recording</t>
        </is>
      </c>
      <c r="H98" s="50" t="inlineStr">
        <is>
          <t xml:space="preserve">Download Msafiri</t>
        </is>
      </c>
      <c r="I98" s="31" t="inlineStr">
        <is>
          <t xml:space="preserve">Idea</t>
        </is>
      </c>
      <c r="J98" s="31" t="n"/>
      <c r="K98" s="43" t="n"/>
      <c r="L98" s="43" t="n"/>
      <c r="M98" s="43" t="n"/>
      <c r="N98" s="31" t="n"/>
    </row>
    <row r="99">
      <c r="A99" s="48" t="inlineStr">
        <is>
          <t xml:space="preserve">C095</t>
        </is>
      </c>
      <c r="B99" s="48" t="n">
        <v>24</v>
      </c>
      <c r="C99" s="49" t="n">
        <v>46416</v>
      </c>
      <c r="D99" s="48" t="inlineStr">
        <is>
          <t xml:space="preserve">Road Safety / Field</t>
        </is>
      </c>
      <c r="E99" s="48" t="inlineStr">
        <is>
          <t xml:space="preserve">TikTok + Instagram</t>
        </is>
      </c>
      <c r="F99" s="31" t="inlineStr">
        <is>
          <t xml:space="preserve">Choose a field/road-safety idea from the full plan</t>
        </is>
      </c>
      <c r="G99" s="48" t="inlineStr">
        <is>
          <t xml:space="preserve">Field Clip</t>
        </is>
      </c>
      <c r="H99" s="48" t="inlineStr">
        <is>
          <t xml:space="preserve">Share with a driver</t>
        </is>
      </c>
      <c r="I99" s="31" t="inlineStr">
        <is>
          <t xml:space="preserve">Idea</t>
        </is>
      </c>
      <c r="J99" s="31" t="n"/>
      <c r="K99" s="43" t="n"/>
      <c r="L99" s="43" t="n"/>
      <c r="M99" s="43" t="n"/>
      <c r="N99" s="31" t="n"/>
    </row>
    <row r="100">
      <c r="A100" s="50" t="inlineStr">
        <is>
          <t xml:space="preserve">C096</t>
        </is>
      </c>
      <c r="B100" s="50" t="n">
        <v>24</v>
      </c>
      <c r="C100" s="51" t="n">
        <v>46418</v>
      </c>
      <c r="D100" s="50" t="inlineStr">
        <is>
          <t xml:space="preserve">Community / Conversion</t>
        </is>
      </c>
      <c r="E100" s="50" t="inlineStr">
        <is>
          <t xml:space="preserve">TikTok + Instagram</t>
        </is>
      </c>
      <c r="F100" s="31" t="inlineStr">
        <is>
          <t xml:space="preserve">Choose a community/conversion idea from the full plan</t>
        </is>
      </c>
      <c r="G100" s="50" t="inlineStr">
        <is>
          <t xml:space="preserve">Q&amp;A / Offer</t>
        </is>
      </c>
      <c r="H100" s="50" t="inlineStr">
        <is>
          <t xml:space="preserve">Try the app / Comment</t>
        </is>
      </c>
      <c r="I100" s="31" t="inlineStr">
        <is>
          <t xml:space="preserve">Idea</t>
        </is>
      </c>
      <c r="J100" s="31" t="n"/>
      <c r="K100" s="43" t="n"/>
      <c r="L100" s="43" t="n"/>
      <c r="M100" s="43" t="n"/>
      <c r="N100" s="31" t="n"/>
    </row>
  </sheetData>
  <autoFilter ref="A4:N100"/>
  <mergeCells>
    <mergeCell ref="A2:N2"/>
    <mergeCell ref="A1:N1"/>
  </mergeCells>
  <conditionalFormatting sqref="I5:I100">
    <cfRule type="expression" dxfId="0" priority="1">
      <formula>I5="Done"</formula>
    </cfRule>
    <cfRule type="expression" dxfId="1" priority="2">
      <formula>I5="In Progress"</formula>
    </cfRule>
    <cfRule type="expression" dxfId="2" priority="3">
      <formula>I5="Blocked"</formula>
    </cfRule>
    <cfRule type="expression" dxfId="0" priority="4">
      <formula>I5="Published"</formula>
    </cfRule>
  </conditionalFormatting>
  <dataValidations count="5">
    <dataValidation type="list" allowBlank="1" showDropDown="0" showInputMessage="0" showErrorMessage="0" errorTitle="Invalid value" error="Choose a value from the dropdown." sqref="D5:D100">
      <formula1>"Founder / Trust,Product Demo,Road Safety / Field,Community / Conversion"</formula1>
    </dataValidation>
    <dataValidation type="list" allowBlank="1" showDropDown="0" showInputMessage="0" showErrorMessage="0" errorTitle="Invalid value" error="Choose a value from the dropdown." sqref="E5:E100">
      <formula1>"TikTok + Instagram,TikTok,Instagram,YouTube Shorts,Other"</formula1>
    </dataValidation>
    <dataValidation type="list" allowBlank="1" showDropDown="0" showInputMessage="0" showErrorMessage="0" errorTitle="Invalid value" error="Choose a value from the dropdown." sqref="G5:G100">
      <formula1>"Talking Head,Screen Recording,Field Clip,Carousel,Photo,Q&amp;A / Offer,Other"</formula1>
    </dataValidation>
    <dataValidation type="list" allowBlank="1" showDropDown="0" showInputMessage="0" showErrorMessage="0" errorTitle="Invalid value" error="Choose a value from the dropdown." sqref="H5:H100">
      <formula1>"Follow / Save,Download Msafiri,Share with a driver,Try the app / Comment,Join / Subscribe,Other"</formula1>
    </dataValidation>
    <dataValidation type="list" allowBlank="1" showDropDown="0" showInputMessage="0" showErrorMessage="0" errorTitle="Invalid value" error="Choose a value from the dropdown." sqref="I5:I100">
      <formula1>"Idea,Scripted,Filmed,Editing,Scheduled,Published,Skipped"</formula1>
    </dataValidation>
  </dataValidations>
  <pageMargins left="0.7" right="0.7" top="0.75" bottom="0.75" header="0.3" footer="0.3"/>
</worksheet>
</file>

<file path=xl/worksheets/sheet6.xml><?xml version="1.0" encoding="utf-8"?>
<worksheet xmlns="http://schemas.openxmlformats.org/spreadsheetml/2006/main">
  <sheetPr>
    <tabColor rgb="00EA580C"/>
  </sheetPr>
  <sheetViews>
    <sheetView showGridLines="0" zoomScale="90" workbookViewId="0">
      <pane ySplit="8" topLeftCell="A9" activePane="bottomLeft" state="frozen"/>
      <selection pane="bottomLeft" activeCell="A1" sqref="A1"/>
    </sheetView>
  </sheetViews>
  <sheetFormatPr baseColWidth="8" defaultRowHeight="15"/>
  <cols>
    <col min="1" max="1" width="10" customWidth="1"/>
    <col min="2" max="2" width="14" customWidth="1"/>
    <col min="3" max="3" width="8" customWidth="1"/>
    <col min="4" max="4" width="23" customWidth="1"/>
    <col min="5" max="5" width="30" customWidth="1"/>
    <col min="6" max="6" width="15" customWidth="1"/>
    <col min="7" max="7" width="15" customWidth="1"/>
    <col min="8" max="8" width="12" customWidth="1"/>
    <col min="9" max="9" width="19" customWidth="1"/>
    <col min="10" max="10" width="13" customWidth="1"/>
    <col min="11" max="11" width="16" customWidth="1"/>
    <col min="12" max="12" width="18" customWidth="1"/>
    <col min="13" max="13" width="16" customWidth="1"/>
    <col min="14" max="14" width="14" customWidth="1"/>
    <col min="15" max="15" width="17" customWidth="1"/>
    <col min="16" max="16" width="30" customWidth="1"/>
    <col min="17" max="17" width="42" customWidth="1"/>
  </cols>
  <sheetData>
    <row r="1" ht="30" customHeight="1">
      <c r="A1" s="1" t="inlineStr">
        <is>
          <t xml:space="preserve">FIELD &amp; FUEL</t>
        </is>
      </c>
    </row>
    <row r="2" ht="34" customHeight="1">
      <c r="A2" s="2" t="inlineStr">
        <is>
          <t xml:space="preserve">Plan every drive to produce multiple outputs. Record the real fuel payment in MONEY; this sheet calculates trip economics.</t>
        </is>
      </c>
    </row>
    <row r="4" ht="23" customHeight="1">
      <c r="A4" s="11" t="inlineStr">
        <is>
          <t xml:space="preserve">Fuel price</t>
        </is>
      </c>
      <c r="E4" s="7" t="inlineStr">
        <is>
          <t xml:space="preserve">Vehicle efficiency</t>
        </is>
      </c>
      <c r="I4" s="11" t="inlineStr">
        <is>
          <t xml:space="preserve">Fuel cost / km</t>
        </is>
      </c>
      <c r="M4" s="7" t="inlineStr">
        <is>
          <t xml:space="preserve">Suggested weekly field budget</t>
        </is>
      </c>
    </row>
    <row r="5" ht="26" customHeight="1">
      <c r="A5" s="52" t="n">
        <f>SETTINGS!$B$30</f>
        <v>214</v>
      </c>
      <c r="E5" s="53" t="n">
        <f>SETTINGS!$B$31</f>
        <v>12</v>
      </c>
      <c r="I5" s="54" t="n">
        <f>SETTINGS!$B$32</f>
        <v>17.833333333333332</v>
      </c>
      <c r="M5" s="55" t="n">
        <f>SETTINGS!$B$35</f>
        <v>2500</v>
      </c>
    </row>
    <row r="6" ht="14" customHeight="1"/>
    <row r="8" ht="36" customHeight="1">
      <c r="A8" s="56" t="inlineStr">
        <is>
          <t xml:space="preserve">Trip ID</t>
        </is>
      </c>
      <c r="B8" s="56" t="inlineStr">
        <is>
          <t xml:space="preserve">Date</t>
        </is>
      </c>
      <c r="C8" s="56" t="inlineStr">
        <is>
          <t xml:space="preserve">Week #</t>
        </is>
      </c>
      <c r="D8" s="56" t="inlineStr">
        <is>
          <t xml:space="preserve">Purpose</t>
        </is>
      </c>
      <c r="E8" s="56" t="inlineStr">
        <is>
          <t xml:space="preserve">Route / Corridor</t>
        </is>
      </c>
      <c r="F8" s="56" t="inlineStr">
        <is>
          <t xml:space="preserve">Start Odometer</t>
        </is>
      </c>
      <c r="G8" s="56" t="inlineStr">
        <is>
          <t xml:space="preserve">End Odometer</t>
        </is>
      </c>
      <c r="H8" s="56" t="inlineStr">
        <is>
          <t xml:space="preserve">Actual Km</t>
        </is>
      </c>
      <c r="I8" s="56" t="inlineStr">
        <is>
          <t xml:space="preserve">Estimated Fuel Cost</t>
        </is>
      </c>
      <c r="J8" s="56" t="inlineStr">
        <is>
          <t xml:space="preserve">Other Cost</t>
        </is>
      </c>
      <c r="K8" s="56" t="inlineStr">
        <is>
          <t xml:space="preserve">Total Trip Cost</t>
        </is>
      </c>
      <c r="L8" s="56" t="inlineStr">
        <is>
          <t xml:space="preserve">Camera / Speed Leads</t>
        </is>
      </c>
      <c r="M8" s="56" t="inlineStr">
        <is>
          <t xml:space="preserve">Verified Records</t>
        </is>
      </c>
      <c r="N8" s="56" t="inlineStr">
        <is>
          <t xml:space="preserve">Content Clips</t>
        </is>
      </c>
      <c r="O8" s="56" t="inlineStr">
        <is>
          <t xml:space="preserve">User Conversations</t>
        </is>
      </c>
      <c r="P8" s="56" t="inlineStr">
        <is>
          <t xml:space="preserve">Evidence Link</t>
        </is>
      </c>
      <c r="Q8" s="56" t="inlineStr">
        <is>
          <t xml:space="preserve">Learning / Next Action</t>
        </is>
      </c>
    </row>
    <row r="9">
      <c r="A9" s="48" t="inlineStr">
        <is>
          <t xml:space="preserve">FT001</t>
        </is>
      </c>
      <c r="B9" s="37" t="n"/>
      <c r="C9" s="6" t="str">
        <f>IF(B9="","",MAX(1,MIN(24,INT((B9-SETTINGS!$B$6)/7)+1)))</f>
      </c>
      <c r="D9" s="31" t="n"/>
      <c r="E9" s="31" t="n"/>
      <c r="F9" s="43" t="n"/>
      <c r="G9" s="43" t="n"/>
      <c r="H9" s="57" t="n">
        <f>IF(OR(F9="",G9=""),0,MAX(0,G9-F9))</f>
        <v>0</v>
      </c>
      <c r="I9" s="45" t="n">
        <f>H9*SETTINGS!$B$32</f>
        <v>0</v>
      </c>
      <c r="J9" s="39" t="n"/>
      <c r="K9" s="45" t="n">
        <f>I9+J9</f>
        <v>0</v>
      </c>
      <c r="L9" s="43" t="n"/>
      <c r="M9" s="43" t="n"/>
      <c r="N9" s="43" t="n"/>
      <c r="O9" s="43" t="n"/>
      <c r="P9" s="31" t="n"/>
      <c r="Q9" s="31" t="n"/>
    </row>
    <row r="10">
      <c r="A10" s="50" t="inlineStr">
        <is>
          <t xml:space="preserve">FT002</t>
        </is>
      </c>
      <c r="B10" s="37" t="n"/>
      <c r="C10" s="5" t="str">
        <f>IF(B10="","",MAX(1,MIN(24,INT((B10-SETTINGS!$B$6)/7)+1)))</f>
      </c>
      <c r="D10" s="31" t="n"/>
      <c r="E10" s="31" t="n"/>
      <c r="F10" s="43" t="n"/>
      <c r="G10" s="43" t="n"/>
      <c r="H10" s="57" t="n">
        <f>IF(OR(F10="",G10=""),0,MAX(0,G10-F10))</f>
        <v>0</v>
      </c>
      <c r="I10" s="45" t="n">
        <f>H10*SETTINGS!$B$32</f>
        <v>0</v>
      </c>
      <c r="J10" s="39" t="n"/>
      <c r="K10" s="45" t="n">
        <f>I10+J10</f>
        <v>0</v>
      </c>
      <c r="L10" s="43" t="n"/>
      <c r="M10" s="43" t="n"/>
      <c r="N10" s="43" t="n"/>
      <c r="O10" s="43" t="n"/>
      <c r="P10" s="31" t="n"/>
      <c r="Q10" s="31" t="n"/>
    </row>
    <row r="11">
      <c r="A11" s="48" t="inlineStr">
        <is>
          <t xml:space="preserve">FT003</t>
        </is>
      </c>
      <c r="B11" s="37" t="n"/>
      <c r="C11" s="6" t="str">
        <f>IF(B11="","",MAX(1,MIN(24,INT((B11-SETTINGS!$B$6)/7)+1)))</f>
      </c>
      <c r="D11" s="31" t="n"/>
      <c r="E11" s="31" t="n"/>
      <c r="F11" s="43" t="n"/>
      <c r="G11" s="43" t="n"/>
      <c r="H11" s="57" t="n">
        <f>IF(OR(F11="",G11=""),0,MAX(0,G11-F11))</f>
        <v>0</v>
      </c>
      <c r="I11" s="45" t="n">
        <f>H11*SETTINGS!$B$32</f>
        <v>0</v>
      </c>
      <c r="J11" s="39" t="n"/>
      <c r="K11" s="45" t="n">
        <f>I11+J11</f>
        <v>0</v>
      </c>
      <c r="L11" s="43" t="n"/>
      <c r="M11" s="43" t="n"/>
      <c r="N11" s="43" t="n"/>
      <c r="O11" s="43" t="n"/>
      <c r="P11" s="31" t="n"/>
      <c r="Q11" s="31" t="n"/>
    </row>
    <row r="12">
      <c r="A12" s="50" t="inlineStr">
        <is>
          <t xml:space="preserve">FT004</t>
        </is>
      </c>
      <c r="B12" s="37" t="n"/>
      <c r="C12" s="5" t="str">
        <f>IF(B12="","",MAX(1,MIN(24,INT((B12-SETTINGS!$B$6)/7)+1)))</f>
      </c>
      <c r="D12" s="31" t="n"/>
      <c r="E12" s="31" t="n"/>
      <c r="F12" s="43" t="n"/>
      <c r="G12" s="43" t="n"/>
      <c r="H12" s="57" t="n">
        <f>IF(OR(F12="",G12=""),0,MAX(0,G12-F12))</f>
        <v>0</v>
      </c>
      <c r="I12" s="45" t="n">
        <f>H12*SETTINGS!$B$32</f>
        <v>0</v>
      </c>
      <c r="J12" s="39" t="n"/>
      <c r="K12" s="45" t="n">
        <f>I12+J12</f>
        <v>0</v>
      </c>
      <c r="L12" s="43" t="n"/>
      <c r="M12" s="43" t="n"/>
      <c r="N12" s="43" t="n"/>
      <c r="O12" s="43" t="n"/>
      <c r="P12" s="31" t="n"/>
      <c r="Q12" s="31" t="n"/>
    </row>
    <row r="13">
      <c r="A13" s="48" t="inlineStr">
        <is>
          <t xml:space="preserve">FT005</t>
        </is>
      </c>
      <c r="B13" s="37" t="n"/>
      <c r="C13" s="6" t="str">
        <f>IF(B13="","",MAX(1,MIN(24,INT((B13-SETTINGS!$B$6)/7)+1)))</f>
      </c>
      <c r="D13" s="31" t="n"/>
      <c r="E13" s="31" t="n"/>
      <c r="F13" s="43" t="n"/>
      <c r="G13" s="43" t="n"/>
      <c r="H13" s="57" t="n">
        <f>IF(OR(F13="",G13=""),0,MAX(0,G13-F13))</f>
        <v>0</v>
      </c>
      <c r="I13" s="45" t="n">
        <f>H13*SETTINGS!$B$32</f>
        <v>0</v>
      </c>
      <c r="J13" s="39" t="n"/>
      <c r="K13" s="45" t="n">
        <f>I13+J13</f>
        <v>0</v>
      </c>
      <c r="L13" s="43" t="n"/>
      <c r="M13" s="43" t="n"/>
      <c r="N13" s="43" t="n"/>
      <c r="O13" s="43" t="n"/>
      <c r="P13" s="31" t="n"/>
      <c r="Q13" s="31" t="n"/>
    </row>
    <row r="14">
      <c r="A14" s="50" t="inlineStr">
        <is>
          <t xml:space="preserve">FT006</t>
        </is>
      </c>
      <c r="B14" s="37" t="n"/>
      <c r="C14" s="5" t="str">
        <f>IF(B14="","",MAX(1,MIN(24,INT((B14-SETTINGS!$B$6)/7)+1)))</f>
      </c>
      <c r="D14" s="31" t="n"/>
      <c r="E14" s="31" t="n"/>
      <c r="F14" s="43" t="n"/>
      <c r="G14" s="43" t="n"/>
      <c r="H14" s="57" t="n">
        <f>IF(OR(F14="",G14=""),0,MAX(0,G14-F14))</f>
        <v>0</v>
      </c>
      <c r="I14" s="45" t="n">
        <f>H14*SETTINGS!$B$32</f>
        <v>0</v>
      </c>
      <c r="J14" s="39" t="n"/>
      <c r="K14" s="45" t="n">
        <f>I14+J14</f>
        <v>0</v>
      </c>
      <c r="L14" s="43" t="n"/>
      <c r="M14" s="43" t="n"/>
      <c r="N14" s="43" t="n"/>
      <c r="O14" s="43" t="n"/>
      <c r="P14" s="31" t="n"/>
      <c r="Q14" s="31" t="n"/>
    </row>
    <row r="15">
      <c r="A15" s="48" t="inlineStr">
        <is>
          <t xml:space="preserve">FT007</t>
        </is>
      </c>
      <c r="B15" s="37" t="n"/>
      <c r="C15" s="6" t="str">
        <f>IF(B15="","",MAX(1,MIN(24,INT((B15-SETTINGS!$B$6)/7)+1)))</f>
      </c>
      <c r="D15" s="31" t="n"/>
      <c r="E15" s="31" t="n"/>
      <c r="F15" s="43" t="n"/>
      <c r="G15" s="43" t="n"/>
      <c r="H15" s="57" t="n">
        <f>IF(OR(F15="",G15=""),0,MAX(0,G15-F15))</f>
        <v>0</v>
      </c>
      <c r="I15" s="45" t="n">
        <f>H15*SETTINGS!$B$32</f>
        <v>0</v>
      </c>
      <c r="J15" s="39" t="n"/>
      <c r="K15" s="45" t="n">
        <f>I15+J15</f>
        <v>0</v>
      </c>
      <c r="L15" s="43" t="n"/>
      <c r="M15" s="43" t="n"/>
      <c r="N15" s="43" t="n"/>
      <c r="O15" s="43" t="n"/>
      <c r="P15" s="31" t="n"/>
      <c r="Q15" s="31" t="n"/>
    </row>
    <row r="16">
      <c r="A16" s="50" t="inlineStr">
        <is>
          <t xml:space="preserve">FT008</t>
        </is>
      </c>
      <c r="B16" s="37" t="n"/>
      <c r="C16" s="5" t="str">
        <f>IF(B16="","",MAX(1,MIN(24,INT((B16-SETTINGS!$B$6)/7)+1)))</f>
      </c>
      <c r="D16" s="31" t="n"/>
      <c r="E16" s="31" t="n"/>
      <c r="F16" s="43" t="n"/>
      <c r="G16" s="43" t="n"/>
      <c r="H16" s="57" t="n">
        <f>IF(OR(F16="",G16=""),0,MAX(0,G16-F16))</f>
        <v>0</v>
      </c>
      <c r="I16" s="45" t="n">
        <f>H16*SETTINGS!$B$32</f>
        <v>0</v>
      </c>
      <c r="J16" s="39" t="n"/>
      <c r="K16" s="45" t="n">
        <f>I16+J16</f>
        <v>0</v>
      </c>
      <c r="L16" s="43" t="n"/>
      <c r="M16" s="43" t="n"/>
      <c r="N16" s="43" t="n"/>
      <c r="O16" s="43" t="n"/>
      <c r="P16" s="31" t="n"/>
      <c r="Q16" s="31" t="n"/>
    </row>
    <row r="17">
      <c r="A17" s="48" t="inlineStr">
        <is>
          <t xml:space="preserve">FT009</t>
        </is>
      </c>
      <c r="B17" s="37" t="n"/>
      <c r="C17" s="6" t="str">
        <f>IF(B17="","",MAX(1,MIN(24,INT((B17-SETTINGS!$B$6)/7)+1)))</f>
      </c>
      <c r="D17" s="31" t="n"/>
      <c r="E17" s="31" t="n"/>
      <c r="F17" s="43" t="n"/>
      <c r="G17" s="43" t="n"/>
      <c r="H17" s="57" t="n">
        <f>IF(OR(F17="",G17=""),0,MAX(0,G17-F17))</f>
        <v>0</v>
      </c>
      <c r="I17" s="45" t="n">
        <f>H17*SETTINGS!$B$32</f>
        <v>0</v>
      </c>
      <c r="J17" s="39" t="n"/>
      <c r="K17" s="45" t="n">
        <f>I17+J17</f>
        <v>0</v>
      </c>
      <c r="L17" s="43" t="n"/>
      <c r="M17" s="43" t="n"/>
      <c r="N17" s="43" t="n"/>
      <c r="O17" s="43" t="n"/>
      <c r="P17" s="31" t="n"/>
      <c r="Q17" s="31" t="n"/>
    </row>
    <row r="18">
      <c r="A18" s="50" t="inlineStr">
        <is>
          <t xml:space="preserve">FT010</t>
        </is>
      </c>
      <c r="B18" s="37" t="n"/>
      <c r="C18" s="5" t="str">
        <f>IF(B18="","",MAX(1,MIN(24,INT((B18-SETTINGS!$B$6)/7)+1)))</f>
      </c>
      <c r="D18" s="31" t="n"/>
      <c r="E18" s="31" t="n"/>
      <c r="F18" s="43" t="n"/>
      <c r="G18" s="43" t="n"/>
      <c r="H18" s="57" t="n">
        <f>IF(OR(F18="",G18=""),0,MAX(0,G18-F18))</f>
        <v>0</v>
      </c>
      <c r="I18" s="45" t="n">
        <f>H18*SETTINGS!$B$32</f>
        <v>0</v>
      </c>
      <c r="J18" s="39" t="n"/>
      <c r="K18" s="45" t="n">
        <f>I18+J18</f>
        <v>0</v>
      </c>
      <c r="L18" s="43" t="n"/>
      <c r="M18" s="43" t="n"/>
      <c r="N18" s="43" t="n"/>
      <c r="O18" s="43" t="n"/>
      <c r="P18" s="31" t="n"/>
      <c r="Q18" s="31" t="n"/>
    </row>
    <row r="19">
      <c r="A19" s="48" t="inlineStr">
        <is>
          <t xml:space="preserve">FT011</t>
        </is>
      </c>
      <c r="B19" s="37" t="n"/>
      <c r="C19" s="6" t="str">
        <f>IF(B19="","",MAX(1,MIN(24,INT((B19-SETTINGS!$B$6)/7)+1)))</f>
      </c>
      <c r="D19" s="31" t="n"/>
      <c r="E19" s="31" t="n"/>
      <c r="F19" s="43" t="n"/>
      <c r="G19" s="43" t="n"/>
      <c r="H19" s="57" t="n">
        <f>IF(OR(F19="",G19=""),0,MAX(0,G19-F19))</f>
        <v>0</v>
      </c>
      <c r="I19" s="45" t="n">
        <f>H19*SETTINGS!$B$32</f>
        <v>0</v>
      </c>
      <c r="J19" s="39" t="n"/>
      <c r="K19" s="45" t="n">
        <f>I19+J19</f>
        <v>0</v>
      </c>
      <c r="L19" s="43" t="n"/>
      <c r="M19" s="43" t="n"/>
      <c r="N19" s="43" t="n"/>
      <c r="O19" s="43" t="n"/>
      <c r="P19" s="31" t="n"/>
      <c r="Q19" s="31" t="n"/>
    </row>
    <row r="20">
      <c r="A20" s="50" t="inlineStr">
        <is>
          <t xml:space="preserve">FT012</t>
        </is>
      </c>
      <c r="B20" s="37" t="n"/>
      <c r="C20" s="5" t="str">
        <f>IF(B20="","",MAX(1,MIN(24,INT((B20-SETTINGS!$B$6)/7)+1)))</f>
      </c>
      <c r="D20" s="31" t="n"/>
      <c r="E20" s="31" t="n"/>
      <c r="F20" s="43" t="n"/>
      <c r="G20" s="43" t="n"/>
      <c r="H20" s="57" t="n">
        <f>IF(OR(F20="",G20=""),0,MAX(0,G20-F20))</f>
        <v>0</v>
      </c>
      <c r="I20" s="45" t="n">
        <f>H20*SETTINGS!$B$32</f>
        <v>0</v>
      </c>
      <c r="J20" s="39" t="n"/>
      <c r="K20" s="45" t="n">
        <f>I20+J20</f>
        <v>0</v>
      </c>
      <c r="L20" s="43" t="n"/>
      <c r="M20" s="43" t="n"/>
      <c r="N20" s="43" t="n"/>
      <c r="O20" s="43" t="n"/>
      <c r="P20" s="31" t="n"/>
      <c r="Q20" s="31" t="n"/>
    </row>
    <row r="21">
      <c r="A21" s="48" t="inlineStr">
        <is>
          <t xml:space="preserve">FT013</t>
        </is>
      </c>
      <c r="B21" s="37" t="n"/>
      <c r="C21" s="6" t="str">
        <f>IF(B21="","",MAX(1,MIN(24,INT((B21-SETTINGS!$B$6)/7)+1)))</f>
      </c>
      <c r="D21" s="31" t="n"/>
      <c r="E21" s="31" t="n"/>
      <c r="F21" s="43" t="n"/>
      <c r="G21" s="43" t="n"/>
      <c r="H21" s="57" t="n">
        <f>IF(OR(F21="",G21=""),0,MAX(0,G21-F21))</f>
        <v>0</v>
      </c>
      <c r="I21" s="45" t="n">
        <f>H21*SETTINGS!$B$32</f>
        <v>0</v>
      </c>
      <c r="J21" s="39" t="n"/>
      <c r="K21" s="45" t="n">
        <f>I21+J21</f>
        <v>0</v>
      </c>
      <c r="L21" s="43" t="n"/>
      <c r="M21" s="43" t="n"/>
      <c r="N21" s="43" t="n"/>
      <c r="O21" s="43" t="n"/>
      <c r="P21" s="31" t="n"/>
      <c r="Q21" s="31" t="n"/>
    </row>
    <row r="22">
      <c r="A22" s="50" t="inlineStr">
        <is>
          <t xml:space="preserve">FT014</t>
        </is>
      </c>
      <c r="B22" s="37" t="n"/>
      <c r="C22" s="5" t="str">
        <f>IF(B22="","",MAX(1,MIN(24,INT((B22-SETTINGS!$B$6)/7)+1)))</f>
      </c>
      <c r="D22" s="31" t="n"/>
      <c r="E22" s="31" t="n"/>
      <c r="F22" s="43" t="n"/>
      <c r="G22" s="43" t="n"/>
      <c r="H22" s="57" t="n">
        <f>IF(OR(F22="",G22=""),0,MAX(0,G22-F22))</f>
        <v>0</v>
      </c>
      <c r="I22" s="45" t="n">
        <f>H22*SETTINGS!$B$32</f>
        <v>0</v>
      </c>
      <c r="J22" s="39" t="n"/>
      <c r="K22" s="45" t="n">
        <f>I22+J22</f>
        <v>0</v>
      </c>
      <c r="L22" s="43" t="n"/>
      <c r="M22" s="43" t="n"/>
      <c r="N22" s="43" t="n"/>
      <c r="O22" s="43" t="n"/>
      <c r="P22" s="31" t="n"/>
      <c r="Q22" s="31" t="n"/>
    </row>
    <row r="23">
      <c r="A23" s="48" t="inlineStr">
        <is>
          <t xml:space="preserve">FT015</t>
        </is>
      </c>
      <c r="B23" s="37" t="n"/>
      <c r="C23" s="6" t="str">
        <f>IF(B23="","",MAX(1,MIN(24,INT((B23-SETTINGS!$B$6)/7)+1)))</f>
      </c>
      <c r="D23" s="31" t="n"/>
      <c r="E23" s="31" t="n"/>
      <c r="F23" s="43" t="n"/>
      <c r="G23" s="43" t="n"/>
      <c r="H23" s="57" t="n">
        <f>IF(OR(F23="",G23=""),0,MAX(0,G23-F23))</f>
        <v>0</v>
      </c>
      <c r="I23" s="45" t="n">
        <f>H23*SETTINGS!$B$32</f>
        <v>0</v>
      </c>
      <c r="J23" s="39" t="n"/>
      <c r="K23" s="45" t="n">
        <f>I23+J23</f>
        <v>0</v>
      </c>
      <c r="L23" s="43" t="n"/>
      <c r="M23" s="43" t="n"/>
      <c r="N23" s="43" t="n"/>
      <c r="O23" s="43" t="n"/>
      <c r="P23" s="31" t="n"/>
      <c r="Q23" s="31" t="n"/>
    </row>
    <row r="24">
      <c r="A24" s="50" t="inlineStr">
        <is>
          <t xml:space="preserve">FT016</t>
        </is>
      </c>
      <c r="B24" s="37" t="n"/>
      <c r="C24" s="5" t="str">
        <f>IF(B24="","",MAX(1,MIN(24,INT((B24-SETTINGS!$B$6)/7)+1)))</f>
      </c>
      <c r="D24" s="31" t="n"/>
      <c r="E24" s="31" t="n"/>
      <c r="F24" s="43" t="n"/>
      <c r="G24" s="43" t="n"/>
      <c r="H24" s="57" t="n">
        <f>IF(OR(F24="",G24=""),0,MAX(0,G24-F24))</f>
        <v>0</v>
      </c>
      <c r="I24" s="45" t="n">
        <f>H24*SETTINGS!$B$32</f>
        <v>0</v>
      </c>
      <c r="J24" s="39" t="n"/>
      <c r="K24" s="45" t="n">
        <f>I24+J24</f>
        <v>0</v>
      </c>
      <c r="L24" s="43" t="n"/>
      <c r="M24" s="43" t="n"/>
      <c r="N24" s="43" t="n"/>
      <c r="O24" s="43" t="n"/>
      <c r="P24" s="31" t="n"/>
      <c r="Q24" s="31" t="n"/>
    </row>
    <row r="25">
      <c r="A25" s="48" t="inlineStr">
        <is>
          <t xml:space="preserve">FT017</t>
        </is>
      </c>
      <c r="B25" s="37" t="n"/>
      <c r="C25" s="6" t="str">
        <f>IF(B25="","",MAX(1,MIN(24,INT((B25-SETTINGS!$B$6)/7)+1)))</f>
      </c>
      <c r="D25" s="31" t="n"/>
      <c r="E25" s="31" t="n"/>
      <c r="F25" s="43" t="n"/>
      <c r="G25" s="43" t="n"/>
      <c r="H25" s="57" t="n">
        <f>IF(OR(F25="",G25=""),0,MAX(0,G25-F25))</f>
        <v>0</v>
      </c>
      <c r="I25" s="45" t="n">
        <f>H25*SETTINGS!$B$32</f>
        <v>0</v>
      </c>
      <c r="J25" s="39" t="n"/>
      <c r="K25" s="45" t="n">
        <f>I25+J25</f>
        <v>0</v>
      </c>
      <c r="L25" s="43" t="n"/>
      <c r="M25" s="43" t="n"/>
      <c r="N25" s="43" t="n"/>
      <c r="O25" s="43" t="n"/>
      <c r="P25" s="31" t="n"/>
      <c r="Q25" s="31" t="n"/>
    </row>
    <row r="26">
      <c r="A26" s="50" t="inlineStr">
        <is>
          <t xml:space="preserve">FT018</t>
        </is>
      </c>
      <c r="B26" s="37" t="n"/>
      <c r="C26" s="5" t="str">
        <f>IF(B26="","",MAX(1,MIN(24,INT((B26-SETTINGS!$B$6)/7)+1)))</f>
      </c>
      <c r="D26" s="31" t="n"/>
      <c r="E26" s="31" t="n"/>
      <c r="F26" s="43" t="n"/>
      <c r="G26" s="43" t="n"/>
      <c r="H26" s="57" t="n">
        <f>IF(OR(F26="",G26=""),0,MAX(0,G26-F26))</f>
        <v>0</v>
      </c>
      <c r="I26" s="45" t="n">
        <f>H26*SETTINGS!$B$32</f>
        <v>0</v>
      </c>
      <c r="J26" s="39" t="n"/>
      <c r="K26" s="45" t="n">
        <f>I26+J26</f>
        <v>0</v>
      </c>
      <c r="L26" s="43" t="n"/>
      <c r="M26" s="43" t="n"/>
      <c r="N26" s="43" t="n"/>
      <c r="O26" s="43" t="n"/>
      <c r="P26" s="31" t="n"/>
      <c r="Q26" s="31" t="n"/>
    </row>
    <row r="27">
      <c r="A27" s="48" t="inlineStr">
        <is>
          <t xml:space="preserve">FT019</t>
        </is>
      </c>
      <c r="B27" s="37" t="n"/>
      <c r="C27" s="6" t="str">
        <f>IF(B27="","",MAX(1,MIN(24,INT((B27-SETTINGS!$B$6)/7)+1)))</f>
      </c>
      <c r="D27" s="31" t="n"/>
      <c r="E27" s="31" t="n"/>
      <c r="F27" s="43" t="n"/>
      <c r="G27" s="43" t="n"/>
      <c r="H27" s="57" t="n">
        <f>IF(OR(F27="",G27=""),0,MAX(0,G27-F27))</f>
        <v>0</v>
      </c>
      <c r="I27" s="45" t="n">
        <f>H27*SETTINGS!$B$32</f>
        <v>0</v>
      </c>
      <c r="J27" s="39" t="n"/>
      <c r="K27" s="45" t="n">
        <f>I27+J27</f>
        <v>0</v>
      </c>
      <c r="L27" s="43" t="n"/>
      <c r="M27" s="43" t="n"/>
      <c r="N27" s="43" t="n"/>
      <c r="O27" s="43" t="n"/>
      <c r="P27" s="31" t="n"/>
      <c r="Q27" s="31" t="n"/>
    </row>
    <row r="28">
      <c r="A28" s="50" t="inlineStr">
        <is>
          <t xml:space="preserve">FT020</t>
        </is>
      </c>
      <c r="B28" s="37" t="n"/>
      <c r="C28" s="5" t="str">
        <f>IF(B28="","",MAX(1,MIN(24,INT((B28-SETTINGS!$B$6)/7)+1)))</f>
      </c>
      <c r="D28" s="31" t="n"/>
      <c r="E28" s="31" t="n"/>
      <c r="F28" s="43" t="n"/>
      <c r="G28" s="43" t="n"/>
      <c r="H28" s="57" t="n">
        <f>IF(OR(F28="",G28=""),0,MAX(0,G28-F28))</f>
        <v>0</v>
      </c>
      <c r="I28" s="45" t="n">
        <f>H28*SETTINGS!$B$32</f>
        <v>0</v>
      </c>
      <c r="J28" s="39" t="n"/>
      <c r="K28" s="45" t="n">
        <f>I28+J28</f>
        <v>0</v>
      </c>
      <c r="L28" s="43" t="n"/>
      <c r="M28" s="43" t="n"/>
      <c r="N28" s="43" t="n"/>
      <c r="O28" s="43" t="n"/>
      <c r="P28" s="31" t="n"/>
      <c r="Q28" s="31" t="n"/>
    </row>
    <row r="29">
      <c r="A29" s="48" t="inlineStr">
        <is>
          <t xml:space="preserve">FT021</t>
        </is>
      </c>
      <c r="B29" s="37" t="n"/>
      <c r="C29" s="6" t="str">
        <f>IF(B29="","",MAX(1,MIN(24,INT((B29-SETTINGS!$B$6)/7)+1)))</f>
      </c>
      <c r="D29" s="31" t="n"/>
      <c r="E29" s="31" t="n"/>
      <c r="F29" s="43" t="n"/>
      <c r="G29" s="43" t="n"/>
      <c r="H29" s="57" t="n">
        <f>IF(OR(F29="",G29=""),0,MAX(0,G29-F29))</f>
        <v>0</v>
      </c>
      <c r="I29" s="45" t="n">
        <f>H29*SETTINGS!$B$32</f>
        <v>0</v>
      </c>
      <c r="J29" s="39" t="n"/>
      <c r="K29" s="45" t="n">
        <f>I29+J29</f>
        <v>0</v>
      </c>
      <c r="L29" s="43" t="n"/>
      <c r="M29" s="43" t="n"/>
      <c r="N29" s="43" t="n"/>
      <c r="O29" s="43" t="n"/>
      <c r="P29" s="31" t="n"/>
      <c r="Q29" s="31" t="n"/>
    </row>
    <row r="30">
      <c r="A30" s="50" t="inlineStr">
        <is>
          <t xml:space="preserve">FT022</t>
        </is>
      </c>
      <c r="B30" s="37" t="n"/>
      <c r="C30" s="5" t="str">
        <f>IF(B30="","",MAX(1,MIN(24,INT((B30-SETTINGS!$B$6)/7)+1)))</f>
      </c>
      <c r="D30" s="31" t="n"/>
      <c r="E30" s="31" t="n"/>
      <c r="F30" s="43" t="n"/>
      <c r="G30" s="43" t="n"/>
      <c r="H30" s="57" t="n">
        <f>IF(OR(F30="",G30=""),0,MAX(0,G30-F30))</f>
        <v>0</v>
      </c>
      <c r="I30" s="45" t="n">
        <f>H30*SETTINGS!$B$32</f>
        <v>0</v>
      </c>
      <c r="J30" s="39" t="n"/>
      <c r="K30" s="45" t="n">
        <f>I30+J30</f>
        <v>0</v>
      </c>
      <c r="L30" s="43" t="n"/>
      <c r="M30" s="43" t="n"/>
      <c r="N30" s="43" t="n"/>
      <c r="O30" s="43" t="n"/>
      <c r="P30" s="31" t="n"/>
      <c r="Q30" s="31" t="n"/>
    </row>
    <row r="31">
      <c r="A31" s="48" t="inlineStr">
        <is>
          <t xml:space="preserve">FT023</t>
        </is>
      </c>
      <c r="B31" s="37" t="n"/>
      <c r="C31" s="6" t="str">
        <f>IF(B31="","",MAX(1,MIN(24,INT((B31-SETTINGS!$B$6)/7)+1)))</f>
      </c>
      <c r="D31" s="31" t="n"/>
      <c r="E31" s="31" t="n"/>
      <c r="F31" s="43" t="n"/>
      <c r="G31" s="43" t="n"/>
      <c r="H31" s="57" t="n">
        <f>IF(OR(F31="",G31=""),0,MAX(0,G31-F31))</f>
        <v>0</v>
      </c>
      <c r="I31" s="45" t="n">
        <f>H31*SETTINGS!$B$32</f>
        <v>0</v>
      </c>
      <c r="J31" s="39" t="n"/>
      <c r="K31" s="45" t="n">
        <f>I31+J31</f>
        <v>0</v>
      </c>
      <c r="L31" s="43" t="n"/>
      <c r="M31" s="43" t="n"/>
      <c r="N31" s="43" t="n"/>
      <c r="O31" s="43" t="n"/>
      <c r="P31" s="31" t="n"/>
      <c r="Q31" s="31" t="n"/>
    </row>
    <row r="32">
      <c r="A32" s="50" t="inlineStr">
        <is>
          <t xml:space="preserve">FT024</t>
        </is>
      </c>
      <c r="B32" s="37" t="n"/>
      <c r="C32" s="5" t="str">
        <f>IF(B32="","",MAX(1,MIN(24,INT((B32-SETTINGS!$B$6)/7)+1)))</f>
      </c>
      <c r="D32" s="31" t="n"/>
      <c r="E32" s="31" t="n"/>
      <c r="F32" s="43" t="n"/>
      <c r="G32" s="43" t="n"/>
      <c r="H32" s="57" t="n">
        <f>IF(OR(F32="",G32=""),0,MAX(0,G32-F32))</f>
        <v>0</v>
      </c>
      <c r="I32" s="45" t="n">
        <f>H32*SETTINGS!$B$32</f>
        <v>0</v>
      </c>
      <c r="J32" s="39" t="n"/>
      <c r="K32" s="45" t="n">
        <f>I32+J32</f>
        <v>0</v>
      </c>
      <c r="L32" s="43" t="n"/>
      <c r="M32" s="43" t="n"/>
      <c r="N32" s="43" t="n"/>
      <c r="O32" s="43" t="n"/>
      <c r="P32" s="31" t="n"/>
      <c r="Q32" s="31" t="n"/>
    </row>
    <row r="33">
      <c r="A33" s="48" t="inlineStr">
        <is>
          <t xml:space="preserve">FT025</t>
        </is>
      </c>
      <c r="B33" s="37" t="n"/>
      <c r="C33" s="6" t="str">
        <f>IF(B33="","",MAX(1,MIN(24,INT((B33-SETTINGS!$B$6)/7)+1)))</f>
      </c>
      <c r="D33" s="31" t="n"/>
      <c r="E33" s="31" t="n"/>
      <c r="F33" s="43" t="n"/>
      <c r="G33" s="43" t="n"/>
      <c r="H33" s="57" t="n">
        <f>IF(OR(F33="",G33=""),0,MAX(0,G33-F33))</f>
        <v>0</v>
      </c>
      <c r="I33" s="45" t="n">
        <f>H33*SETTINGS!$B$32</f>
        <v>0</v>
      </c>
      <c r="J33" s="39" t="n"/>
      <c r="K33" s="45" t="n">
        <f>I33+J33</f>
        <v>0</v>
      </c>
      <c r="L33" s="43" t="n"/>
      <c r="M33" s="43" t="n"/>
      <c r="N33" s="43" t="n"/>
      <c r="O33" s="43" t="n"/>
      <c r="P33" s="31" t="n"/>
      <c r="Q33" s="31" t="n"/>
    </row>
    <row r="34">
      <c r="A34" s="50" t="inlineStr">
        <is>
          <t xml:space="preserve">FT026</t>
        </is>
      </c>
      <c r="B34" s="37" t="n"/>
      <c r="C34" s="5" t="str">
        <f>IF(B34="","",MAX(1,MIN(24,INT((B34-SETTINGS!$B$6)/7)+1)))</f>
      </c>
      <c r="D34" s="31" t="n"/>
      <c r="E34" s="31" t="n"/>
      <c r="F34" s="43" t="n"/>
      <c r="G34" s="43" t="n"/>
      <c r="H34" s="57" t="n">
        <f>IF(OR(F34="",G34=""),0,MAX(0,G34-F34))</f>
        <v>0</v>
      </c>
      <c r="I34" s="45" t="n">
        <f>H34*SETTINGS!$B$32</f>
        <v>0</v>
      </c>
      <c r="J34" s="39" t="n"/>
      <c r="K34" s="45" t="n">
        <f>I34+J34</f>
        <v>0</v>
      </c>
      <c r="L34" s="43" t="n"/>
      <c r="M34" s="43" t="n"/>
      <c r="N34" s="43" t="n"/>
      <c r="O34" s="43" t="n"/>
      <c r="P34" s="31" t="n"/>
      <c r="Q34" s="31" t="n"/>
    </row>
    <row r="35">
      <c r="A35" s="48" t="inlineStr">
        <is>
          <t xml:space="preserve">FT027</t>
        </is>
      </c>
      <c r="B35" s="37" t="n"/>
      <c r="C35" s="6" t="str">
        <f>IF(B35="","",MAX(1,MIN(24,INT((B35-SETTINGS!$B$6)/7)+1)))</f>
      </c>
      <c r="D35" s="31" t="n"/>
      <c r="E35" s="31" t="n"/>
      <c r="F35" s="43" t="n"/>
      <c r="G35" s="43" t="n"/>
      <c r="H35" s="57" t="n">
        <f>IF(OR(F35="",G35=""),0,MAX(0,G35-F35))</f>
        <v>0</v>
      </c>
      <c r="I35" s="45" t="n">
        <f>H35*SETTINGS!$B$32</f>
        <v>0</v>
      </c>
      <c r="J35" s="39" t="n"/>
      <c r="K35" s="45" t="n">
        <f>I35+J35</f>
        <v>0</v>
      </c>
      <c r="L35" s="43" t="n"/>
      <c r="M35" s="43" t="n"/>
      <c r="N35" s="43" t="n"/>
      <c r="O35" s="43" t="n"/>
      <c r="P35" s="31" t="n"/>
      <c r="Q35" s="31" t="n"/>
    </row>
    <row r="36">
      <c r="A36" s="50" t="inlineStr">
        <is>
          <t xml:space="preserve">FT028</t>
        </is>
      </c>
      <c r="B36" s="37" t="n"/>
      <c r="C36" s="5" t="str">
        <f>IF(B36="","",MAX(1,MIN(24,INT((B36-SETTINGS!$B$6)/7)+1)))</f>
      </c>
      <c r="D36" s="31" t="n"/>
      <c r="E36" s="31" t="n"/>
      <c r="F36" s="43" t="n"/>
      <c r="G36" s="43" t="n"/>
      <c r="H36" s="57" t="n">
        <f>IF(OR(F36="",G36=""),0,MAX(0,G36-F36))</f>
        <v>0</v>
      </c>
      <c r="I36" s="45" t="n">
        <f>H36*SETTINGS!$B$32</f>
        <v>0</v>
      </c>
      <c r="J36" s="39" t="n"/>
      <c r="K36" s="45" t="n">
        <f>I36+J36</f>
        <v>0</v>
      </c>
      <c r="L36" s="43" t="n"/>
      <c r="M36" s="43" t="n"/>
      <c r="N36" s="43" t="n"/>
      <c r="O36" s="43" t="n"/>
      <c r="P36" s="31" t="n"/>
      <c r="Q36" s="31" t="n"/>
    </row>
    <row r="37">
      <c r="A37" s="48" t="inlineStr">
        <is>
          <t xml:space="preserve">FT029</t>
        </is>
      </c>
      <c r="B37" s="37" t="n"/>
      <c r="C37" s="6" t="str">
        <f>IF(B37="","",MAX(1,MIN(24,INT((B37-SETTINGS!$B$6)/7)+1)))</f>
      </c>
      <c r="D37" s="31" t="n"/>
      <c r="E37" s="31" t="n"/>
      <c r="F37" s="43" t="n"/>
      <c r="G37" s="43" t="n"/>
      <c r="H37" s="57" t="n">
        <f>IF(OR(F37="",G37=""),0,MAX(0,G37-F37))</f>
        <v>0</v>
      </c>
      <c r="I37" s="45" t="n">
        <f>H37*SETTINGS!$B$32</f>
        <v>0</v>
      </c>
      <c r="J37" s="39" t="n"/>
      <c r="K37" s="45" t="n">
        <f>I37+J37</f>
        <v>0</v>
      </c>
      <c r="L37" s="43" t="n"/>
      <c r="M37" s="43" t="n"/>
      <c r="N37" s="43" t="n"/>
      <c r="O37" s="43" t="n"/>
      <c r="P37" s="31" t="n"/>
      <c r="Q37" s="31" t="n"/>
    </row>
    <row r="38">
      <c r="A38" s="50" t="inlineStr">
        <is>
          <t xml:space="preserve">FT030</t>
        </is>
      </c>
      <c r="B38" s="37" t="n"/>
      <c r="C38" s="5" t="str">
        <f>IF(B38="","",MAX(1,MIN(24,INT((B38-SETTINGS!$B$6)/7)+1)))</f>
      </c>
      <c r="D38" s="31" t="n"/>
      <c r="E38" s="31" t="n"/>
      <c r="F38" s="43" t="n"/>
      <c r="G38" s="43" t="n"/>
      <c r="H38" s="57" t="n">
        <f>IF(OR(F38="",G38=""),0,MAX(0,G38-F38))</f>
        <v>0</v>
      </c>
      <c r="I38" s="45" t="n">
        <f>H38*SETTINGS!$B$32</f>
        <v>0</v>
      </c>
      <c r="J38" s="39" t="n"/>
      <c r="K38" s="45" t="n">
        <f>I38+J38</f>
        <v>0</v>
      </c>
      <c r="L38" s="43" t="n"/>
      <c r="M38" s="43" t="n"/>
      <c r="N38" s="43" t="n"/>
      <c r="O38" s="43" t="n"/>
      <c r="P38" s="31" t="n"/>
      <c r="Q38" s="31" t="n"/>
    </row>
    <row r="39">
      <c r="A39" s="48" t="inlineStr">
        <is>
          <t xml:space="preserve">FT031</t>
        </is>
      </c>
      <c r="B39" s="37" t="n"/>
      <c r="C39" s="6" t="str">
        <f>IF(B39="","",MAX(1,MIN(24,INT((B39-SETTINGS!$B$6)/7)+1)))</f>
      </c>
      <c r="D39" s="31" t="n"/>
      <c r="E39" s="31" t="n"/>
      <c r="F39" s="43" t="n"/>
      <c r="G39" s="43" t="n"/>
      <c r="H39" s="57" t="n">
        <f>IF(OR(F39="",G39=""),0,MAX(0,G39-F39))</f>
        <v>0</v>
      </c>
      <c r="I39" s="45" t="n">
        <f>H39*SETTINGS!$B$32</f>
        <v>0</v>
      </c>
      <c r="J39" s="39" t="n"/>
      <c r="K39" s="45" t="n">
        <f>I39+J39</f>
        <v>0</v>
      </c>
      <c r="L39" s="43" t="n"/>
      <c r="M39" s="43" t="n"/>
      <c r="N39" s="43" t="n"/>
      <c r="O39" s="43" t="n"/>
      <c r="P39" s="31" t="n"/>
      <c r="Q39" s="31" t="n"/>
    </row>
    <row r="40">
      <c r="A40" s="50" t="inlineStr">
        <is>
          <t xml:space="preserve">FT032</t>
        </is>
      </c>
      <c r="B40" s="37" t="n"/>
      <c r="C40" s="5" t="str">
        <f>IF(B40="","",MAX(1,MIN(24,INT((B40-SETTINGS!$B$6)/7)+1)))</f>
      </c>
      <c r="D40" s="31" t="n"/>
      <c r="E40" s="31" t="n"/>
      <c r="F40" s="43" t="n"/>
      <c r="G40" s="43" t="n"/>
      <c r="H40" s="57" t="n">
        <f>IF(OR(F40="",G40=""),0,MAX(0,G40-F40))</f>
        <v>0</v>
      </c>
      <c r="I40" s="45" t="n">
        <f>H40*SETTINGS!$B$32</f>
        <v>0</v>
      </c>
      <c r="J40" s="39" t="n"/>
      <c r="K40" s="45" t="n">
        <f>I40+J40</f>
        <v>0</v>
      </c>
      <c r="L40" s="43" t="n"/>
      <c r="M40" s="43" t="n"/>
      <c r="N40" s="43" t="n"/>
      <c r="O40" s="43" t="n"/>
      <c r="P40" s="31" t="n"/>
      <c r="Q40" s="31" t="n"/>
    </row>
    <row r="41">
      <c r="A41" s="48" t="inlineStr">
        <is>
          <t xml:space="preserve">FT033</t>
        </is>
      </c>
      <c r="B41" s="37" t="n"/>
      <c r="C41" s="6" t="str">
        <f>IF(B41="","",MAX(1,MIN(24,INT((B41-SETTINGS!$B$6)/7)+1)))</f>
      </c>
      <c r="D41" s="31" t="n"/>
      <c r="E41" s="31" t="n"/>
      <c r="F41" s="43" t="n"/>
      <c r="G41" s="43" t="n"/>
      <c r="H41" s="57" t="n">
        <f>IF(OR(F41="",G41=""),0,MAX(0,G41-F41))</f>
        <v>0</v>
      </c>
      <c r="I41" s="45" t="n">
        <f>H41*SETTINGS!$B$32</f>
        <v>0</v>
      </c>
      <c r="J41" s="39" t="n"/>
      <c r="K41" s="45" t="n">
        <f>I41+J41</f>
        <v>0</v>
      </c>
      <c r="L41" s="43" t="n"/>
      <c r="M41" s="43" t="n"/>
      <c r="N41" s="43" t="n"/>
      <c r="O41" s="43" t="n"/>
      <c r="P41" s="31" t="n"/>
      <c r="Q41" s="31" t="n"/>
    </row>
    <row r="42">
      <c r="A42" s="50" t="inlineStr">
        <is>
          <t xml:space="preserve">FT034</t>
        </is>
      </c>
      <c r="B42" s="37" t="n"/>
      <c r="C42" s="5" t="str">
        <f>IF(B42="","",MAX(1,MIN(24,INT((B42-SETTINGS!$B$6)/7)+1)))</f>
      </c>
      <c r="D42" s="31" t="n"/>
      <c r="E42" s="31" t="n"/>
      <c r="F42" s="43" t="n"/>
      <c r="G42" s="43" t="n"/>
      <c r="H42" s="57" t="n">
        <f>IF(OR(F42="",G42=""),0,MAX(0,G42-F42))</f>
        <v>0</v>
      </c>
      <c r="I42" s="45" t="n">
        <f>H42*SETTINGS!$B$32</f>
        <v>0</v>
      </c>
      <c r="J42" s="39" t="n"/>
      <c r="K42" s="45" t="n">
        <f>I42+J42</f>
        <v>0</v>
      </c>
      <c r="L42" s="43" t="n"/>
      <c r="M42" s="43" t="n"/>
      <c r="N42" s="43" t="n"/>
      <c r="O42" s="43" t="n"/>
      <c r="P42" s="31" t="n"/>
      <c r="Q42" s="31" t="n"/>
    </row>
    <row r="43">
      <c r="A43" s="48" t="inlineStr">
        <is>
          <t xml:space="preserve">FT035</t>
        </is>
      </c>
      <c r="B43" s="37" t="n"/>
      <c r="C43" s="6" t="str">
        <f>IF(B43="","",MAX(1,MIN(24,INT((B43-SETTINGS!$B$6)/7)+1)))</f>
      </c>
      <c r="D43" s="31" t="n"/>
      <c r="E43" s="31" t="n"/>
      <c r="F43" s="43" t="n"/>
      <c r="G43" s="43" t="n"/>
      <c r="H43" s="57" t="n">
        <f>IF(OR(F43="",G43=""),0,MAX(0,G43-F43))</f>
        <v>0</v>
      </c>
      <c r="I43" s="45" t="n">
        <f>H43*SETTINGS!$B$32</f>
        <v>0</v>
      </c>
      <c r="J43" s="39" t="n"/>
      <c r="K43" s="45" t="n">
        <f>I43+J43</f>
        <v>0</v>
      </c>
      <c r="L43" s="43" t="n"/>
      <c r="M43" s="43" t="n"/>
      <c r="N43" s="43" t="n"/>
      <c r="O43" s="43" t="n"/>
      <c r="P43" s="31" t="n"/>
      <c r="Q43" s="31" t="n"/>
    </row>
    <row r="44">
      <c r="A44" s="50" t="inlineStr">
        <is>
          <t xml:space="preserve">FT036</t>
        </is>
      </c>
      <c r="B44" s="37" t="n"/>
      <c r="C44" s="5" t="str">
        <f>IF(B44="","",MAX(1,MIN(24,INT((B44-SETTINGS!$B$6)/7)+1)))</f>
      </c>
      <c r="D44" s="31" t="n"/>
      <c r="E44" s="31" t="n"/>
      <c r="F44" s="43" t="n"/>
      <c r="G44" s="43" t="n"/>
      <c r="H44" s="57" t="n">
        <f>IF(OR(F44="",G44=""),0,MAX(0,G44-F44))</f>
        <v>0</v>
      </c>
      <c r="I44" s="45" t="n">
        <f>H44*SETTINGS!$B$32</f>
        <v>0</v>
      </c>
      <c r="J44" s="39" t="n"/>
      <c r="K44" s="45" t="n">
        <f>I44+J44</f>
        <v>0</v>
      </c>
      <c r="L44" s="43" t="n"/>
      <c r="M44" s="43" t="n"/>
      <c r="N44" s="43" t="n"/>
      <c r="O44" s="43" t="n"/>
      <c r="P44" s="31" t="n"/>
      <c r="Q44" s="31" t="n"/>
    </row>
    <row r="45">
      <c r="A45" s="48" t="inlineStr">
        <is>
          <t xml:space="preserve">FT037</t>
        </is>
      </c>
      <c r="B45" s="37" t="n"/>
      <c r="C45" s="6" t="str">
        <f>IF(B45="","",MAX(1,MIN(24,INT((B45-SETTINGS!$B$6)/7)+1)))</f>
      </c>
      <c r="D45" s="31" t="n"/>
      <c r="E45" s="31" t="n"/>
      <c r="F45" s="43" t="n"/>
      <c r="G45" s="43" t="n"/>
      <c r="H45" s="57" t="n">
        <f>IF(OR(F45="",G45=""),0,MAX(0,G45-F45))</f>
        <v>0</v>
      </c>
      <c r="I45" s="45" t="n">
        <f>H45*SETTINGS!$B$32</f>
        <v>0</v>
      </c>
      <c r="J45" s="39" t="n"/>
      <c r="K45" s="45" t="n">
        <f>I45+J45</f>
        <v>0</v>
      </c>
      <c r="L45" s="43" t="n"/>
      <c r="M45" s="43" t="n"/>
      <c r="N45" s="43" t="n"/>
      <c r="O45" s="43" t="n"/>
      <c r="P45" s="31" t="n"/>
      <c r="Q45" s="31" t="n"/>
    </row>
    <row r="46">
      <c r="A46" s="50" t="inlineStr">
        <is>
          <t xml:space="preserve">FT038</t>
        </is>
      </c>
      <c r="B46" s="37" t="n"/>
      <c r="C46" s="5" t="str">
        <f>IF(B46="","",MAX(1,MIN(24,INT((B46-SETTINGS!$B$6)/7)+1)))</f>
      </c>
      <c r="D46" s="31" t="n"/>
      <c r="E46" s="31" t="n"/>
      <c r="F46" s="43" t="n"/>
      <c r="G46" s="43" t="n"/>
      <c r="H46" s="57" t="n">
        <f>IF(OR(F46="",G46=""),0,MAX(0,G46-F46))</f>
        <v>0</v>
      </c>
      <c r="I46" s="45" t="n">
        <f>H46*SETTINGS!$B$32</f>
        <v>0</v>
      </c>
      <c r="J46" s="39" t="n"/>
      <c r="K46" s="45" t="n">
        <f>I46+J46</f>
        <v>0</v>
      </c>
      <c r="L46" s="43" t="n"/>
      <c r="M46" s="43" t="n"/>
      <c r="N46" s="43" t="n"/>
      <c r="O46" s="43" t="n"/>
      <c r="P46" s="31" t="n"/>
      <c r="Q46" s="31" t="n"/>
    </row>
    <row r="47">
      <c r="A47" s="48" t="inlineStr">
        <is>
          <t xml:space="preserve">FT039</t>
        </is>
      </c>
      <c r="B47" s="37" t="n"/>
      <c r="C47" s="6" t="str">
        <f>IF(B47="","",MAX(1,MIN(24,INT((B47-SETTINGS!$B$6)/7)+1)))</f>
      </c>
      <c r="D47" s="31" t="n"/>
      <c r="E47" s="31" t="n"/>
      <c r="F47" s="43" t="n"/>
      <c r="G47" s="43" t="n"/>
      <c r="H47" s="57" t="n">
        <f>IF(OR(F47="",G47=""),0,MAX(0,G47-F47))</f>
        <v>0</v>
      </c>
      <c r="I47" s="45" t="n">
        <f>H47*SETTINGS!$B$32</f>
        <v>0</v>
      </c>
      <c r="J47" s="39" t="n"/>
      <c r="K47" s="45" t="n">
        <f>I47+J47</f>
        <v>0</v>
      </c>
      <c r="L47" s="43" t="n"/>
      <c r="M47" s="43" t="n"/>
      <c r="N47" s="43" t="n"/>
      <c r="O47" s="43" t="n"/>
      <c r="P47" s="31" t="n"/>
      <c r="Q47" s="31" t="n"/>
    </row>
    <row r="48">
      <c r="A48" s="50" t="inlineStr">
        <is>
          <t xml:space="preserve">FT040</t>
        </is>
      </c>
      <c r="B48" s="37" t="n"/>
      <c r="C48" s="5" t="str">
        <f>IF(B48="","",MAX(1,MIN(24,INT((B48-SETTINGS!$B$6)/7)+1)))</f>
      </c>
      <c r="D48" s="31" t="n"/>
      <c r="E48" s="31" t="n"/>
      <c r="F48" s="43" t="n"/>
      <c r="G48" s="43" t="n"/>
      <c r="H48" s="57" t="n">
        <f>IF(OR(F48="",G48=""),0,MAX(0,G48-F48))</f>
        <v>0</v>
      </c>
      <c r="I48" s="45" t="n">
        <f>H48*SETTINGS!$B$32</f>
        <v>0</v>
      </c>
      <c r="J48" s="39" t="n"/>
      <c r="K48" s="45" t="n">
        <f>I48+J48</f>
        <v>0</v>
      </c>
      <c r="L48" s="43" t="n"/>
      <c r="M48" s="43" t="n"/>
      <c r="N48" s="43" t="n"/>
      <c r="O48" s="43" t="n"/>
      <c r="P48" s="31" t="n"/>
      <c r="Q48" s="31" t="n"/>
    </row>
    <row r="49">
      <c r="A49" s="48" t="inlineStr">
        <is>
          <t xml:space="preserve">FT041</t>
        </is>
      </c>
      <c r="B49" s="37" t="n"/>
      <c r="C49" s="6" t="str">
        <f>IF(B49="","",MAX(1,MIN(24,INT((B49-SETTINGS!$B$6)/7)+1)))</f>
      </c>
      <c r="D49" s="31" t="n"/>
      <c r="E49" s="31" t="n"/>
      <c r="F49" s="43" t="n"/>
      <c r="G49" s="43" t="n"/>
      <c r="H49" s="57" t="n">
        <f>IF(OR(F49="",G49=""),0,MAX(0,G49-F49))</f>
        <v>0</v>
      </c>
      <c r="I49" s="45" t="n">
        <f>H49*SETTINGS!$B$32</f>
        <v>0</v>
      </c>
      <c r="J49" s="39" t="n"/>
      <c r="K49" s="45" t="n">
        <f>I49+J49</f>
        <v>0</v>
      </c>
      <c r="L49" s="43" t="n"/>
      <c r="M49" s="43" t="n"/>
      <c r="N49" s="43" t="n"/>
      <c r="O49" s="43" t="n"/>
      <c r="P49" s="31" t="n"/>
      <c r="Q49" s="31" t="n"/>
    </row>
    <row r="50">
      <c r="A50" s="50" t="inlineStr">
        <is>
          <t xml:space="preserve">FT042</t>
        </is>
      </c>
      <c r="B50" s="37" t="n"/>
      <c r="C50" s="5" t="str">
        <f>IF(B50="","",MAX(1,MIN(24,INT((B50-SETTINGS!$B$6)/7)+1)))</f>
      </c>
      <c r="D50" s="31" t="n"/>
      <c r="E50" s="31" t="n"/>
      <c r="F50" s="43" t="n"/>
      <c r="G50" s="43" t="n"/>
      <c r="H50" s="57" t="n">
        <f>IF(OR(F50="",G50=""),0,MAX(0,G50-F50))</f>
        <v>0</v>
      </c>
      <c r="I50" s="45" t="n">
        <f>H50*SETTINGS!$B$32</f>
        <v>0</v>
      </c>
      <c r="J50" s="39" t="n"/>
      <c r="K50" s="45" t="n">
        <f>I50+J50</f>
        <v>0</v>
      </c>
      <c r="L50" s="43" t="n"/>
      <c r="M50" s="43" t="n"/>
      <c r="N50" s="43" t="n"/>
      <c r="O50" s="43" t="n"/>
      <c r="P50" s="31" t="n"/>
      <c r="Q50" s="31" t="n"/>
    </row>
    <row r="51">
      <c r="A51" s="48" t="inlineStr">
        <is>
          <t xml:space="preserve">FT043</t>
        </is>
      </c>
      <c r="B51" s="37" t="n"/>
      <c r="C51" s="6" t="str">
        <f>IF(B51="","",MAX(1,MIN(24,INT((B51-SETTINGS!$B$6)/7)+1)))</f>
      </c>
      <c r="D51" s="31" t="n"/>
      <c r="E51" s="31" t="n"/>
      <c r="F51" s="43" t="n"/>
      <c r="G51" s="43" t="n"/>
      <c r="H51" s="57" t="n">
        <f>IF(OR(F51="",G51=""),0,MAX(0,G51-F51))</f>
        <v>0</v>
      </c>
      <c r="I51" s="45" t="n">
        <f>H51*SETTINGS!$B$32</f>
        <v>0</v>
      </c>
      <c r="J51" s="39" t="n"/>
      <c r="K51" s="45" t="n">
        <f>I51+J51</f>
        <v>0</v>
      </c>
      <c r="L51" s="43" t="n"/>
      <c r="M51" s="43" t="n"/>
      <c r="N51" s="43" t="n"/>
      <c r="O51" s="43" t="n"/>
      <c r="P51" s="31" t="n"/>
      <c r="Q51" s="31" t="n"/>
    </row>
    <row r="52">
      <c r="A52" s="50" t="inlineStr">
        <is>
          <t xml:space="preserve">FT044</t>
        </is>
      </c>
      <c r="B52" s="37" t="n"/>
      <c r="C52" s="5" t="str">
        <f>IF(B52="","",MAX(1,MIN(24,INT((B52-SETTINGS!$B$6)/7)+1)))</f>
      </c>
      <c r="D52" s="31" t="n"/>
      <c r="E52" s="31" t="n"/>
      <c r="F52" s="43" t="n"/>
      <c r="G52" s="43" t="n"/>
      <c r="H52" s="57" t="n">
        <f>IF(OR(F52="",G52=""),0,MAX(0,G52-F52))</f>
        <v>0</v>
      </c>
      <c r="I52" s="45" t="n">
        <f>H52*SETTINGS!$B$32</f>
        <v>0</v>
      </c>
      <c r="J52" s="39" t="n"/>
      <c r="K52" s="45" t="n">
        <f>I52+J52</f>
        <v>0</v>
      </c>
      <c r="L52" s="43" t="n"/>
      <c r="M52" s="43" t="n"/>
      <c r="N52" s="43" t="n"/>
      <c r="O52" s="43" t="n"/>
      <c r="P52" s="31" t="n"/>
      <c r="Q52" s="31" t="n"/>
    </row>
    <row r="53">
      <c r="A53" s="48" t="inlineStr">
        <is>
          <t xml:space="preserve">FT045</t>
        </is>
      </c>
      <c r="B53" s="37" t="n"/>
      <c r="C53" s="6" t="str">
        <f>IF(B53="","",MAX(1,MIN(24,INT((B53-SETTINGS!$B$6)/7)+1)))</f>
      </c>
      <c r="D53" s="31" t="n"/>
      <c r="E53" s="31" t="n"/>
      <c r="F53" s="43" t="n"/>
      <c r="G53" s="43" t="n"/>
      <c r="H53" s="57" t="n">
        <f>IF(OR(F53="",G53=""),0,MAX(0,G53-F53))</f>
        <v>0</v>
      </c>
      <c r="I53" s="45" t="n">
        <f>H53*SETTINGS!$B$32</f>
        <v>0</v>
      </c>
      <c r="J53" s="39" t="n"/>
      <c r="K53" s="45" t="n">
        <f>I53+J53</f>
        <v>0</v>
      </c>
      <c r="L53" s="43" t="n"/>
      <c r="M53" s="43" t="n"/>
      <c r="N53" s="43" t="n"/>
      <c r="O53" s="43" t="n"/>
      <c r="P53" s="31" t="n"/>
      <c r="Q53" s="31" t="n"/>
    </row>
    <row r="54">
      <c r="A54" s="50" t="inlineStr">
        <is>
          <t xml:space="preserve">FT046</t>
        </is>
      </c>
      <c r="B54" s="37" t="n"/>
      <c r="C54" s="5" t="str">
        <f>IF(B54="","",MAX(1,MIN(24,INT((B54-SETTINGS!$B$6)/7)+1)))</f>
      </c>
      <c r="D54" s="31" t="n"/>
      <c r="E54" s="31" t="n"/>
      <c r="F54" s="43" t="n"/>
      <c r="G54" s="43" t="n"/>
      <c r="H54" s="57" t="n">
        <f>IF(OR(F54="",G54=""),0,MAX(0,G54-F54))</f>
        <v>0</v>
      </c>
      <c r="I54" s="45" t="n">
        <f>H54*SETTINGS!$B$32</f>
        <v>0</v>
      </c>
      <c r="J54" s="39" t="n"/>
      <c r="K54" s="45" t="n">
        <f>I54+J54</f>
        <v>0</v>
      </c>
      <c r="L54" s="43" t="n"/>
      <c r="M54" s="43" t="n"/>
      <c r="N54" s="43" t="n"/>
      <c r="O54" s="43" t="n"/>
      <c r="P54" s="31" t="n"/>
      <c r="Q54" s="31" t="n"/>
    </row>
    <row r="55">
      <c r="A55" s="48" t="inlineStr">
        <is>
          <t xml:space="preserve">FT047</t>
        </is>
      </c>
      <c r="B55" s="37" t="n"/>
      <c r="C55" s="6" t="str">
        <f>IF(B55="","",MAX(1,MIN(24,INT((B55-SETTINGS!$B$6)/7)+1)))</f>
      </c>
      <c r="D55" s="31" t="n"/>
      <c r="E55" s="31" t="n"/>
      <c r="F55" s="43" t="n"/>
      <c r="G55" s="43" t="n"/>
      <c r="H55" s="57" t="n">
        <f>IF(OR(F55="",G55=""),0,MAX(0,G55-F55))</f>
        <v>0</v>
      </c>
      <c r="I55" s="45" t="n">
        <f>H55*SETTINGS!$B$32</f>
        <v>0</v>
      </c>
      <c r="J55" s="39" t="n"/>
      <c r="K55" s="45" t="n">
        <f>I55+J55</f>
        <v>0</v>
      </c>
      <c r="L55" s="43" t="n"/>
      <c r="M55" s="43" t="n"/>
      <c r="N55" s="43" t="n"/>
      <c r="O55" s="43" t="n"/>
      <c r="P55" s="31" t="n"/>
      <c r="Q55" s="31" t="n"/>
    </row>
    <row r="56">
      <c r="A56" s="50" t="inlineStr">
        <is>
          <t xml:space="preserve">FT048</t>
        </is>
      </c>
      <c r="B56" s="37" t="n"/>
      <c r="C56" s="5" t="str">
        <f>IF(B56="","",MAX(1,MIN(24,INT((B56-SETTINGS!$B$6)/7)+1)))</f>
      </c>
      <c r="D56" s="31" t="n"/>
      <c r="E56" s="31" t="n"/>
      <c r="F56" s="43" t="n"/>
      <c r="G56" s="43" t="n"/>
      <c r="H56" s="57" t="n">
        <f>IF(OR(F56="",G56=""),0,MAX(0,G56-F56))</f>
        <v>0</v>
      </c>
      <c r="I56" s="45" t="n">
        <f>H56*SETTINGS!$B$32</f>
        <v>0</v>
      </c>
      <c r="J56" s="39" t="n"/>
      <c r="K56" s="45" t="n">
        <f>I56+J56</f>
        <v>0</v>
      </c>
      <c r="L56" s="43" t="n"/>
      <c r="M56" s="43" t="n"/>
      <c r="N56" s="43" t="n"/>
      <c r="O56" s="43" t="n"/>
      <c r="P56" s="31" t="n"/>
      <c r="Q56" s="31" t="n"/>
    </row>
    <row r="57">
      <c r="A57" s="48" t="inlineStr">
        <is>
          <t xml:space="preserve">FT049</t>
        </is>
      </c>
      <c r="B57" s="37" t="n"/>
      <c r="C57" s="6" t="str">
        <f>IF(B57="","",MAX(1,MIN(24,INT((B57-SETTINGS!$B$6)/7)+1)))</f>
      </c>
      <c r="D57" s="31" t="n"/>
      <c r="E57" s="31" t="n"/>
      <c r="F57" s="43" t="n"/>
      <c r="G57" s="43" t="n"/>
      <c r="H57" s="57" t="n">
        <f>IF(OR(F57="",G57=""),0,MAX(0,G57-F57))</f>
        <v>0</v>
      </c>
      <c r="I57" s="45" t="n">
        <f>H57*SETTINGS!$B$32</f>
        <v>0</v>
      </c>
      <c r="J57" s="39" t="n"/>
      <c r="K57" s="45" t="n">
        <f>I57+J57</f>
        <v>0</v>
      </c>
      <c r="L57" s="43" t="n"/>
      <c r="M57" s="43" t="n"/>
      <c r="N57" s="43" t="n"/>
      <c r="O57" s="43" t="n"/>
      <c r="P57" s="31" t="n"/>
      <c r="Q57" s="31" t="n"/>
    </row>
    <row r="58">
      <c r="A58" s="50" t="inlineStr">
        <is>
          <t xml:space="preserve">FT050</t>
        </is>
      </c>
      <c r="B58" s="37" t="n"/>
      <c r="C58" s="5" t="str">
        <f>IF(B58="","",MAX(1,MIN(24,INT((B58-SETTINGS!$B$6)/7)+1)))</f>
      </c>
      <c r="D58" s="31" t="n"/>
      <c r="E58" s="31" t="n"/>
      <c r="F58" s="43" t="n"/>
      <c r="G58" s="43" t="n"/>
      <c r="H58" s="57" t="n">
        <f>IF(OR(F58="",G58=""),0,MAX(0,G58-F58))</f>
        <v>0</v>
      </c>
      <c r="I58" s="45" t="n">
        <f>H58*SETTINGS!$B$32</f>
        <v>0</v>
      </c>
      <c r="J58" s="39" t="n"/>
      <c r="K58" s="45" t="n">
        <f>I58+J58</f>
        <v>0</v>
      </c>
      <c r="L58" s="43" t="n"/>
      <c r="M58" s="43" t="n"/>
      <c r="N58" s="43" t="n"/>
      <c r="O58" s="43" t="n"/>
      <c r="P58" s="31" t="n"/>
      <c r="Q58" s="31" t="n"/>
    </row>
    <row r="59">
      <c r="A59" s="48" t="inlineStr">
        <is>
          <t xml:space="preserve">FT051</t>
        </is>
      </c>
      <c r="B59" s="37" t="n"/>
      <c r="C59" s="6" t="str">
        <f>IF(B59="","",MAX(1,MIN(24,INT((B59-SETTINGS!$B$6)/7)+1)))</f>
      </c>
      <c r="D59" s="31" t="n"/>
      <c r="E59" s="31" t="n"/>
      <c r="F59" s="43" t="n"/>
      <c r="G59" s="43" t="n"/>
      <c r="H59" s="57" t="n">
        <f>IF(OR(F59="",G59=""),0,MAX(0,G59-F59))</f>
        <v>0</v>
      </c>
      <c r="I59" s="45" t="n">
        <f>H59*SETTINGS!$B$32</f>
        <v>0</v>
      </c>
      <c r="J59" s="39" t="n"/>
      <c r="K59" s="45" t="n">
        <f>I59+J59</f>
        <v>0</v>
      </c>
      <c r="L59" s="43" t="n"/>
      <c r="M59" s="43" t="n"/>
      <c r="N59" s="43" t="n"/>
      <c r="O59" s="43" t="n"/>
      <c r="P59" s="31" t="n"/>
      <c r="Q59" s="31" t="n"/>
    </row>
    <row r="60">
      <c r="A60" s="50" t="inlineStr">
        <is>
          <t xml:space="preserve">FT052</t>
        </is>
      </c>
      <c r="B60" s="37" t="n"/>
      <c r="C60" s="5" t="str">
        <f>IF(B60="","",MAX(1,MIN(24,INT((B60-SETTINGS!$B$6)/7)+1)))</f>
      </c>
      <c r="D60" s="31" t="n"/>
      <c r="E60" s="31" t="n"/>
      <c r="F60" s="43" t="n"/>
      <c r="G60" s="43" t="n"/>
      <c r="H60" s="57" t="n">
        <f>IF(OR(F60="",G60=""),0,MAX(0,G60-F60))</f>
        <v>0</v>
      </c>
      <c r="I60" s="45" t="n">
        <f>H60*SETTINGS!$B$32</f>
        <v>0</v>
      </c>
      <c r="J60" s="39" t="n"/>
      <c r="K60" s="45" t="n">
        <f>I60+J60</f>
        <v>0</v>
      </c>
      <c r="L60" s="43" t="n"/>
      <c r="M60" s="43" t="n"/>
      <c r="N60" s="43" t="n"/>
      <c r="O60" s="43" t="n"/>
      <c r="P60" s="31" t="n"/>
      <c r="Q60" s="31" t="n"/>
    </row>
    <row r="61">
      <c r="A61" s="48" t="inlineStr">
        <is>
          <t xml:space="preserve">FT053</t>
        </is>
      </c>
      <c r="B61" s="37" t="n"/>
      <c r="C61" s="6" t="str">
        <f>IF(B61="","",MAX(1,MIN(24,INT((B61-SETTINGS!$B$6)/7)+1)))</f>
      </c>
      <c r="D61" s="31" t="n"/>
      <c r="E61" s="31" t="n"/>
      <c r="F61" s="43" t="n"/>
      <c r="G61" s="43" t="n"/>
      <c r="H61" s="57" t="n">
        <f>IF(OR(F61="",G61=""),0,MAX(0,G61-F61))</f>
        <v>0</v>
      </c>
      <c r="I61" s="45" t="n">
        <f>H61*SETTINGS!$B$32</f>
        <v>0</v>
      </c>
      <c r="J61" s="39" t="n"/>
      <c r="K61" s="45" t="n">
        <f>I61+J61</f>
        <v>0</v>
      </c>
      <c r="L61" s="43" t="n"/>
      <c r="M61" s="43" t="n"/>
      <c r="N61" s="43" t="n"/>
      <c r="O61" s="43" t="n"/>
      <c r="P61" s="31" t="n"/>
      <c r="Q61" s="31" t="n"/>
    </row>
    <row r="62">
      <c r="A62" s="50" t="inlineStr">
        <is>
          <t xml:space="preserve">FT054</t>
        </is>
      </c>
      <c r="B62" s="37" t="n"/>
      <c r="C62" s="5" t="str">
        <f>IF(B62="","",MAX(1,MIN(24,INT((B62-SETTINGS!$B$6)/7)+1)))</f>
      </c>
      <c r="D62" s="31" t="n"/>
      <c r="E62" s="31" t="n"/>
      <c r="F62" s="43" t="n"/>
      <c r="G62" s="43" t="n"/>
      <c r="H62" s="57" t="n">
        <f>IF(OR(F62="",G62=""),0,MAX(0,G62-F62))</f>
        <v>0</v>
      </c>
      <c r="I62" s="45" t="n">
        <f>H62*SETTINGS!$B$32</f>
        <v>0</v>
      </c>
      <c r="J62" s="39" t="n"/>
      <c r="K62" s="45" t="n">
        <f>I62+J62</f>
        <v>0</v>
      </c>
      <c r="L62" s="43" t="n"/>
      <c r="M62" s="43" t="n"/>
      <c r="N62" s="43" t="n"/>
      <c r="O62" s="43" t="n"/>
      <c r="P62" s="31" t="n"/>
      <c r="Q62" s="31" t="n"/>
    </row>
    <row r="63">
      <c r="A63" s="48" t="inlineStr">
        <is>
          <t xml:space="preserve">FT055</t>
        </is>
      </c>
      <c r="B63" s="37" t="n"/>
      <c r="C63" s="6" t="str">
        <f>IF(B63="","",MAX(1,MIN(24,INT((B63-SETTINGS!$B$6)/7)+1)))</f>
      </c>
      <c r="D63" s="31" t="n"/>
      <c r="E63" s="31" t="n"/>
      <c r="F63" s="43" t="n"/>
      <c r="G63" s="43" t="n"/>
      <c r="H63" s="57" t="n">
        <f>IF(OR(F63="",G63=""),0,MAX(0,G63-F63))</f>
        <v>0</v>
      </c>
      <c r="I63" s="45" t="n">
        <f>H63*SETTINGS!$B$32</f>
        <v>0</v>
      </c>
      <c r="J63" s="39" t="n"/>
      <c r="K63" s="45" t="n">
        <f>I63+J63</f>
        <v>0</v>
      </c>
      <c r="L63" s="43" t="n"/>
      <c r="M63" s="43" t="n"/>
      <c r="N63" s="43" t="n"/>
      <c r="O63" s="43" t="n"/>
      <c r="P63" s="31" t="n"/>
      <c r="Q63" s="31" t="n"/>
    </row>
    <row r="64">
      <c r="A64" s="50" t="inlineStr">
        <is>
          <t xml:space="preserve">FT056</t>
        </is>
      </c>
      <c r="B64" s="37" t="n"/>
      <c r="C64" s="5" t="str">
        <f>IF(B64="","",MAX(1,MIN(24,INT((B64-SETTINGS!$B$6)/7)+1)))</f>
      </c>
      <c r="D64" s="31" t="n"/>
      <c r="E64" s="31" t="n"/>
      <c r="F64" s="43" t="n"/>
      <c r="G64" s="43" t="n"/>
      <c r="H64" s="57" t="n">
        <f>IF(OR(F64="",G64=""),0,MAX(0,G64-F64))</f>
        <v>0</v>
      </c>
      <c r="I64" s="45" t="n">
        <f>H64*SETTINGS!$B$32</f>
        <v>0</v>
      </c>
      <c r="J64" s="39" t="n"/>
      <c r="K64" s="45" t="n">
        <f>I64+J64</f>
        <v>0</v>
      </c>
      <c r="L64" s="43" t="n"/>
      <c r="M64" s="43" t="n"/>
      <c r="N64" s="43" t="n"/>
      <c r="O64" s="43" t="n"/>
      <c r="P64" s="31" t="n"/>
      <c r="Q64" s="31" t="n"/>
    </row>
    <row r="65">
      <c r="A65" s="48" t="inlineStr">
        <is>
          <t xml:space="preserve">FT057</t>
        </is>
      </c>
      <c r="B65" s="37" t="n"/>
      <c r="C65" s="6" t="str">
        <f>IF(B65="","",MAX(1,MIN(24,INT((B65-SETTINGS!$B$6)/7)+1)))</f>
      </c>
      <c r="D65" s="31" t="n"/>
      <c r="E65" s="31" t="n"/>
      <c r="F65" s="43" t="n"/>
      <c r="G65" s="43" t="n"/>
      <c r="H65" s="57" t="n">
        <f>IF(OR(F65="",G65=""),0,MAX(0,G65-F65))</f>
        <v>0</v>
      </c>
      <c r="I65" s="45" t="n">
        <f>H65*SETTINGS!$B$32</f>
        <v>0</v>
      </c>
      <c r="J65" s="39" t="n"/>
      <c r="K65" s="45" t="n">
        <f>I65+J65</f>
        <v>0</v>
      </c>
      <c r="L65" s="43" t="n"/>
      <c r="M65" s="43" t="n"/>
      <c r="N65" s="43" t="n"/>
      <c r="O65" s="43" t="n"/>
      <c r="P65" s="31" t="n"/>
      <c r="Q65" s="31" t="n"/>
    </row>
    <row r="66">
      <c r="A66" s="50" t="inlineStr">
        <is>
          <t xml:space="preserve">FT058</t>
        </is>
      </c>
      <c r="B66" s="37" t="n"/>
      <c r="C66" s="5" t="str">
        <f>IF(B66="","",MAX(1,MIN(24,INT((B66-SETTINGS!$B$6)/7)+1)))</f>
      </c>
      <c r="D66" s="31" t="n"/>
      <c r="E66" s="31" t="n"/>
      <c r="F66" s="43" t="n"/>
      <c r="G66" s="43" t="n"/>
      <c r="H66" s="57" t="n">
        <f>IF(OR(F66="",G66=""),0,MAX(0,G66-F66))</f>
        <v>0</v>
      </c>
      <c r="I66" s="45" t="n">
        <f>H66*SETTINGS!$B$32</f>
        <v>0</v>
      </c>
      <c r="J66" s="39" t="n"/>
      <c r="K66" s="45" t="n">
        <f>I66+J66</f>
        <v>0</v>
      </c>
      <c r="L66" s="43" t="n"/>
      <c r="M66" s="43" t="n"/>
      <c r="N66" s="43" t="n"/>
      <c r="O66" s="43" t="n"/>
      <c r="P66" s="31" t="n"/>
      <c r="Q66" s="31" t="n"/>
    </row>
    <row r="67">
      <c r="A67" s="48" t="inlineStr">
        <is>
          <t xml:space="preserve">FT059</t>
        </is>
      </c>
      <c r="B67" s="37" t="n"/>
      <c r="C67" s="6" t="str">
        <f>IF(B67="","",MAX(1,MIN(24,INT((B67-SETTINGS!$B$6)/7)+1)))</f>
      </c>
      <c r="D67" s="31" t="n"/>
      <c r="E67" s="31" t="n"/>
      <c r="F67" s="43" t="n"/>
      <c r="G67" s="43" t="n"/>
      <c r="H67" s="57" t="n">
        <f>IF(OR(F67="",G67=""),0,MAX(0,G67-F67))</f>
        <v>0</v>
      </c>
      <c r="I67" s="45" t="n">
        <f>H67*SETTINGS!$B$32</f>
        <v>0</v>
      </c>
      <c r="J67" s="39" t="n"/>
      <c r="K67" s="45" t="n">
        <f>I67+J67</f>
        <v>0</v>
      </c>
      <c r="L67" s="43" t="n"/>
      <c r="M67" s="43" t="n"/>
      <c r="N67" s="43" t="n"/>
      <c r="O67" s="43" t="n"/>
      <c r="P67" s="31" t="n"/>
      <c r="Q67" s="31" t="n"/>
    </row>
    <row r="68">
      <c r="A68" s="50" t="inlineStr">
        <is>
          <t xml:space="preserve">FT060</t>
        </is>
      </c>
      <c r="B68" s="37" t="n"/>
      <c r="C68" s="5" t="str">
        <f>IF(B68="","",MAX(1,MIN(24,INT((B68-SETTINGS!$B$6)/7)+1)))</f>
      </c>
      <c r="D68" s="31" t="n"/>
      <c r="E68" s="31" t="n"/>
      <c r="F68" s="43" t="n"/>
      <c r="G68" s="43" t="n"/>
      <c r="H68" s="57" t="n">
        <f>IF(OR(F68="",G68=""),0,MAX(0,G68-F68))</f>
        <v>0</v>
      </c>
      <c r="I68" s="45" t="n">
        <f>H68*SETTINGS!$B$32</f>
        <v>0</v>
      </c>
      <c r="J68" s="39" t="n"/>
      <c r="K68" s="45" t="n">
        <f>I68+J68</f>
        <v>0</v>
      </c>
      <c r="L68" s="43" t="n"/>
      <c r="M68" s="43" t="n"/>
      <c r="N68" s="43" t="n"/>
      <c r="O68" s="43" t="n"/>
      <c r="P68" s="31" t="n"/>
      <c r="Q68" s="31" t="n"/>
    </row>
  </sheetData>
  <autoFilter ref="A8:Q68"/>
  <mergeCells>
    <mergeCell ref="I5:L6"/>
    <mergeCell ref="A5:D6"/>
    <mergeCell ref="M5:Q6"/>
    <mergeCell ref="A4:D4"/>
    <mergeCell ref="E4:H4"/>
    <mergeCell ref="I4:L4"/>
    <mergeCell ref="A2:Q2"/>
    <mergeCell ref="E5:H6"/>
    <mergeCell ref="A1:Q1"/>
    <mergeCell ref="M4:Q4"/>
  </mergeCells>
  <dataValidations count="1">
    <dataValidation type="list" allowBlank="1" showDropDown="0" showInputMessage="0" showErrorMessage="0" errorTitle="Invalid value" error="Choose a value from the dropdown." sqref="D9:D68">
      <formula1>"Multipurpose,Camera Verification,Speed-Limit Verification,Content,User Interviews,Partnership Visit,Other"</formula1>
    </dataValidation>
  </dataValidations>
  <pageMargins left="0.7" right="0.7" top="0.75" bottom="0.75" header="0.3" footer="0.3"/>
</worksheet>
</file>

<file path=xl/worksheets/sheet7.xml><?xml version="1.0" encoding="utf-8"?>
<worksheet xmlns="http://schemas.openxmlformats.org/spreadsheetml/2006/main">
  <sheetPr>
    <tabColor rgb="00B91C1C"/>
  </sheetPr>
  <sheetViews>
    <sheetView showGridLines="0" zoomScale="90" workbookViewId="0">
      <pane ySplit="4" topLeftCell="A5" activePane="bottomLeft" state="frozen"/>
      <selection pane="bottomLeft" activeCell="A1" sqref="A1"/>
    </sheetView>
  </sheetViews>
  <sheetFormatPr baseColWidth="8" defaultRowHeight="15"/>
  <cols>
    <col min="1" max="1" width="10" customWidth="1"/>
    <col min="2" max="2" width="14" customWidth="1"/>
    <col min="3" max="3" width="12" customWidth="1"/>
    <col min="4" max="4" width="16" customWidth="1"/>
    <col min="5" max="5" width="48" customWidth="1"/>
    <col min="6" max="6" width="48" customWidth="1"/>
    <col min="7" max="7" width="10" customWidth="1"/>
    <col min="8" max="8" width="14" customWidth="1"/>
    <col min="9" max="9" width="15" customWidth="1"/>
    <col min="10" max="10" width="15" customWidth="1"/>
    <col min="11" max="11" width="44" customWidth="1"/>
  </cols>
  <sheetData>
    <row r="1" ht="30" customHeight="1">
      <c r="A1" s="1" t="inlineStr">
        <is>
          <t xml:space="preserve">TASKS</t>
        </is>
      </c>
    </row>
    <row r="2" ht="34" customHeight="1">
      <c r="A2" s="2" t="inlineStr">
        <is>
          <t xml:space="preserve">One list for product, users, road data, content, growth and admin. Do the highest-impact item first.</t>
        </is>
      </c>
    </row>
    <row r="4" ht="36" customHeight="1">
      <c r="A4" s="41" t="inlineStr">
        <is>
          <t xml:space="preserve">Task ID</t>
        </is>
      </c>
      <c r="B4" s="41" t="inlineStr">
        <is>
          <t xml:space="preserve">Date Added</t>
        </is>
      </c>
      <c r="C4" s="41" t="inlineStr">
        <is>
          <t xml:space="preserve">Target Week</t>
        </is>
      </c>
      <c r="D4" s="41" t="inlineStr">
        <is>
          <t xml:space="preserve">Area</t>
        </is>
      </c>
      <c r="E4" s="41" t="inlineStr">
        <is>
          <t xml:space="preserve">Task / Issue</t>
        </is>
      </c>
      <c r="F4" s="41" t="inlineStr">
        <is>
          <t xml:space="preserve">Why It Matters</t>
        </is>
      </c>
      <c r="G4" s="41" t="inlineStr">
        <is>
          <t xml:space="preserve">Priority</t>
        </is>
      </c>
      <c r="H4" s="41" t="inlineStr">
        <is>
          <t xml:space="preserve">Due Date</t>
        </is>
      </c>
      <c r="I4" s="41" t="inlineStr">
        <is>
          <t xml:space="preserve">Status</t>
        </is>
      </c>
      <c r="J4" s="41" t="inlineStr">
        <is>
          <t xml:space="preserve">Cost Cap KES</t>
        </is>
      </c>
      <c r="K4" s="41" t="inlineStr">
        <is>
          <t xml:space="preserve">Result / Next Action</t>
        </is>
      </c>
    </row>
    <row r="5">
      <c r="A5" s="48" t="inlineStr">
        <is>
          <t xml:space="preserve">T001</t>
        </is>
      </c>
      <c r="B5" s="37" t="n">
        <v>46246</v>
      </c>
      <c r="C5" s="31" t="n">
        <v>1</v>
      </c>
      <c r="D5" s="31" t="inlineStr">
        <is>
          <t xml:space="preserve">Business</t>
        </is>
      </c>
      <c r="E5" s="31" t="inlineStr">
        <is>
          <t xml:space="preserve">Enter current downloads, active paid users and subscription price in SETTINGS</t>
        </is>
      </c>
      <c r="F5" s="31" t="inlineStr">
        <is>
          <t xml:space="preserve">The dashboard is only useful after the live baseline is entered.</t>
        </is>
      </c>
      <c r="G5" s="31" t="inlineStr">
        <is>
          <t xml:space="preserve">P0</t>
        </is>
      </c>
      <c r="H5" s="37" t="n">
        <v>46248</v>
      </c>
      <c r="I5" s="31" t="inlineStr">
        <is>
          <t xml:space="preserve">Not Started</t>
        </is>
      </c>
      <c r="J5" s="39" t="n">
        <v>0</v>
      </c>
      <c r="K5" s="31" t="n"/>
    </row>
    <row r="6">
      <c r="A6" s="50" t="inlineStr">
        <is>
          <t xml:space="preserve">T002</t>
        </is>
      </c>
      <c r="B6" s="37" t="n">
        <v>46246</v>
      </c>
      <c r="C6" s="31" t="n">
        <v>1</v>
      </c>
      <c r="D6" s="31" t="inlineStr">
        <is>
          <t xml:space="preserve">Hosting</t>
        </is>
      </c>
      <c r="E6" s="31" t="inlineStr">
        <is>
          <t xml:space="preserve">Confirm Replit billing date, payment method, uptime and backup/recovery steps</t>
        </is>
      </c>
      <c r="F6" s="31" t="inlineStr">
        <is>
          <t xml:space="preserve">The live app must stay available before any growth spending.</t>
        </is>
      </c>
      <c r="G6" s="31" t="inlineStr">
        <is>
          <t xml:space="preserve">P0</t>
        </is>
      </c>
      <c r="H6" s="37" t="n">
        <v>46248</v>
      </c>
      <c r="I6" s="31" t="inlineStr">
        <is>
          <t xml:space="preserve">Not Started</t>
        </is>
      </c>
      <c r="J6" s="39" t="n">
        <v>2600</v>
      </c>
      <c r="K6" s="31" t="n"/>
    </row>
    <row r="7">
      <c r="A7" s="48" t="inlineStr">
        <is>
          <t xml:space="preserve">T003</t>
        </is>
      </c>
      <c r="B7" s="37" t="n">
        <v>46246</v>
      </c>
      <c r="C7" s="31" t="n">
        <v>1</v>
      </c>
      <c r="D7" s="31" t="inlineStr">
        <is>
          <t xml:space="preserve">Product</t>
        </is>
      </c>
      <c r="E7" s="31" t="inlineStr">
        <is>
          <t xml:space="preserve">Test the full subscription purchase and restore flow on Android and iOS</t>
        </is>
      </c>
      <c r="F7" s="31" t="inlineStr">
        <is>
          <t xml:space="preserve">Revenue is already live; broken payment or restore paths are urgent.</t>
        </is>
      </c>
      <c r="G7" s="31" t="inlineStr">
        <is>
          <t xml:space="preserve">P0</t>
        </is>
      </c>
      <c r="H7" s="37" t="n">
        <v>46250</v>
      </c>
      <c r="I7" s="31" t="inlineStr">
        <is>
          <t xml:space="preserve">Not Started</t>
        </is>
      </c>
      <c r="J7" s="39" t="n">
        <v>0</v>
      </c>
      <c r="K7" s="31" t="n"/>
    </row>
    <row r="8">
      <c r="A8" s="50" t="inlineStr">
        <is>
          <t xml:space="preserve">T004</t>
        </is>
      </c>
      <c r="B8" s="37" t="n">
        <v>46246</v>
      </c>
      <c r="C8" s="31" t="n">
        <v>1</v>
      </c>
      <c r="D8" s="31" t="inlineStr">
        <is>
          <t xml:space="preserve">Analytics</t>
        </is>
      </c>
      <c r="E8" s="31" t="inlineStr">
        <is>
          <t xml:space="preserve">Confirm install, first-value, pay, cancel and renewal events can be measured</t>
        </is>
      </c>
      <c r="F8" s="31" t="inlineStr">
        <is>
          <t xml:space="preserve">You need evidence before paying for ads or creators.</t>
        </is>
      </c>
      <c r="G8" s="31" t="inlineStr">
        <is>
          <t xml:space="preserve">P0</t>
        </is>
      </c>
      <c r="H8" s="37" t="n">
        <v>46252</v>
      </c>
      <c r="I8" s="31" t="inlineStr">
        <is>
          <t xml:space="preserve">Not Started</t>
        </is>
      </c>
      <c r="J8" s="39" t="n">
        <v>0</v>
      </c>
      <c r="K8" s="31" t="n"/>
    </row>
    <row r="9">
      <c r="A9" s="48" t="inlineStr">
        <is>
          <t xml:space="preserve">T005</t>
        </is>
      </c>
      <c r="B9" s="37" t="n">
        <v>46246</v>
      </c>
      <c r="C9" s="31" t="n">
        <v>1</v>
      </c>
      <c r="D9" s="31" t="inlineStr">
        <is>
          <t xml:space="preserve">Social</t>
        </is>
      </c>
      <c r="E9" s="31" t="inlineStr">
        <is>
          <t xml:space="preserve">Create or protect the Msafiri TikTok and Instagram handles and complete the bios</t>
        </is>
      </c>
      <c r="F9" s="31" t="inlineStr">
        <is>
          <t xml:space="preserve">The content plan cannot run until the publishing accounts exist.</t>
        </is>
      </c>
      <c r="G9" s="31" t="inlineStr">
        <is>
          <t xml:space="preserve">P0</t>
        </is>
      </c>
      <c r="H9" s="37" t="n">
        <v>46249</v>
      </c>
      <c r="I9" s="31" t="inlineStr">
        <is>
          <t xml:space="preserve">Not Started</t>
        </is>
      </c>
      <c r="J9" s="39" t="n">
        <v>0</v>
      </c>
      <c r="K9" s="31" t="n"/>
    </row>
    <row r="10">
      <c r="A10" s="50" t="inlineStr">
        <is>
          <t xml:space="preserve">T006</t>
        </is>
      </c>
      <c r="B10" s="37" t="n">
        <v>46246</v>
      </c>
      <c r="C10" s="31" t="n">
        <v>1</v>
      </c>
      <c r="D10" s="31" t="inlineStr">
        <is>
          <t xml:space="preserve">Users</t>
        </is>
      </c>
      <c r="E10" s="31" t="inlineStr">
        <is>
          <t xml:space="preserve">Speak to at least three paying, cancelled or nearly-paying users</t>
        </is>
      </c>
      <c r="F10" s="31" t="inlineStr">
        <is>
          <t xml:space="preserve">Their reasons will guide product, pricing and content.</t>
        </is>
      </c>
      <c r="G10" s="31" t="inlineStr">
        <is>
          <t xml:space="preserve">P0</t>
        </is>
      </c>
      <c r="H10" s="37" t="n">
        <v>46254</v>
      </c>
      <c r="I10" s="31" t="inlineStr">
        <is>
          <t xml:space="preserve">Not Started</t>
        </is>
      </c>
      <c r="J10" s="39" t="n">
        <v>0</v>
      </c>
      <c r="K10" s="31" t="n"/>
    </row>
    <row r="11">
      <c r="A11" s="48" t="inlineStr">
        <is>
          <t xml:space="preserve">T007</t>
        </is>
      </c>
      <c r="B11" s="37" t="n">
        <v>46246</v>
      </c>
      <c r="C11" s="31" t="n">
        <v>1</v>
      </c>
      <c r="D11" s="31" t="inlineStr">
        <is>
          <t xml:space="preserve">Field Data</t>
        </is>
      </c>
      <c r="E11" s="31" t="inlineStr">
        <is>
          <t xml:space="preserve">Plan and complete one multipurpose route for verification and content</t>
        </is>
      </c>
      <c r="F11" s="31" t="inlineStr">
        <is>
          <t xml:space="preserve">One trip should create evidence, clips and product learning.</t>
        </is>
      </c>
      <c r="G11" s="31" t="inlineStr">
        <is>
          <t xml:space="preserve">P1</t>
        </is>
      </c>
      <c r="H11" s="37" t="n">
        <v>46254</v>
      </c>
      <c r="I11" s="31" t="inlineStr">
        <is>
          <t xml:space="preserve">Not Started</t>
        </is>
      </c>
      <c r="J11" s="39" t="n">
        <v>2500</v>
      </c>
      <c r="K11" s="31" t="n"/>
    </row>
    <row r="12">
      <c r="A12" s="50" t="inlineStr">
        <is>
          <t xml:space="preserve">T008</t>
        </is>
      </c>
      <c r="B12" s="37" t="n">
        <v>46246</v>
      </c>
      <c r="C12" s="31" t="n">
        <v>1</v>
      </c>
      <c r="D12" s="31" t="inlineStr">
        <is>
          <t xml:space="preserve">Content</t>
        </is>
      </c>
      <c r="E12" s="31" t="inlineStr">
        <is>
          <t xml:space="preserve">Prepare and publish the first four core posts</t>
        </is>
      </c>
      <c r="F12" s="31" t="inlineStr">
        <is>
          <t xml:space="preserve">Consistent organic proof comes before scaled paid acquisition.</t>
        </is>
      </c>
      <c r="G12" s="31" t="inlineStr">
        <is>
          <t xml:space="preserve">P1</t>
        </is>
      </c>
      <c r="H12" s="37" t="n">
        <v>46257</v>
      </c>
      <c r="I12" s="31" t="inlineStr">
        <is>
          <t xml:space="preserve">Not Started</t>
        </is>
      </c>
      <c r="J12" s="39" t="n">
        <v>750</v>
      </c>
      <c r="K12" s="31" t="n"/>
    </row>
    <row r="13">
      <c r="A13" s="48" t="inlineStr">
        <is>
          <t xml:space="preserve">T009</t>
        </is>
      </c>
      <c r="B13" s="37" t="n">
        <v>46246</v>
      </c>
      <c r="C13" s="31" t="n">
        <v>2</v>
      </c>
      <c r="D13" s="31" t="inlineStr">
        <is>
          <t xml:space="preserve">Product</t>
        </is>
      </c>
      <c r="E13" s="31" t="inlineStr">
        <is>
          <t xml:space="preserve">Fix the single highest-impact live-user problem found in Week 1</t>
        </is>
      </c>
      <c r="F13" s="31" t="inlineStr">
        <is>
          <t xml:space="preserve">One meaningful fix is better than many low-priority features.</t>
        </is>
      </c>
      <c r="G13" s="31" t="inlineStr">
        <is>
          <t xml:space="preserve">P0</t>
        </is>
      </c>
      <c r="H13" s="37" t="n">
        <v>46261</v>
      </c>
      <c r="I13" s="31" t="inlineStr">
        <is>
          <t xml:space="preserve">Not Started</t>
        </is>
      </c>
      <c r="J13" s="39" t="n">
        <v>750</v>
      </c>
      <c r="K13" s="31" t="n"/>
    </row>
    <row r="14">
      <c r="A14" s="50" t="inlineStr">
        <is>
          <t xml:space="preserve">T010</t>
        </is>
      </c>
      <c r="B14" s="37" t="n">
        <v>46246</v>
      </c>
      <c r="C14" s="31" t="n">
        <v>2</v>
      </c>
      <c r="D14" s="31" t="inlineStr">
        <is>
          <t xml:space="preserve">Revenue</t>
        </is>
      </c>
      <c r="E14" s="31" t="inlineStr">
        <is>
          <t xml:space="preserve">Reconcile gross sales, store fees, refunds and actual cash received</t>
        </is>
      </c>
      <c r="F14" s="31" t="inlineStr">
        <is>
          <t xml:space="preserve">Sales and cash payout timing are not the same.</t>
        </is>
      </c>
      <c r="G14" s="31" t="inlineStr">
        <is>
          <t xml:space="preserve">P0</t>
        </is>
      </c>
      <c r="H14" s="37" t="n">
        <v>46262</v>
      </c>
      <c r="I14" s="31" t="inlineStr">
        <is>
          <t xml:space="preserve">Not Started</t>
        </is>
      </c>
      <c r="J14" s="39" t="n">
        <v>0</v>
      </c>
      <c r="K14" s="31" t="n"/>
    </row>
    <row r="15">
      <c r="A15" s="48" t="inlineStr">
        <is>
          <t xml:space="preserve">T011</t>
        </is>
      </c>
      <c r="B15" s="37" t="n">
        <v>46246</v>
      </c>
      <c r="C15" s="31" t="n">
        <v>2</v>
      </c>
      <c r="D15" s="31" t="inlineStr">
        <is>
          <t xml:space="preserve">Support</t>
        </is>
      </c>
      <c r="E15" s="31" t="inlineStr">
        <is>
          <t xml:space="preserve">Make sure users can easily reach support and report incorrect road data</t>
        </is>
      </c>
      <c r="F15" s="31" t="inlineStr">
        <is>
          <t xml:space="preserve">Fast feedback and corrections build trust.</t>
        </is>
      </c>
      <c r="G15" s="31" t="inlineStr">
        <is>
          <t xml:space="preserve">P1</t>
        </is>
      </c>
      <c r="H15" s="37" t="n">
        <v>46262</v>
      </c>
      <c r="I15" s="31" t="inlineStr">
        <is>
          <t xml:space="preserve">Not Started</t>
        </is>
      </c>
      <c r="J15" s="39" t="n">
        <v>400</v>
      </c>
      <c r="K15" s="31" t="n"/>
    </row>
    <row r="16">
      <c r="A16" s="50" t="inlineStr">
        <is>
          <t xml:space="preserve">T012</t>
        </is>
      </c>
      <c r="B16" s="37" t="n">
        <v>46246</v>
      </c>
      <c r="C16" s="31" t="n">
        <v>3</v>
      </c>
      <c r="D16" s="31" t="inlineStr">
        <is>
          <t xml:space="preserve">Growth</t>
        </is>
      </c>
      <c r="E16" s="31" t="inlineStr">
        <is>
          <t xml:space="preserve">Run one measurable organic growth experiment with a clear success metric</t>
        </is>
      </c>
      <c r="F16" s="31" t="inlineStr">
        <is>
          <t xml:space="preserve">Learn before spending on ads or micro-influencers.</t>
        </is>
      </c>
      <c r="G16" s="31" t="inlineStr">
        <is>
          <t xml:space="preserve">P1</t>
        </is>
      </c>
      <c r="H16" s="37" t="n">
        <v>46269</v>
      </c>
      <c r="I16" s="31" t="inlineStr">
        <is>
          <t xml:space="preserve">Not Started</t>
        </is>
      </c>
      <c r="J16" s="39" t="n">
        <v>0</v>
      </c>
      <c r="K16" s="31" t="n"/>
    </row>
    <row r="17">
      <c r="A17" s="48" t="inlineStr">
        <is>
          <t xml:space="preserve">T013</t>
        </is>
      </c>
      <c r="B17" s="37" t="n"/>
      <c r="C17" s="31" t="n"/>
      <c r="D17" s="31" t="n"/>
      <c r="E17" s="31" t="n"/>
      <c r="F17" s="31" t="n"/>
      <c r="G17" s="31" t="n"/>
      <c r="H17" s="37" t="n"/>
      <c r="I17" s="31" t="n"/>
      <c r="J17" s="39" t="n"/>
      <c r="K17" s="31" t="n"/>
    </row>
    <row r="18">
      <c r="A18" s="50" t="inlineStr">
        <is>
          <t xml:space="preserve">T014</t>
        </is>
      </c>
      <c r="B18" s="37" t="n"/>
      <c r="C18" s="31" t="n"/>
      <c r="D18" s="31" t="n"/>
      <c r="E18" s="31" t="n"/>
      <c r="F18" s="31" t="n"/>
      <c r="G18" s="31" t="n"/>
      <c r="H18" s="37" t="n"/>
      <c r="I18" s="31" t="n"/>
      <c r="J18" s="39" t="n"/>
      <c r="K18" s="31" t="n"/>
    </row>
    <row r="19">
      <c r="A19" s="48" t="inlineStr">
        <is>
          <t xml:space="preserve">T015</t>
        </is>
      </c>
      <c r="B19" s="37" t="n"/>
      <c r="C19" s="31" t="n"/>
      <c r="D19" s="31" t="n"/>
      <c r="E19" s="31" t="n"/>
      <c r="F19" s="31" t="n"/>
      <c r="G19" s="31" t="n"/>
      <c r="H19" s="37" t="n"/>
      <c r="I19" s="31" t="n"/>
      <c r="J19" s="39" t="n"/>
      <c r="K19" s="31" t="n"/>
    </row>
    <row r="20">
      <c r="A20" s="50" t="inlineStr">
        <is>
          <t xml:space="preserve">T016</t>
        </is>
      </c>
      <c r="B20" s="37" t="n"/>
      <c r="C20" s="31" t="n"/>
      <c r="D20" s="31" t="n"/>
      <c r="E20" s="31" t="n"/>
      <c r="F20" s="31" t="n"/>
      <c r="G20" s="31" t="n"/>
      <c r="H20" s="37" t="n"/>
      <c r="I20" s="31" t="n"/>
      <c r="J20" s="39" t="n"/>
      <c r="K20" s="31" t="n"/>
    </row>
    <row r="21">
      <c r="A21" s="48" t="inlineStr">
        <is>
          <t xml:space="preserve">T017</t>
        </is>
      </c>
      <c r="B21" s="37" t="n"/>
      <c r="C21" s="31" t="n"/>
      <c r="D21" s="31" t="n"/>
      <c r="E21" s="31" t="n"/>
      <c r="F21" s="31" t="n"/>
      <c r="G21" s="31" t="n"/>
      <c r="H21" s="37" t="n"/>
      <c r="I21" s="31" t="n"/>
      <c r="J21" s="39" t="n"/>
      <c r="K21" s="31" t="n"/>
    </row>
    <row r="22">
      <c r="A22" s="50" t="inlineStr">
        <is>
          <t xml:space="preserve">T018</t>
        </is>
      </c>
      <c r="B22" s="37" t="n"/>
      <c r="C22" s="31" t="n"/>
      <c r="D22" s="31" t="n"/>
      <c r="E22" s="31" t="n"/>
      <c r="F22" s="31" t="n"/>
      <c r="G22" s="31" t="n"/>
      <c r="H22" s="37" t="n"/>
      <c r="I22" s="31" t="n"/>
      <c r="J22" s="39" t="n"/>
      <c r="K22" s="31" t="n"/>
    </row>
    <row r="23">
      <c r="A23" s="48" t="inlineStr">
        <is>
          <t xml:space="preserve">T019</t>
        </is>
      </c>
      <c r="B23" s="37" t="n"/>
      <c r="C23" s="31" t="n"/>
      <c r="D23" s="31" t="n"/>
      <c r="E23" s="31" t="n"/>
      <c r="F23" s="31" t="n"/>
      <c r="G23" s="31" t="n"/>
      <c r="H23" s="37" t="n"/>
      <c r="I23" s="31" t="n"/>
      <c r="J23" s="39" t="n"/>
      <c r="K23" s="31" t="n"/>
    </row>
    <row r="24">
      <c r="A24" s="50" t="inlineStr">
        <is>
          <t xml:space="preserve">T020</t>
        </is>
      </c>
      <c r="B24" s="37" t="n"/>
      <c r="C24" s="31" t="n"/>
      <c r="D24" s="31" t="n"/>
      <c r="E24" s="31" t="n"/>
      <c r="F24" s="31" t="n"/>
      <c r="G24" s="31" t="n"/>
      <c r="H24" s="37" t="n"/>
      <c r="I24" s="31" t="n"/>
      <c r="J24" s="39" t="n"/>
      <c r="K24" s="31" t="n"/>
    </row>
    <row r="25">
      <c r="A25" s="48" t="inlineStr">
        <is>
          <t xml:space="preserve">T021</t>
        </is>
      </c>
      <c r="B25" s="37" t="n"/>
      <c r="C25" s="31" t="n"/>
      <c r="D25" s="31" t="n"/>
      <c r="E25" s="31" t="n"/>
      <c r="F25" s="31" t="n"/>
      <c r="G25" s="31" t="n"/>
      <c r="H25" s="37" t="n"/>
      <c r="I25" s="31" t="n"/>
      <c r="J25" s="39" t="n"/>
      <c r="K25" s="31" t="n"/>
    </row>
    <row r="26">
      <c r="A26" s="50" t="inlineStr">
        <is>
          <t xml:space="preserve">T022</t>
        </is>
      </c>
      <c r="B26" s="37" t="n"/>
      <c r="C26" s="31" t="n"/>
      <c r="D26" s="31" t="n"/>
      <c r="E26" s="31" t="n"/>
      <c r="F26" s="31" t="n"/>
      <c r="G26" s="31" t="n"/>
      <c r="H26" s="37" t="n"/>
      <c r="I26" s="31" t="n"/>
      <c r="J26" s="39" t="n"/>
      <c r="K26" s="31" t="n"/>
    </row>
    <row r="27">
      <c r="A27" s="48" t="inlineStr">
        <is>
          <t xml:space="preserve">T023</t>
        </is>
      </c>
      <c r="B27" s="37" t="n"/>
      <c r="C27" s="31" t="n"/>
      <c r="D27" s="31" t="n"/>
      <c r="E27" s="31" t="n"/>
      <c r="F27" s="31" t="n"/>
      <c r="G27" s="31" t="n"/>
      <c r="H27" s="37" t="n"/>
      <c r="I27" s="31" t="n"/>
      <c r="J27" s="39" t="n"/>
      <c r="K27" s="31" t="n"/>
    </row>
    <row r="28">
      <c r="A28" s="50" t="inlineStr">
        <is>
          <t xml:space="preserve">T024</t>
        </is>
      </c>
      <c r="B28" s="37" t="n"/>
      <c r="C28" s="31" t="n"/>
      <c r="D28" s="31" t="n"/>
      <c r="E28" s="31" t="n"/>
      <c r="F28" s="31" t="n"/>
      <c r="G28" s="31" t="n"/>
      <c r="H28" s="37" t="n"/>
      <c r="I28" s="31" t="n"/>
      <c r="J28" s="39" t="n"/>
      <c r="K28" s="31" t="n"/>
    </row>
    <row r="29">
      <c r="A29" s="48" t="inlineStr">
        <is>
          <t xml:space="preserve">T025</t>
        </is>
      </c>
      <c r="B29" s="37" t="n"/>
      <c r="C29" s="31" t="n"/>
      <c r="D29" s="31" t="n"/>
      <c r="E29" s="31" t="n"/>
      <c r="F29" s="31" t="n"/>
      <c r="G29" s="31" t="n"/>
      <c r="H29" s="37" t="n"/>
      <c r="I29" s="31" t="n"/>
      <c r="J29" s="39" t="n"/>
      <c r="K29" s="31" t="n"/>
    </row>
    <row r="30">
      <c r="A30" s="50" t="inlineStr">
        <is>
          <t xml:space="preserve">T026</t>
        </is>
      </c>
      <c r="B30" s="37" t="n"/>
      <c r="C30" s="31" t="n"/>
      <c r="D30" s="31" t="n"/>
      <c r="E30" s="31" t="n"/>
      <c r="F30" s="31" t="n"/>
      <c r="G30" s="31" t="n"/>
      <c r="H30" s="37" t="n"/>
      <c r="I30" s="31" t="n"/>
      <c r="J30" s="39" t="n"/>
      <c r="K30" s="31" t="n"/>
    </row>
    <row r="31">
      <c r="A31" s="48" t="inlineStr">
        <is>
          <t xml:space="preserve">T027</t>
        </is>
      </c>
      <c r="B31" s="37" t="n"/>
      <c r="C31" s="31" t="n"/>
      <c r="D31" s="31" t="n"/>
      <c r="E31" s="31" t="n"/>
      <c r="F31" s="31" t="n"/>
      <c r="G31" s="31" t="n"/>
      <c r="H31" s="37" t="n"/>
      <c r="I31" s="31" t="n"/>
      <c r="J31" s="39" t="n"/>
      <c r="K31" s="31" t="n"/>
    </row>
    <row r="32">
      <c r="A32" s="50" t="inlineStr">
        <is>
          <t xml:space="preserve">T028</t>
        </is>
      </c>
      <c r="B32" s="37" t="n"/>
      <c r="C32" s="31" t="n"/>
      <c r="D32" s="31" t="n"/>
      <c r="E32" s="31" t="n"/>
      <c r="F32" s="31" t="n"/>
      <c r="G32" s="31" t="n"/>
      <c r="H32" s="37" t="n"/>
      <c r="I32" s="31" t="n"/>
      <c r="J32" s="39" t="n"/>
      <c r="K32" s="31" t="n"/>
    </row>
    <row r="33">
      <c r="A33" s="48" t="inlineStr">
        <is>
          <t xml:space="preserve">T029</t>
        </is>
      </c>
      <c r="B33" s="37" t="n"/>
      <c r="C33" s="31" t="n"/>
      <c r="D33" s="31" t="n"/>
      <c r="E33" s="31" t="n"/>
      <c r="F33" s="31" t="n"/>
      <c r="G33" s="31" t="n"/>
      <c r="H33" s="37" t="n"/>
      <c r="I33" s="31" t="n"/>
      <c r="J33" s="39" t="n"/>
      <c r="K33" s="31" t="n"/>
    </row>
    <row r="34">
      <c r="A34" s="50" t="inlineStr">
        <is>
          <t xml:space="preserve">T030</t>
        </is>
      </c>
      <c r="B34" s="37" t="n"/>
      <c r="C34" s="31" t="n"/>
      <c r="D34" s="31" t="n"/>
      <c r="E34" s="31" t="n"/>
      <c r="F34" s="31" t="n"/>
      <c r="G34" s="31" t="n"/>
      <c r="H34" s="37" t="n"/>
      <c r="I34" s="31" t="n"/>
      <c r="J34" s="39" t="n"/>
      <c r="K34" s="31" t="n"/>
    </row>
    <row r="35">
      <c r="A35" s="48" t="inlineStr">
        <is>
          <t xml:space="preserve">T031</t>
        </is>
      </c>
      <c r="B35" s="37" t="n"/>
      <c r="C35" s="31" t="n"/>
      <c r="D35" s="31" t="n"/>
      <c r="E35" s="31" t="n"/>
      <c r="F35" s="31" t="n"/>
      <c r="G35" s="31" t="n"/>
      <c r="H35" s="37" t="n"/>
      <c r="I35" s="31" t="n"/>
      <c r="J35" s="39" t="n"/>
      <c r="K35" s="31" t="n"/>
    </row>
    <row r="36">
      <c r="A36" s="50" t="inlineStr">
        <is>
          <t xml:space="preserve">T032</t>
        </is>
      </c>
      <c r="B36" s="37" t="n"/>
      <c r="C36" s="31" t="n"/>
      <c r="D36" s="31" t="n"/>
      <c r="E36" s="31" t="n"/>
      <c r="F36" s="31" t="n"/>
      <c r="G36" s="31" t="n"/>
      <c r="H36" s="37" t="n"/>
      <c r="I36" s="31" t="n"/>
      <c r="J36" s="39" t="n"/>
      <c r="K36" s="31" t="n"/>
    </row>
    <row r="37">
      <c r="A37" s="48" t="inlineStr">
        <is>
          <t xml:space="preserve">T033</t>
        </is>
      </c>
      <c r="B37" s="37" t="n"/>
      <c r="C37" s="31" t="n"/>
      <c r="D37" s="31" t="n"/>
      <c r="E37" s="31" t="n"/>
      <c r="F37" s="31" t="n"/>
      <c r="G37" s="31" t="n"/>
      <c r="H37" s="37" t="n"/>
      <c r="I37" s="31" t="n"/>
      <c r="J37" s="39" t="n"/>
      <c r="K37" s="31" t="n"/>
    </row>
    <row r="38">
      <c r="A38" s="50" t="inlineStr">
        <is>
          <t xml:space="preserve">T034</t>
        </is>
      </c>
      <c r="B38" s="37" t="n"/>
      <c r="C38" s="31" t="n"/>
      <c r="D38" s="31" t="n"/>
      <c r="E38" s="31" t="n"/>
      <c r="F38" s="31" t="n"/>
      <c r="G38" s="31" t="n"/>
      <c r="H38" s="37" t="n"/>
      <c r="I38" s="31" t="n"/>
      <c r="J38" s="39" t="n"/>
      <c r="K38" s="31" t="n"/>
    </row>
    <row r="39">
      <c r="A39" s="48" t="inlineStr">
        <is>
          <t xml:space="preserve">T035</t>
        </is>
      </c>
      <c r="B39" s="37" t="n"/>
      <c r="C39" s="31" t="n"/>
      <c r="D39" s="31" t="n"/>
      <c r="E39" s="31" t="n"/>
      <c r="F39" s="31" t="n"/>
      <c r="G39" s="31" t="n"/>
      <c r="H39" s="37" t="n"/>
      <c r="I39" s="31" t="n"/>
      <c r="J39" s="39" t="n"/>
      <c r="K39" s="31" t="n"/>
    </row>
    <row r="40">
      <c r="A40" s="50" t="inlineStr">
        <is>
          <t xml:space="preserve">T036</t>
        </is>
      </c>
      <c r="B40" s="37" t="n"/>
      <c r="C40" s="31" t="n"/>
      <c r="D40" s="31" t="n"/>
      <c r="E40" s="31" t="n"/>
      <c r="F40" s="31" t="n"/>
      <c r="G40" s="31" t="n"/>
      <c r="H40" s="37" t="n"/>
      <c r="I40" s="31" t="n"/>
      <c r="J40" s="39" t="n"/>
      <c r="K40" s="31" t="n"/>
    </row>
    <row r="41">
      <c r="A41" s="48" t="inlineStr">
        <is>
          <t xml:space="preserve">T037</t>
        </is>
      </c>
      <c r="B41" s="37" t="n"/>
      <c r="C41" s="31" t="n"/>
      <c r="D41" s="31" t="n"/>
      <c r="E41" s="31" t="n"/>
      <c r="F41" s="31" t="n"/>
      <c r="G41" s="31" t="n"/>
      <c r="H41" s="37" t="n"/>
      <c r="I41" s="31" t="n"/>
      <c r="J41" s="39" t="n"/>
      <c r="K41" s="31" t="n"/>
    </row>
    <row r="42">
      <c r="A42" s="50" t="inlineStr">
        <is>
          <t xml:space="preserve">T038</t>
        </is>
      </c>
      <c r="B42" s="37" t="n"/>
      <c r="C42" s="31" t="n"/>
      <c r="D42" s="31" t="n"/>
      <c r="E42" s="31" t="n"/>
      <c r="F42" s="31" t="n"/>
      <c r="G42" s="31" t="n"/>
      <c r="H42" s="37" t="n"/>
      <c r="I42" s="31" t="n"/>
      <c r="J42" s="39" t="n"/>
      <c r="K42" s="31" t="n"/>
    </row>
    <row r="43">
      <c r="A43" s="48" t="inlineStr">
        <is>
          <t xml:space="preserve">T039</t>
        </is>
      </c>
      <c r="B43" s="37" t="n"/>
      <c r="C43" s="31" t="n"/>
      <c r="D43" s="31" t="n"/>
      <c r="E43" s="31" t="n"/>
      <c r="F43" s="31" t="n"/>
      <c r="G43" s="31" t="n"/>
      <c r="H43" s="37" t="n"/>
      <c r="I43" s="31" t="n"/>
      <c r="J43" s="39" t="n"/>
      <c r="K43" s="31" t="n"/>
    </row>
    <row r="44">
      <c r="A44" s="50" t="inlineStr">
        <is>
          <t xml:space="preserve">T040</t>
        </is>
      </c>
      <c r="B44" s="37" t="n"/>
      <c r="C44" s="31" t="n"/>
      <c r="D44" s="31" t="n"/>
      <c r="E44" s="31" t="n"/>
      <c r="F44" s="31" t="n"/>
      <c r="G44" s="31" t="n"/>
      <c r="H44" s="37" t="n"/>
      <c r="I44" s="31" t="n"/>
      <c r="J44" s="39" t="n"/>
      <c r="K44" s="31" t="n"/>
    </row>
    <row r="45">
      <c r="A45" s="48" t="inlineStr">
        <is>
          <t xml:space="preserve">T041</t>
        </is>
      </c>
      <c r="B45" s="37" t="n"/>
      <c r="C45" s="31" t="n"/>
      <c r="D45" s="31" t="n"/>
      <c r="E45" s="31" t="n"/>
      <c r="F45" s="31" t="n"/>
      <c r="G45" s="31" t="n"/>
      <c r="H45" s="37" t="n"/>
      <c r="I45" s="31" t="n"/>
      <c r="J45" s="39" t="n"/>
      <c r="K45" s="31" t="n"/>
    </row>
    <row r="46">
      <c r="A46" s="50" t="inlineStr">
        <is>
          <t xml:space="preserve">T042</t>
        </is>
      </c>
      <c r="B46" s="37" t="n"/>
      <c r="C46" s="31" t="n"/>
      <c r="D46" s="31" t="n"/>
      <c r="E46" s="31" t="n"/>
      <c r="F46" s="31" t="n"/>
      <c r="G46" s="31" t="n"/>
      <c r="H46" s="37" t="n"/>
      <c r="I46" s="31" t="n"/>
      <c r="J46" s="39" t="n"/>
      <c r="K46" s="31" t="n"/>
    </row>
    <row r="47">
      <c r="A47" s="48" t="inlineStr">
        <is>
          <t xml:space="preserve">T043</t>
        </is>
      </c>
      <c r="B47" s="37" t="n"/>
      <c r="C47" s="31" t="n"/>
      <c r="D47" s="31" t="n"/>
      <c r="E47" s="31" t="n"/>
      <c r="F47" s="31" t="n"/>
      <c r="G47" s="31" t="n"/>
      <c r="H47" s="37" t="n"/>
      <c r="I47" s="31" t="n"/>
      <c r="J47" s="39" t="n"/>
      <c r="K47" s="31" t="n"/>
    </row>
    <row r="48">
      <c r="A48" s="50" t="inlineStr">
        <is>
          <t xml:space="preserve">T044</t>
        </is>
      </c>
      <c r="B48" s="37" t="n"/>
      <c r="C48" s="31" t="n"/>
      <c r="D48" s="31" t="n"/>
      <c r="E48" s="31" t="n"/>
      <c r="F48" s="31" t="n"/>
      <c r="G48" s="31" t="n"/>
      <c r="H48" s="37" t="n"/>
      <c r="I48" s="31" t="n"/>
      <c r="J48" s="39" t="n"/>
      <c r="K48" s="31" t="n"/>
    </row>
    <row r="49">
      <c r="A49" s="48" t="inlineStr">
        <is>
          <t xml:space="preserve">T045</t>
        </is>
      </c>
      <c r="B49" s="37" t="n"/>
      <c r="C49" s="31" t="n"/>
      <c r="D49" s="31" t="n"/>
      <c r="E49" s="31" t="n"/>
      <c r="F49" s="31" t="n"/>
      <c r="G49" s="31" t="n"/>
      <c r="H49" s="37" t="n"/>
      <c r="I49" s="31" t="n"/>
      <c r="J49" s="39" t="n"/>
      <c r="K49" s="31" t="n"/>
    </row>
    <row r="50">
      <c r="A50" s="50" t="inlineStr">
        <is>
          <t xml:space="preserve">T046</t>
        </is>
      </c>
      <c r="B50" s="37" t="n"/>
      <c r="C50" s="31" t="n"/>
      <c r="D50" s="31" t="n"/>
      <c r="E50" s="31" t="n"/>
      <c r="F50" s="31" t="n"/>
      <c r="G50" s="31" t="n"/>
      <c r="H50" s="37" t="n"/>
      <c r="I50" s="31" t="n"/>
      <c r="J50" s="39" t="n"/>
      <c r="K50" s="31" t="n"/>
    </row>
    <row r="51">
      <c r="A51" s="48" t="inlineStr">
        <is>
          <t xml:space="preserve">T047</t>
        </is>
      </c>
      <c r="B51" s="37" t="n"/>
      <c r="C51" s="31" t="n"/>
      <c r="D51" s="31" t="n"/>
      <c r="E51" s="31" t="n"/>
      <c r="F51" s="31" t="n"/>
      <c r="G51" s="31" t="n"/>
      <c r="H51" s="37" t="n"/>
      <c r="I51" s="31" t="n"/>
      <c r="J51" s="39" t="n"/>
      <c r="K51" s="31" t="n"/>
    </row>
    <row r="52">
      <c r="A52" s="50" t="inlineStr">
        <is>
          <t xml:space="preserve">T048</t>
        </is>
      </c>
      <c r="B52" s="37" t="n"/>
      <c r="C52" s="31" t="n"/>
      <c r="D52" s="31" t="n"/>
      <c r="E52" s="31" t="n"/>
      <c r="F52" s="31" t="n"/>
      <c r="G52" s="31" t="n"/>
      <c r="H52" s="37" t="n"/>
      <c r="I52" s="31" t="n"/>
      <c r="J52" s="39" t="n"/>
      <c r="K52" s="31" t="n"/>
    </row>
    <row r="53">
      <c r="A53" s="48" t="inlineStr">
        <is>
          <t xml:space="preserve">T049</t>
        </is>
      </c>
      <c r="B53" s="37" t="n"/>
      <c r="C53" s="31" t="n"/>
      <c r="D53" s="31" t="n"/>
      <c r="E53" s="31" t="n"/>
      <c r="F53" s="31" t="n"/>
      <c r="G53" s="31" t="n"/>
      <c r="H53" s="37" t="n"/>
      <c r="I53" s="31" t="n"/>
      <c r="J53" s="39" t="n"/>
      <c r="K53" s="31" t="n"/>
    </row>
    <row r="54">
      <c r="A54" s="50" t="inlineStr">
        <is>
          <t xml:space="preserve">T050</t>
        </is>
      </c>
      <c r="B54" s="37" t="n"/>
      <c r="C54" s="31" t="n"/>
      <c r="D54" s="31" t="n"/>
      <c r="E54" s="31" t="n"/>
      <c r="F54" s="31" t="n"/>
      <c r="G54" s="31" t="n"/>
      <c r="H54" s="37" t="n"/>
      <c r="I54" s="31" t="n"/>
      <c r="J54" s="39" t="n"/>
      <c r="K54" s="31" t="n"/>
    </row>
    <row r="55">
      <c r="A55" s="48" t="inlineStr">
        <is>
          <t xml:space="preserve">T051</t>
        </is>
      </c>
      <c r="B55" s="37" t="n"/>
      <c r="C55" s="31" t="n"/>
      <c r="D55" s="31" t="n"/>
      <c r="E55" s="31" t="n"/>
      <c r="F55" s="31" t="n"/>
      <c r="G55" s="31" t="n"/>
      <c r="H55" s="37" t="n"/>
      <c r="I55" s="31" t="n"/>
      <c r="J55" s="39" t="n"/>
      <c r="K55" s="31" t="n"/>
    </row>
    <row r="56">
      <c r="A56" s="50" t="inlineStr">
        <is>
          <t xml:space="preserve">T052</t>
        </is>
      </c>
      <c r="B56" s="37" t="n"/>
      <c r="C56" s="31" t="n"/>
      <c r="D56" s="31" t="n"/>
      <c r="E56" s="31" t="n"/>
      <c r="F56" s="31" t="n"/>
      <c r="G56" s="31" t="n"/>
      <c r="H56" s="37" t="n"/>
      <c r="I56" s="31" t="n"/>
      <c r="J56" s="39" t="n"/>
      <c r="K56" s="31" t="n"/>
    </row>
    <row r="57">
      <c r="A57" s="48" t="inlineStr">
        <is>
          <t xml:space="preserve">T053</t>
        </is>
      </c>
      <c r="B57" s="37" t="n"/>
      <c r="C57" s="31" t="n"/>
      <c r="D57" s="31" t="n"/>
      <c r="E57" s="31" t="n"/>
      <c r="F57" s="31" t="n"/>
      <c r="G57" s="31" t="n"/>
      <c r="H57" s="37" t="n"/>
      <c r="I57" s="31" t="n"/>
      <c r="J57" s="39" t="n"/>
      <c r="K57" s="31" t="n"/>
    </row>
    <row r="58">
      <c r="A58" s="50" t="inlineStr">
        <is>
          <t xml:space="preserve">T054</t>
        </is>
      </c>
      <c r="B58" s="37" t="n"/>
      <c r="C58" s="31" t="n"/>
      <c r="D58" s="31" t="n"/>
      <c r="E58" s="31" t="n"/>
      <c r="F58" s="31" t="n"/>
      <c r="G58" s="31" t="n"/>
      <c r="H58" s="37" t="n"/>
      <c r="I58" s="31" t="n"/>
      <c r="J58" s="39" t="n"/>
      <c r="K58" s="31" t="n"/>
    </row>
    <row r="59">
      <c r="A59" s="48" t="inlineStr">
        <is>
          <t xml:space="preserve">T055</t>
        </is>
      </c>
      <c r="B59" s="37" t="n"/>
      <c r="C59" s="31" t="n"/>
      <c r="D59" s="31" t="n"/>
      <c r="E59" s="31" t="n"/>
      <c r="F59" s="31" t="n"/>
      <c r="G59" s="31" t="n"/>
      <c r="H59" s="37" t="n"/>
      <c r="I59" s="31" t="n"/>
      <c r="J59" s="39" t="n"/>
      <c r="K59" s="31" t="n"/>
    </row>
    <row r="60">
      <c r="A60" s="50" t="inlineStr">
        <is>
          <t xml:space="preserve">T056</t>
        </is>
      </c>
      <c r="B60" s="37" t="n"/>
      <c r="C60" s="31" t="n"/>
      <c r="D60" s="31" t="n"/>
      <c r="E60" s="31" t="n"/>
      <c r="F60" s="31" t="n"/>
      <c r="G60" s="31" t="n"/>
      <c r="H60" s="37" t="n"/>
      <c r="I60" s="31" t="n"/>
      <c r="J60" s="39" t="n"/>
      <c r="K60" s="31" t="n"/>
    </row>
    <row r="61">
      <c r="A61" s="48" t="inlineStr">
        <is>
          <t xml:space="preserve">T057</t>
        </is>
      </c>
      <c r="B61" s="37" t="n"/>
      <c r="C61" s="31" t="n"/>
      <c r="D61" s="31" t="n"/>
      <c r="E61" s="31" t="n"/>
      <c r="F61" s="31" t="n"/>
      <c r="G61" s="31" t="n"/>
      <c r="H61" s="37" t="n"/>
      <c r="I61" s="31" t="n"/>
      <c r="J61" s="39" t="n"/>
      <c r="K61" s="31" t="n"/>
    </row>
    <row r="62">
      <c r="A62" s="50" t="inlineStr">
        <is>
          <t xml:space="preserve">T058</t>
        </is>
      </c>
      <c r="B62" s="37" t="n"/>
      <c r="C62" s="31" t="n"/>
      <c r="D62" s="31" t="n"/>
      <c r="E62" s="31" t="n"/>
      <c r="F62" s="31" t="n"/>
      <c r="G62" s="31" t="n"/>
      <c r="H62" s="37" t="n"/>
      <c r="I62" s="31" t="n"/>
      <c r="J62" s="39" t="n"/>
      <c r="K62" s="31" t="n"/>
    </row>
    <row r="63">
      <c r="A63" s="48" t="inlineStr">
        <is>
          <t xml:space="preserve">T059</t>
        </is>
      </c>
      <c r="B63" s="37" t="n"/>
      <c r="C63" s="31" t="n"/>
      <c r="D63" s="31" t="n"/>
      <c r="E63" s="31" t="n"/>
      <c r="F63" s="31" t="n"/>
      <c r="G63" s="31" t="n"/>
      <c r="H63" s="37" t="n"/>
      <c r="I63" s="31" t="n"/>
      <c r="J63" s="39" t="n"/>
      <c r="K63" s="31" t="n"/>
    </row>
    <row r="64">
      <c r="A64" s="50" t="inlineStr">
        <is>
          <t xml:space="preserve">T060</t>
        </is>
      </c>
      <c r="B64" s="37" t="n"/>
      <c r="C64" s="31" t="n"/>
      <c r="D64" s="31" t="n"/>
      <c r="E64" s="31" t="n"/>
      <c r="F64" s="31" t="n"/>
      <c r="G64" s="31" t="n"/>
      <c r="H64" s="37" t="n"/>
      <c r="I64" s="31" t="n"/>
      <c r="J64" s="39" t="n"/>
      <c r="K64" s="31" t="n"/>
    </row>
    <row r="65">
      <c r="A65" s="48" t="inlineStr">
        <is>
          <t xml:space="preserve">T061</t>
        </is>
      </c>
      <c r="B65" s="37" t="n"/>
      <c r="C65" s="31" t="n"/>
      <c r="D65" s="31" t="n"/>
      <c r="E65" s="31" t="n"/>
      <c r="F65" s="31" t="n"/>
      <c r="G65" s="31" t="n"/>
      <c r="H65" s="37" t="n"/>
      <c r="I65" s="31" t="n"/>
      <c r="J65" s="39" t="n"/>
      <c r="K65" s="31" t="n"/>
    </row>
    <row r="66">
      <c r="A66" s="50" t="inlineStr">
        <is>
          <t xml:space="preserve">T062</t>
        </is>
      </c>
      <c r="B66" s="37" t="n"/>
      <c r="C66" s="31" t="n"/>
      <c r="D66" s="31" t="n"/>
      <c r="E66" s="31" t="n"/>
      <c r="F66" s="31" t="n"/>
      <c r="G66" s="31" t="n"/>
      <c r="H66" s="37" t="n"/>
      <c r="I66" s="31" t="n"/>
      <c r="J66" s="39" t="n"/>
      <c r="K66" s="31" t="n"/>
    </row>
    <row r="67">
      <c r="A67" s="48" t="inlineStr">
        <is>
          <t xml:space="preserve">T063</t>
        </is>
      </c>
      <c r="B67" s="37" t="n"/>
      <c r="C67" s="31" t="n"/>
      <c r="D67" s="31" t="n"/>
      <c r="E67" s="31" t="n"/>
      <c r="F67" s="31" t="n"/>
      <c r="G67" s="31" t="n"/>
      <c r="H67" s="37" t="n"/>
      <c r="I67" s="31" t="n"/>
      <c r="J67" s="39" t="n"/>
      <c r="K67" s="31" t="n"/>
    </row>
    <row r="68">
      <c r="A68" s="50" t="inlineStr">
        <is>
          <t xml:space="preserve">T064</t>
        </is>
      </c>
      <c r="B68" s="37" t="n"/>
      <c r="C68" s="31" t="n"/>
      <c r="D68" s="31" t="n"/>
      <c r="E68" s="31" t="n"/>
      <c r="F68" s="31" t="n"/>
      <c r="G68" s="31" t="n"/>
      <c r="H68" s="37" t="n"/>
      <c r="I68" s="31" t="n"/>
      <c r="J68" s="39" t="n"/>
      <c r="K68" s="31" t="n"/>
    </row>
    <row r="69">
      <c r="A69" s="48" t="inlineStr">
        <is>
          <t xml:space="preserve">T065</t>
        </is>
      </c>
      <c r="B69" s="37" t="n"/>
      <c r="C69" s="31" t="n"/>
      <c r="D69" s="31" t="n"/>
      <c r="E69" s="31" t="n"/>
      <c r="F69" s="31" t="n"/>
      <c r="G69" s="31" t="n"/>
      <c r="H69" s="37" t="n"/>
      <c r="I69" s="31" t="n"/>
      <c r="J69" s="39" t="n"/>
      <c r="K69" s="31" t="n"/>
    </row>
    <row r="70">
      <c r="A70" s="50" t="inlineStr">
        <is>
          <t xml:space="preserve">T066</t>
        </is>
      </c>
      <c r="B70" s="37" t="n"/>
      <c r="C70" s="31" t="n"/>
      <c r="D70" s="31" t="n"/>
      <c r="E70" s="31" t="n"/>
      <c r="F70" s="31" t="n"/>
      <c r="G70" s="31" t="n"/>
      <c r="H70" s="37" t="n"/>
      <c r="I70" s="31" t="n"/>
      <c r="J70" s="39" t="n"/>
      <c r="K70" s="31" t="n"/>
    </row>
    <row r="71">
      <c r="A71" s="48" t="inlineStr">
        <is>
          <t xml:space="preserve">T067</t>
        </is>
      </c>
      <c r="B71" s="37" t="n"/>
      <c r="C71" s="31" t="n"/>
      <c r="D71" s="31" t="n"/>
      <c r="E71" s="31" t="n"/>
      <c r="F71" s="31" t="n"/>
      <c r="G71" s="31" t="n"/>
      <c r="H71" s="37" t="n"/>
      <c r="I71" s="31" t="n"/>
      <c r="J71" s="39" t="n"/>
      <c r="K71" s="31" t="n"/>
    </row>
    <row r="72">
      <c r="A72" s="50" t="inlineStr">
        <is>
          <t xml:space="preserve">T068</t>
        </is>
      </c>
      <c r="B72" s="37" t="n"/>
      <c r="C72" s="31" t="n"/>
      <c r="D72" s="31" t="n"/>
      <c r="E72" s="31" t="n"/>
      <c r="F72" s="31" t="n"/>
      <c r="G72" s="31" t="n"/>
      <c r="H72" s="37" t="n"/>
      <c r="I72" s="31" t="n"/>
      <c r="J72" s="39" t="n"/>
      <c r="K72" s="31" t="n"/>
    </row>
    <row r="73">
      <c r="A73" s="48" t="inlineStr">
        <is>
          <t xml:space="preserve">T069</t>
        </is>
      </c>
      <c r="B73" s="37" t="n"/>
      <c r="C73" s="31" t="n"/>
      <c r="D73" s="31" t="n"/>
      <c r="E73" s="31" t="n"/>
      <c r="F73" s="31" t="n"/>
      <c r="G73" s="31" t="n"/>
      <c r="H73" s="37" t="n"/>
      <c r="I73" s="31" t="n"/>
      <c r="J73" s="39" t="n"/>
      <c r="K73" s="31" t="n"/>
    </row>
    <row r="74">
      <c r="A74" s="50" t="inlineStr">
        <is>
          <t xml:space="preserve">T070</t>
        </is>
      </c>
      <c r="B74" s="37" t="n"/>
      <c r="C74" s="31" t="n"/>
      <c r="D74" s="31" t="n"/>
      <c r="E74" s="31" t="n"/>
      <c r="F74" s="31" t="n"/>
      <c r="G74" s="31" t="n"/>
      <c r="H74" s="37" t="n"/>
      <c r="I74" s="31" t="n"/>
      <c r="J74" s="39" t="n"/>
      <c r="K74" s="31" t="n"/>
    </row>
    <row r="75">
      <c r="A75" s="48" t="inlineStr">
        <is>
          <t xml:space="preserve">T071</t>
        </is>
      </c>
      <c r="B75" s="37" t="n"/>
      <c r="C75" s="31" t="n"/>
      <c r="D75" s="31" t="n"/>
      <c r="E75" s="31" t="n"/>
      <c r="F75" s="31" t="n"/>
      <c r="G75" s="31" t="n"/>
      <c r="H75" s="37" t="n"/>
      <c r="I75" s="31" t="n"/>
      <c r="J75" s="39" t="n"/>
      <c r="K75" s="31" t="n"/>
    </row>
    <row r="76">
      <c r="A76" s="50" t="inlineStr">
        <is>
          <t xml:space="preserve">T072</t>
        </is>
      </c>
      <c r="B76" s="37" t="n"/>
      <c r="C76" s="31" t="n"/>
      <c r="D76" s="31" t="n"/>
      <c r="E76" s="31" t="n"/>
      <c r="F76" s="31" t="n"/>
      <c r="G76" s="31" t="n"/>
      <c r="H76" s="37" t="n"/>
      <c r="I76" s="31" t="n"/>
      <c r="J76" s="39" t="n"/>
      <c r="K76" s="31" t="n"/>
    </row>
    <row r="77">
      <c r="A77" s="48" t="inlineStr">
        <is>
          <t xml:space="preserve">T073</t>
        </is>
      </c>
      <c r="B77" s="37" t="n"/>
      <c r="C77" s="31" t="n"/>
      <c r="D77" s="31" t="n"/>
      <c r="E77" s="31" t="n"/>
      <c r="F77" s="31" t="n"/>
      <c r="G77" s="31" t="n"/>
      <c r="H77" s="37" t="n"/>
      <c r="I77" s="31" t="n"/>
      <c r="J77" s="39" t="n"/>
      <c r="K77" s="31" t="n"/>
    </row>
    <row r="78">
      <c r="A78" s="50" t="inlineStr">
        <is>
          <t xml:space="preserve">T074</t>
        </is>
      </c>
      <c r="B78" s="37" t="n"/>
      <c r="C78" s="31" t="n"/>
      <c r="D78" s="31" t="n"/>
      <c r="E78" s="31" t="n"/>
      <c r="F78" s="31" t="n"/>
      <c r="G78" s="31" t="n"/>
      <c r="H78" s="37" t="n"/>
      <c r="I78" s="31" t="n"/>
      <c r="J78" s="39" t="n"/>
      <c r="K78" s="31" t="n"/>
    </row>
    <row r="79">
      <c r="A79" s="48" t="inlineStr">
        <is>
          <t xml:space="preserve">T075</t>
        </is>
      </c>
      <c r="B79" s="37" t="n"/>
      <c r="C79" s="31" t="n"/>
      <c r="D79" s="31" t="n"/>
      <c r="E79" s="31" t="n"/>
      <c r="F79" s="31" t="n"/>
      <c r="G79" s="31" t="n"/>
      <c r="H79" s="37" t="n"/>
      <c r="I79" s="31" t="n"/>
      <c r="J79" s="39" t="n"/>
      <c r="K79" s="31" t="n"/>
    </row>
    <row r="80">
      <c r="A80" s="50" t="inlineStr">
        <is>
          <t xml:space="preserve">T076</t>
        </is>
      </c>
      <c r="B80" s="37" t="n"/>
      <c r="C80" s="31" t="n"/>
      <c r="D80" s="31" t="n"/>
      <c r="E80" s="31" t="n"/>
      <c r="F80" s="31" t="n"/>
      <c r="G80" s="31" t="n"/>
      <c r="H80" s="37" t="n"/>
      <c r="I80" s="31" t="n"/>
      <c r="J80" s="39" t="n"/>
      <c r="K80" s="31" t="n"/>
    </row>
    <row r="81">
      <c r="A81" s="48" t="inlineStr">
        <is>
          <t xml:space="preserve">T077</t>
        </is>
      </c>
      <c r="B81" s="37" t="n"/>
      <c r="C81" s="31" t="n"/>
      <c r="D81" s="31" t="n"/>
      <c r="E81" s="31" t="n"/>
      <c r="F81" s="31" t="n"/>
      <c r="G81" s="31" t="n"/>
      <c r="H81" s="37" t="n"/>
      <c r="I81" s="31" t="n"/>
      <c r="J81" s="39" t="n"/>
      <c r="K81" s="31" t="n"/>
    </row>
    <row r="82">
      <c r="A82" s="50" t="inlineStr">
        <is>
          <t xml:space="preserve">T078</t>
        </is>
      </c>
      <c r="B82" s="37" t="n"/>
      <c r="C82" s="31" t="n"/>
      <c r="D82" s="31" t="n"/>
      <c r="E82" s="31" t="n"/>
      <c r="F82" s="31" t="n"/>
      <c r="G82" s="31" t="n"/>
      <c r="H82" s="37" t="n"/>
      <c r="I82" s="31" t="n"/>
      <c r="J82" s="39" t="n"/>
      <c r="K82" s="31" t="n"/>
    </row>
    <row r="83">
      <c r="A83" s="48" t="inlineStr">
        <is>
          <t xml:space="preserve">T079</t>
        </is>
      </c>
      <c r="B83" s="37" t="n"/>
      <c r="C83" s="31" t="n"/>
      <c r="D83" s="31" t="n"/>
      <c r="E83" s="31" t="n"/>
      <c r="F83" s="31" t="n"/>
      <c r="G83" s="31" t="n"/>
      <c r="H83" s="37" t="n"/>
      <c r="I83" s="31" t="n"/>
      <c r="J83" s="39" t="n"/>
      <c r="K83" s="31" t="n"/>
    </row>
    <row r="84">
      <c r="A84" s="50" t="inlineStr">
        <is>
          <t xml:space="preserve">T080</t>
        </is>
      </c>
      <c r="B84" s="37" t="n"/>
      <c r="C84" s="31" t="n"/>
      <c r="D84" s="31" t="n"/>
      <c r="E84" s="31" t="n"/>
      <c r="F84" s="31" t="n"/>
      <c r="G84" s="31" t="n"/>
      <c r="H84" s="37" t="n"/>
      <c r="I84" s="31" t="n"/>
      <c r="J84" s="39" t="n"/>
      <c r="K84" s="31" t="n"/>
    </row>
    <row r="85">
      <c r="A85" s="48" t="inlineStr">
        <is>
          <t xml:space="preserve">T081</t>
        </is>
      </c>
      <c r="B85" s="37" t="n"/>
      <c r="C85" s="31" t="n"/>
      <c r="D85" s="31" t="n"/>
      <c r="E85" s="31" t="n"/>
      <c r="F85" s="31" t="n"/>
      <c r="G85" s="31" t="n"/>
      <c r="H85" s="37" t="n"/>
      <c r="I85" s="31" t="n"/>
      <c r="J85" s="39" t="n"/>
      <c r="K85" s="31" t="n"/>
    </row>
    <row r="86">
      <c r="A86" s="50" t="inlineStr">
        <is>
          <t xml:space="preserve">T082</t>
        </is>
      </c>
      <c r="B86" s="37" t="n"/>
      <c r="C86" s="31" t="n"/>
      <c r="D86" s="31" t="n"/>
      <c r="E86" s="31" t="n"/>
      <c r="F86" s="31" t="n"/>
      <c r="G86" s="31" t="n"/>
      <c r="H86" s="37" t="n"/>
      <c r="I86" s="31" t="n"/>
      <c r="J86" s="39" t="n"/>
      <c r="K86" s="31" t="n"/>
    </row>
    <row r="87">
      <c r="A87" s="48" t="inlineStr">
        <is>
          <t xml:space="preserve">T083</t>
        </is>
      </c>
      <c r="B87" s="37" t="n"/>
      <c r="C87" s="31" t="n"/>
      <c r="D87" s="31" t="n"/>
      <c r="E87" s="31" t="n"/>
      <c r="F87" s="31" t="n"/>
      <c r="G87" s="31" t="n"/>
      <c r="H87" s="37" t="n"/>
      <c r="I87" s="31" t="n"/>
      <c r="J87" s="39" t="n"/>
      <c r="K87" s="31" t="n"/>
    </row>
    <row r="88">
      <c r="A88" s="50" t="inlineStr">
        <is>
          <t xml:space="preserve">T084</t>
        </is>
      </c>
      <c r="B88" s="37" t="n"/>
      <c r="C88" s="31" t="n"/>
      <c r="D88" s="31" t="n"/>
      <c r="E88" s="31" t="n"/>
      <c r="F88" s="31" t="n"/>
      <c r="G88" s="31" t="n"/>
      <c r="H88" s="37" t="n"/>
      <c r="I88" s="31" t="n"/>
      <c r="J88" s="39" t="n"/>
      <c r="K88" s="31" t="n"/>
    </row>
    <row r="89">
      <c r="A89" s="48" t="inlineStr">
        <is>
          <t xml:space="preserve">T085</t>
        </is>
      </c>
      <c r="B89" s="37" t="n"/>
      <c r="C89" s="31" t="n"/>
      <c r="D89" s="31" t="n"/>
      <c r="E89" s="31" t="n"/>
      <c r="F89" s="31" t="n"/>
      <c r="G89" s="31" t="n"/>
      <c r="H89" s="37" t="n"/>
      <c r="I89" s="31" t="n"/>
      <c r="J89" s="39" t="n"/>
      <c r="K89" s="31" t="n"/>
    </row>
    <row r="90">
      <c r="A90" s="50" t="inlineStr">
        <is>
          <t xml:space="preserve">T086</t>
        </is>
      </c>
      <c r="B90" s="37" t="n"/>
      <c r="C90" s="31" t="n"/>
      <c r="D90" s="31" t="n"/>
      <c r="E90" s="31" t="n"/>
      <c r="F90" s="31" t="n"/>
      <c r="G90" s="31" t="n"/>
      <c r="H90" s="37" t="n"/>
      <c r="I90" s="31" t="n"/>
      <c r="J90" s="39" t="n"/>
      <c r="K90" s="31" t="n"/>
    </row>
    <row r="91">
      <c r="A91" s="48" t="inlineStr">
        <is>
          <t xml:space="preserve">T087</t>
        </is>
      </c>
      <c r="B91" s="37" t="n"/>
      <c r="C91" s="31" t="n"/>
      <c r="D91" s="31" t="n"/>
      <c r="E91" s="31" t="n"/>
      <c r="F91" s="31" t="n"/>
      <c r="G91" s="31" t="n"/>
      <c r="H91" s="37" t="n"/>
      <c r="I91" s="31" t="n"/>
      <c r="J91" s="39" t="n"/>
      <c r="K91" s="31" t="n"/>
    </row>
    <row r="92">
      <c r="A92" s="50" t="inlineStr">
        <is>
          <t xml:space="preserve">T088</t>
        </is>
      </c>
      <c r="B92" s="37" t="n"/>
      <c r="C92" s="31" t="n"/>
      <c r="D92" s="31" t="n"/>
      <c r="E92" s="31" t="n"/>
      <c r="F92" s="31" t="n"/>
      <c r="G92" s="31" t="n"/>
      <c r="H92" s="37" t="n"/>
      <c r="I92" s="31" t="n"/>
      <c r="J92" s="39" t="n"/>
      <c r="K92" s="31" t="n"/>
    </row>
    <row r="93">
      <c r="A93" s="48" t="inlineStr">
        <is>
          <t xml:space="preserve">T089</t>
        </is>
      </c>
      <c r="B93" s="37" t="n"/>
      <c r="C93" s="31" t="n"/>
      <c r="D93" s="31" t="n"/>
      <c r="E93" s="31" t="n"/>
      <c r="F93" s="31" t="n"/>
      <c r="G93" s="31" t="n"/>
      <c r="H93" s="37" t="n"/>
      <c r="I93" s="31" t="n"/>
      <c r="J93" s="39" t="n"/>
      <c r="K93" s="31" t="n"/>
    </row>
    <row r="94">
      <c r="A94" s="50" t="inlineStr">
        <is>
          <t xml:space="preserve">T090</t>
        </is>
      </c>
      <c r="B94" s="37" t="n"/>
      <c r="C94" s="31" t="n"/>
      <c r="D94" s="31" t="n"/>
      <c r="E94" s="31" t="n"/>
      <c r="F94" s="31" t="n"/>
      <c r="G94" s="31" t="n"/>
      <c r="H94" s="37" t="n"/>
      <c r="I94" s="31" t="n"/>
      <c r="J94" s="39" t="n"/>
      <c r="K94" s="31" t="n"/>
    </row>
    <row r="95">
      <c r="A95" s="48" t="inlineStr">
        <is>
          <t xml:space="preserve">T091</t>
        </is>
      </c>
      <c r="B95" s="37" t="n"/>
      <c r="C95" s="31" t="n"/>
      <c r="D95" s="31" t="n"/>
      <c r="E95" s="31" t="n"/>
      <c r="F95" s="31" t="n"/>
      <c r="G95" s="31" t="n"/>
      <c r="H95" s="37" t="n"/>
      <c r="I95" s="31" t="n"/>
      <c r="J95" s="39" t="n"/>
      <c r="K95" s="31" t="n"/>
    </row>
    <row r="96">
      <c r="A96" s="50" t="inlineStr">
        <is>
          <t xml:space="preserve">T092</t>
        </is>
      </c>
      <c r="B96" s="37" t="n"/>
      <c r="C96" s="31" t="n"/>
      <c r="D96" s="31" t="n"/>
      <c r="E96" s="31" t="n"/>
      <c r="F96" s="31" t="n"/>
      <c r="G96" s="31" t="n"/>
      <c r="H96" s="37" t="n"/>
      <c r="I96" s="31" t="n"/>
      <c r="J96" s="39" t="n"/>
      <c r="K96" s="31" t="n"/>
    </row>
    <row r="97">
      <c r="A97" s="48" t="inlineStr">
        <is>
          <t xml:space="preserve">T093</t>
        </is>
      </c>
      <c r="B97" s="37" t="n"/>
      <c r="C97" s="31" t="n"/>
      <c r="D97" s="31" t="n"/>
      <c r="E97" s="31" t="n"/>
      <c r="F97" s="31" t="n"/>
      <c r="G97" s="31" t="n"/>
      <c r="H97" s="37" t="n"/>
      <c r="I97" s="31" t="n"/>
      <c r="J97" s="39" t="n"/>
      <c r="K97" s="31" t="n"/>
    </row>
    <row r="98">
      <c r="A98" s="50" t="inlineStr">
        <is>
          <t xml:space="preserve">T094</t>
        </is>
      </c>
      <c r="B98" s="37" t="n"/>
      <c r="C98" s="31" t="n"/>
      <c r="D98" s="31" t="n"/>
      <c r="E98" s="31" t="n"/>
      <c r="F98" s="31" t="n"/>
      <c r="G98" s="31" t="n"/>
      <c r="H98" s="37" t="n"/>
      <c r="I98" s="31" t="n"/>
      <c r="J98" s="39" t="n"/>
      <c r="K98" s="31" t="n"/>
    </row>
    <row r="99">
      <c r="A99" s="48" t="inlineStr">
        <is>
          <t xml:space="preserve">T095</t>
        </is>
      </c>
      <c r="B99" s="37" t="n"/>
      <c r="C99" s="31" t="n"/>
      <c r="D99" s="31" t="n"/>
      <c r="E99" s="31" t="n"/>
      <c r="F99" s="31" t="n"/>
      <c r="G99" s="31" t="n"/>
      <c r="H99" s="37" t="n"/>
      <c r="I99" s="31" t="n"/>
      <c r="J99" s="39" t="n"/>
      <c r="K99" s="31" t="n"/>
    </row>
    <row r="100">
      <c r="A100" s="50" t="inlineStr">
        <is>
          <t xml:space="preserve">T096</t>
        </is>
      </c>
      <c r="B100" s="37" t="n"/>
      <c r="C100" s="31" t="n"/>
      <c r="D100" s="31" t="n"/>
      <c r="E100" s="31" t="n"/>
      <c r="F100" s="31" t="n"/>
      <c r="G100" s="31" t="n"/>
      <c r="H100" s="37" t="n"/>
      <c r="I100" s="31" t="n"/>
      <c r="J100" s="39" t="n"/>
      <c r="K100" s="31" t="n"/>
    </row>
    <row r="101">
      <c r="A101" s="48" t="inlineStr">
        <is>
          <t xml:space="preserve">T097</t>
        </is>
      </c>
      <c r="B101" s="37" t="n"/>
      <c r="C101" s="31" t="n"/>
      <c r="D101" s="31" t="n"/>
      <c r="E101" s="31" t="n"/>
      <c r="F101" s="31" t="n"/>
      <c r="G101" s="31" t="n"/>
      <c r="H101" s="37" t="n"/>
      <c r="I101" s="31" t="n"/>
      <c r="J101" s="39" t="n"/>
      <c r="K101" s="31" t="n"/>
    </row>
    <row r="102">
      <c r="A102" s="50" t="inlineStr">
        <is>
          <t xml:space="preserve">T098</t>
        </is>
      </c>
      <c r="B102" s="37" t="n"/>
      <c r="C102" s="31" t="n"/>
      <c r="D102" s="31" t="n"/>
      <c r="E102" s="31" t="n"/>
      <c r="F102" s="31" t="n"/>
      <c r="G102" s="31" t="n"/>
      <c r="H102" s="37" t="n"/>
      <c r="I102" s="31" t="n"/>
      <c r="J102" s="39" t="n"/>
      <c r="K102" s="31" t="n"/>
    </row>
    <row r="103">
      <c r="A103" s="48" t="inlineStr">
        <is>
          <t xml:space="preserve">T099</t>
        </is>
      </c>
      <c r="B103" s="37" t="n"/>
      <c r="C103" s="31" t="n"/>
      <c r="D103" s="31" t="n"/>
      <c r="E103" s="31" t="n"/>
      <c r="F103" s="31" t="n"/>
      <c r="G103" s="31" t="n"/>
      <c r="H103" s="37" t="n"/>
      <c r="I103" s="31" t="n"/>
      <c r="J103" s="39" t="n"/>
      <c r="K103" s="31" t="n"/>
    </row>
    <row r="104">
      <c r="A104" s="50" t="inlineStr">
        <is>
          <t xml:space="preserve">T100</t>
        </is>
      </c>
      <c r="B104" s="37" t="n"/>
      <c r="C104" s="31" t="n"/>
      <c r="D104" s="31" t="n"/>
      <c r="E104" s="31" t="n"/>
      <c r="F104" s="31" t="n"/>
      <c r="G104" s="31" t="n"/>
      <c r="H104" s="37" t="n"/>
      <c r="I104" s="31" t="n"/>
      <c r="J104" s="39" t="n"/>
      <c r="K104" s="31" t="n"/>
    </row>
  </sheetData>
  <autoFilter ref="A4:K104"/>
  <mergeCells>
    <mergeCell ref="A2:K2"/>
    <mergeCell ref="A1:K1"/>
  </mergeCells>
  <conditionalFormatting sqref="I5:I104">
    <cfRule type="expression" dxfId="0" priority="1">
      <formula>I5="Done"</formula>
    </cfRule>
    <cfRule type="expression" dxfId="1" priority="2">
      <formula>I5="In Progress"</formula>
    </cfRule>
    <cfRule type="expression" dxfId="2" priority="3">
      <formula>I5="Blocked"</formula>
    </cfRule>
    <cfRule type="expression" dxfId="0" priority="4">
      <formula>I5="Published"</formula>
    </cfRule>
  </conditionalFormatting>
  <conditionalFormatting sqref="G5:G104">
    <cfRule type="expression" dxfId="2" priority="5">
      <formula>G5="P0"</formula>
    </cfRule>
    <cfRule type="expression" dxfId="3" priority="6">
      <formula>G5="P1"</formula>
    </cfRule>
  </conditionalFormatting>
  <dataValidations count="4">
    <dataValidation type="list" allowBlank="1" showDropDown="0" showInputMessage="0" showErrorMessage="0" errorTitle="Invalid value" error="Choose a value from the dropdown." sqref="C5:C104">
      <formula1>"1,2,3,4,5,6,7,8,9,10,11,12,13,14,15,16,17,18,19,20,21,22,23,24"</formula1>
    </dataValidation>
    <dataValidation type="list" allowBlank="1" showDropDown="0" showInputMessage="0" showErrorMessage="0" errorTitle="Invalid value" error="Choose a value from the dropdown." sqref="D5:D104">
      <formula1>"Business,Hosting,Product,Analytics,Users,Revenue,Field Data,Content,Social,Growth,Support,Partnership,Admin,Other"</formula1>
    </dataValidation>
    <dataValidation type="list" allowBlank="1" showDropDown="0" showInputMessage="0" showErrorMessage="0" errorTitle="Invalid value" error="Choose a value from the dropdown." sqref="G5:G104">
      <formula1>"P0,P1,P2,P3"</formula1>
    </dataValidation>
    <dataValidation type="list" allowBlank="1" showDropDown="0" showInputMessage="0" showErrorMessage="0" errorTitle="Invalid value" error="Choose a value from the dropdown." sqref="I5:I104">
      <formula1>"Not Started,In Progress,Done,Blocked,Dropped"</formula1>
    </dataValidation>
  </dataValidations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sheetPr>
    <tabColor rgb="006B46C1"/>
  </sheetPr>
  <sheetViews>
    <sheetView showGridLines="0" zoomScale="90" workbookViewId="0">
      <pane ySplit="4" topLeftCell="A5" activePane="bottomLeft" state="frozen"/>
      <selection pane="bottomLeft" activeCell="A1" sqref="A1"/>
    </sheetView>
  </sheetViews>
  <sheetFormatPr baseColWidth="8" defaultRowHeight="15"/>
  <cols>
    <col min="1" max="1" width="34" customWidth="1"/>
    <col min="2" max="2" width="18" customWidth="1"/>
    <col min="3" max="3" width="18" customWidth="1"/>
    <col min="4" max="4" width="70" customWidth="1"/>
  </cols>
  <sheetData>
    <row r="1" ht="30" customHeight="1">
      <c r="A1" s="1" t="inlineStr">
        <is>
          <t xml:space="preserve">MSAFIRI SIMPLE SETTINGS</t>
        </is>
      </c>
    </row>
    <row r="2" ht="34" customHeight="1">
      <c r="A2" s="2" t="inlineStr">
        <is>
          <t xml:space="preserve">Only edit the blue cells. These few inputs power the simple tracker.</t>
        </is>
      </c>
    </row>
    <row r="4" ht="23" customHeight="1">
      <c r="A4" s="11" t="inlineStr">
        <is>
          <t xml:space="preserve">Business and weekly targets</t>
        </is>
      </c>
    </row>
    <row r="5" ht="36" customHeight="1">
      <c r="A5" s="8" t="inlineStr">
        <is>
          <t xml:space="preserve">Setting</t>
        </is>
      </c>
      <c r="B5" s="8" t="inlineStr">
        <is>
          <t xml:space="preserve">Value</t>
        </is>
      </c>
      <c r="C5" s="8" t="inlineStr">
        <is>
          <t xml:space="preserve">Unit</t>
        </is>
      </c>
      <c r="D5" s="8" t="inlineStr">
        <is>
          <t xml:space="preserve">How to use</t>
        </is>
      </c>
    </row>
    <row r="6">
      <c r="A6" s="5" t="inlineStr">
        <is>
          <t xml:space="preserve">First funding Friday</t>
        </is>
      </c>
      <c r="B6" s="37" t="n">
        <v>46248</v>
      </c>
      <c r="C6" s="5" t="inlineStr">
        <is>
          <t xml:space="preserve">Date</t>
        </is>
      </c>
      <c r="D6" s="5" t="inlineStr">
        <is>
          <t xml:space="preserve">The first KES 10,000 contribution is expected on Friday, 14 August 2026.</t>
        </is>
      </c>
    </row>
    <row r="7">
      <c r="A7" s="6" t="inlineStr">
        <is>
          <t xml:space="preserve">Current operating week</t>
        </is>
      </c>
      <c r="B7" s="43" t="n">
        <v>1</v>
      </c>
      <c r="C7" s="6" t="inlineStr">
        <is>
          <t xml:space="preserve">Week 1–24</t>
        </is>
      </c>
      <c r="D7" s="6" t="inlineStr">
        <is>
          <t xml:space="preserve">Change this by one every Friday. START HERE and THIS WEEK follow it.</t>
        </is>
      </c>
    </row>
    <row r="8">
      <c r="A8" s="5" t="inlineStr">
        <is>
          <t xml:space="preserve">Weekly founder funding</t>
        </is>
      </c>
      <c r="B8" s="39" t="n">
        <v>10000</v>
      </c>
      <c r="C8" s="5" t="inlineStr">
        <is>
          <t xml:space="preserve">KES / Friday</t>
        </is>
      </c>
      <c r="D8" s="5" t="inlineStr">
        <is>
          <t xml:space="preserve">The amount available from the founder each Friday.</t>
        </is>
      </c>
    </row>
    <row r="9">
      <c r="A9" s="6" t="inlineStr">
        <is>
          <t xml:space="preserve">Opening operating cash</t>
        </is>
      </c>
      <c r="B9" s="39" t="n">
        <v>0</v>
      </c>
      <c r="C9" s="6" t="inlineStr">
        <is>
          <t xml:space="preserve">KES</t>
        </is>
      </c>
      <c r="D9" s="6" t="inlineStr">
        <is>
          <t xml:space="preserve">Cash in the business before the first Friday funding.</t>
        </is>
      </c>
    </row>
    <row r="10">
      <c r="A10" s="5" t="inlineStr">
        <is>
          <t xml:space="preserve">Opening reserve cash</t>
        </is>
      </c>
      <c r="B10" s="39" t="n">
        <v>0</v>
      </c>
      <c r="C10" s="5" t="inlineStr">
        <is>
          <t xml:space="preserve">KES</t>
        </is>
      </c>
      <c r="D10" s="5" t="inlineStr">
        <is>
          <t xml:space="preserve">Cash already protected as reserve.</t>
        </is>
      </c>
    </row>
    <row r="11">
      <c r="A11" s="6" t="inlineStr">
        <is>
          <t xml:space="preserve">Baseline total downloads</t>
        </is>
      </c>
      <c r="B11" s="43" t="n">
        <v>0</v>
      </c>
      <c r="C11" s="6" t="inlineStr">
        <is>
          <t xml:space="preserve">Downloads</t>
        </is>
      </c>
      <c r="D11" s="6" t="inlineStr">
        <is>
          <t xml:space="preserve">Enter the current store total before Week 1.</t>
        </is>
      </c>
    </row>
    <row r="12">
      <c r="A12" s="5" t="inlineStr">
        <is>
          <t xml:space="preserve">Baseline active paid subscribers</t>
        </is>
      </c>
      <c r="B12" s="43" t="n">
        <v>0</v>
      </c>
      <c r="C12" s="5" t="inlineStr">
        <is>
          <t xml:space="preserve">Subscribers</t>
        </is>
      </c>
      <c r="D12" s="5" t="inlineStr">
        <is>
          <t xml:space="preserve">Enter current active paid users before Week 1.</t>
        </is>
      </c>
    </row>
    <row r="13">
      <c r="A13" s="6" t="inlineStr">
        <is>
          <t xml:space="preserve">Main monthly subscription price</t>
        </is>
      </c>
      <c r="B13" s="39" t="n">
        <v>0</v>
      </c>
      <c r="C13" s="6" t="inlineStr">
        <is>
          <t xml:space="preserve">KES / month</t>
        </is>
      </c>
      <c r="D13" s="6" t="inlineStr">
        <is>
          <t xml:space="preserve">Enter the main current subscription price.</t>
        </is>
      </c>
    </row>
    <row r="14">
      <c r="A14" s="5" t="inlineStr">
        <is>
          <t xml:space="preserve">Core posts target</t>
        </is>
      </c>
      <c r="B14" s="43" t="n">
        <v>4</v>
      </c>
      <c r="C14" s="5" t="inlineStr">
        <is>
          <t xml:space="preserve">Posts / week</t>
        </is>
      </c>
      <c r="D14" s="5" t="inlineStr">
        <is>
          <t xml:space="preserve">Four strong posts are enough for a solo founder.</t>
        </is>
      </c>
    </row>
    <row r="15">
      <c r="A15" s="6" t="inlineStr">
        <is>
          <t xml:space="preserve">User conversations target</t>
        </is>
      </c>
      <c r="B15" s="43" t="n">
        <v>3</v>
      </c>
      <c r="C15" s="6" t="inlineStr">
        <is>
          <t xml:space="preserve">Conversations / week</t>
        </is>
      </c>
      <c r="D15" s="6" t="inlineStr">
        <is>
          <t xml:space="preserve">Prioritize paying, cancelled and nearly-paying users.</t>
        </is>
      </c>
    </row>
    <row r="16">
      <c r="A16" s="5" t="inlineStr">
        <is>
          <t xml:space="preserve">Field trips target</t>
        </is>
      </c>
      <c r="B16" s="43" t="n">
        <v>1</v>
      </c>
      <c r="C16" s="5" t="inlineStr">
        <is>
          <t xml:space="preserve">Trip / week</t>
        </is>
      </c>
      <c r="D16" s="5" t="inlineStr">
        <is>
          <t xml:space="preserve">One multipurpose trip is enough at this stage.</t>
        </is>
      </c>
    </row>
    <row r="17">
      <c r="A17" s="6" t="inlineStr">
        <is>
          <t xml:space="preserve">Verified road records target</t>
        </is>
      </c>
      <c r="B17" s="43" t="n">
        <v>10</v>
      </c>
      <c r="C17" s="6" t="inlineStr">
        <is>
          <t xml:space="preserve">Records / week</t>
        </is>
      </c>
      <c r="D17" s="6" t="inlineStr">
        <is>
          <t xml:space="preserve">Quality and evidence before national breadth.</t>
        </is>
      </c>
    </row>
    <row r="20" ht="23" customHeight="1">
      <c r="A20" s="7" t="inlineStr">
        <is>
          <t xml:space="preserve">Hosting</t>
        </is>
      </c>
    </row>
    <row r="21" ht="36" customHeight="1">
      <c r="A21" s="8" t="inlineStr">
        <is>
          <t xml:space="preserve">Setting</t>
        </is>
      </c>
      <c r="B21" s="8" t="inlineStr">
        <is>
          <t xml:space="preserve">Value</t>
        </is>
      </c>
      <c r="C21" s="8" t="inlineStr">
        <is>
          <t xml:space="preserve">Unit</t>
        </is>
      </c>
      <c r="D21" s="8" t="inlineStr">
        <is>
          <t xml:space="preserve">How to use</t>
        </is>
      </c>
    </row>
    <row r="22">
      <c r="A22" s="5" t="inlineStr">
        <is>
          <t xml:space="preserve">Replit monthly fee</t>
        </is>
      </c>
      <c r="B22" s="58" t="n">
        <v>20</v>
      </c>
      <c r="C22" s="5" t="inlineStr">
        <is>
          <t xml:space="preserve">USD / month</t>
        </is>
      </c>
      <c r="D22" s="5" t="inlineStr">
        <is>
          <t xml:space="preserve">Founder input: required monthly hosting fee.</t>
        </is>
      </c>
    </row>
    <row r="23">
      <c r="A23" s="6" t="inlineStr">
        <is>
          <t xml:space="preserve">USD/KES planning rate</t>
        </is>
      </c>
      <c r="B23" s="59" t="n">
        <v>129.36</v>
      </c>
      <c r="C23" s="6" t="inlineStr">
        <is>
          <t xml:space="preserve">KES per USD</t>
        </is>
      </c>
      <c r="D23" s="6" t="inlineStr">
        <is>
          <t xml:space="preserve">Replace with the actual card or bank conversion rate when charged.</t>
        </is>
      </c>
    </row>
    <row r="24">
      <c r="A24" s="5" t="inlineStr">
        <is>
          <t xml:space="preserve">Replit monthly planning cost</t>
        </is>
      </c>
      <c r="B24" s="60" t="n">
        <f>B22*B23</f>
        <v>2587.2000000000003</v>
      </c>
      <c r="C24" s="5" t="inlineStr">
        <is>
          <t xml:space="preserve">KES / month</t>
        </is>
      </c>
      <c r="D24" s="5" t="inlineStr">
        <is>
          <t xml:space="preserve">Formula: monthly USD fee multiplied by the planning exchange rate.</t>
        </is>
      </c>
    </row>
    <row r="25">
      <c r="A25" s="6" t="inlineStr">
        <is>
          <t xml:space="preserve">Replit weekly provision</t>
        </is>
      </c>
      <c r="B25" s="60" t="n">
        <f>B24*12/52</f>
        <v>597.0461538461539</v>
      </c>
      <c r="C25" s="6" t="inlineStr">
        <is>
          <t xml:space="preserve">KES / Friday</t>
        </is>
      </c>
      <c r="D25" s="6" t="inlineStr">
        <is>
          <t xml:space="preserve">Set this aside each Friday so the monthly bill does not surprise you.</t>
        </is>
      </c>
    </row>
    <row r="28" ht="23" customHeight="1">
      <c r="A28" s="11" t="inlineStr">
        <is>
          <t xml:space="preserve">Fuel and fieldwork</t>
        </is>
      </c>
    </row>
    <row r="29" ht="36" customHeight="1">
      <c r="A29" s="8" t="inlineStr">
        <is>
          <t xml:space="preserve">Setting</t>
        </is>
      </c>
      <c r="B29" s="8" t="inlineStr">
        <is>
          <t xml:space="preserve">Value</t>
        </is>
      </c>
      <c r="C29" s="8" t="inlineStr">
        <is>
          <t xml:space="preserve">Unit</t>
        </is>
      </c>
      <c r="D29" s="8" t="inlineStr">
        <is>
          <t xml:space="preserve">How to use</t>
        </is>
      </c>
    </row>
    <row r="30">
      <c r="A30" s="5" t="inlineStr">
        <is>
          <t xml:space="preserve">Fuel price</t>
        </is>
      </c>
      <c r="B30" s="39" t="n">
        <v>214</v>
      </c>
      <c r="C30" s="5" t="inlineStr">
        <is>
          <t xml:space="preserve">KES / litre</t>
        </is>
      </c>
      <c r="D30" s="5" t="inlineStr">
        <is>
          <t xml:space="preserve">Founder input for current fuel price.</t>
        </is>
      </c>
    </row>
    <row r="31">
      <c r="A31" s="6" t="inlineStr">
        <is>
          <t xml:space="preserve">Vehicle efficiency</t>
        </is>
      </c>
      <c r="B31" s="61" t="n">
        <v>12</v>
      </c>
      <c r="C31" s="6" t="inlineStr">
        <is>
          <t xml:space="preserve">km / litre</t>
        </is>
      </c>
      <c r="D31" s="6" t="inlineStr">
        <is>
          <t xml:space="preserve">Founder input for the car.</t>
        </is>
      </c>
    </row>
    <row r="32">
      <c r="A32" s="5" t="inlineStr">
        <is>
          <t xml:space="preserve">Fuel cost per kilometre</t>
        </is>
      </c>
      <c r="B32" s="62" t="n">
        <f>B30/B31</f>
        <v>17.833333333333332</v>
      </c>
      <c r="C32" s="5" t="inlineStr">
        <is>
          <t xml:space="preserve">KES / km</t>
        </is>
      </c>
      <c r="D32" s="5" t="inlineStr">
        <is>
          <t xml:space="preserve">Formula: fuel price divided by vehicle efficiency.</t>
        </is>
      </c>
    </row>
    <row r="33">
      <c r="A33" s="6" t="inlineStr">
        <is>
          <t xml:space="preserve">Planned field kilometres</t>
        </is>
      </c>
      <c r="B33" s="61" t="n">
        <v>120</v>
      </c>
      <c r="C33" s="6" t="inlineStr">
        <is>
          <t xml:space="preserve">km / week</t>
        </is>
      </c>
      <c r="D33" s="6" t="inlineStr">
        <is>
          <t xml:space="preserve">One focused content and verification route.</t>
        </is>
      </c>
    </row>
    <row r="34">
      <c r="A34" s="5" t="inlineStr">
        <is>
          <t xml:space="preserve">Parking / toll / field contingency</t>
        </is>
      </c>
      <c r="B34" s="39" t="n">
        <v>360</v>
      </c>
      <c r="C34" s="5" t="inlineStr">
        <is>
          <t xml:space="preserve">KES / week</t>
        </is>
      </c>
      <c r="D34" s="5" t="inlineStr">
        <is>
          <t xml:space="preserve">Small non-fuel costs for the trip.</t>
        </is>
      </c>
    </row>
    <row r="35">
      <c r="A35" s="6" t="inlineStr">
        <is>
          <t xml:space="preserve">Suggested field budget</t>
        </is>
      </c>
      <c r="B35" s="10" t="n">
        <f>B32*B33+B34</f>
        <v>2500</v>
      </c>
      <c r="C35" s="6" t="inlineStr">
        <is>
          <t xml:space="preserve">KES / week</t>
        </is>
      </c>
      <c r="D35" s="6" t="inlineStr">
        <is>
          <t xml:space="preserve">Formula: kilometres × cost/km + contingency.</t>
        </is>
      </c>
    </row>
    <row r="38" ht="23" customHeight="1">
      <c r="A38" s="7" t="inlineStr">
        <is>
          <t xml:space="preserve">Small weekly spending limits</t>
        </is>
      </c>
    </row>
    <row r="39" ht="36" customHeight="1">
      <c r="A39" s="8" t="inlineStr">
        <is>
          <t xml:space="preserve">Setting</t>
        </is>
      </c>
      <c r="B39" s="8" t="inlineStr">
        <is>
          <t xml:space="preserve">Value</t>
        </is>
      </c>
      <c r="C39" s="8" t="inlineStr">
        <is>
          <t xml:space="preserve">Unit</t>
        </is>
      </c>
      <c r="D39" s="8" t="inlineStr">
        <is>
          <t xml:space="preserve">How to use</t>
        </is>
      </c>
    </row>
    <row r="40">
      <c r="A40" s="5" t="inlineStr">
        <is>
          <t xml:space="preserve">Product / data budget</t>
        </is>
      </c>
      <c r="B40" s="39" t="n">
        <v>750</v>
      </c>
      <c r="C40" s="5" t="inlineStr">
        <is>
          <t xml:space="preserve">KES / week</t>
        </is>
      </c>
      <c r="D40" s="5" t="inlineStr">
        <is>
          <t xml:space="preserve">Only reliability, subscriptions, analytics or road-data work.</t>
        </is>
      </c>
    </row>
    <row r="41">
      <c r="A41" s="6" t="inlineStr">
        <is>
          <t xml:space="preserve">Content production budget</t>
        </is>
      </c>
      <c r="B41" s="39" t="n">
        <v>750</v>
      </c>
      <c r="C41" s="6" t="inlineStr">
        <is>
          <t xml:space="preserve">KES / week</t>
        </is>
      </c>
      <c r="D41" s="6" t="inlineStr">
        <is>
          <t xml:space="preserve">Phone-first; spend only where it improves output or trust.</t>
        </is>
      </c>
    </row>
    <row r="42">
      <c r="A42" s="5" t="inlineStr">
        <is>
          <t xml:space="preserve">Admin / other budget</t>
        </is>
      </c>
      <c r="B42" s="39" t="n">
        <v>400</v>
      </c>
      <c r="C42" s="5" t="inlineStr">
        <is>
          <t xml:space="preserve">KES / week</t>
        </is>
      </c>
      <c r="D42" s="5" t="inlineStr">
        <is>
          <t xml:space="preserve">Support, printing, transaction costs and small essentials.</t>
        </is>
      </c>
    </row>
    <row r="43">
      <c r="A43" s="6" t="inlineStr">
        <is>
          <t xml:space="preserve">Reserve transfer target</t>
        </is>
      </c>
      <c r="B43" s="39" t="n">
        <v>1500</v>
      </c>
      <c r="C43" s="6" t="inlineStr">
        <is>
          <t xml:space="preserve">KES / week</t>
        </is>
      </c>
      <c r="D43" s="6" t="inlineStr">
        <is>
          <t xml:space="preserve">Transfer only after protected costs and the cash floor.</t>
        </is>
      </c>
    </row>
    <row r="44">
      <c r="A44" s="5" t="inlineStr">
        <is>
          <t xml:space="preserve">Minimum operating cash floor</t>
        </is>
      </c>
      <c r="B44" s="39" t="n">
        <v>2500</v>
      </c>
      <c r="C44" s="5" t="inlineStr">
        <is>
          <t xml:space="preserve">KES</t>
        </is>
      </c>
      <c r="D44" s="5" t="inlineStr">
        <is>
          <t xml:space="preserve">Do not spend below this unless the app is at risk.</t>
        </is>
      </c>
    </row>
  </sheetData>
  <autoFilter ref="A5:D17"/>
  <mergeCells>
    <mergeCell ref="A1:D1"/>
    <mergeCell ref="A4:D4"/>
    <mergeCell ref="A20:D20"/>
    <mergeCell ref="A38:D38"/>
    <mergeCell ref="A2:D2"/>
    <mergeCell ref="A28:D28"/>
  </mergeCells>
  <pageMargins left="0.7" right="0.7" top="0.75" bottom="0.75" header="0.3" footer="0.3"/>
  <legacyDrawing r:id="R3310d6015f0f4e54"/>
</worksheet>
</file>
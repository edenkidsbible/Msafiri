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1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2.xml" ContentType="application/vnd.openxmlformats-officedocument.spreadsheetml.comments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omments3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ables/table22.xml" ContentType="application/vnd.openxmlformats-officedocument.spreadsheetml.table+xml"/>
  <Override PartName="/xl/worksheets/sheet4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774348b75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5ce65b43158404b"/>
    <x:sheet xmlns:r="http://schemas.openxmlformats.org/officeDocument/2006/relationships" name="Founder Dashboard" sheetId="2" r:id="R25265cc7571b48e0"/>
    <x:sheet xmlns:r="http://schemas.openxmlformats.org/officeDocument/2006/relationships" name="Assumptions" sheetId="3" r:id="Rfc47800930da4b52"/>
    <x:sheet xmlns:r="http://schemas.openxmlformats.org/officeDocument/2006/relationships" name="Weekly Command Center" sheetId="4" r:id="Rf3a705a0407d44b7"/>
    <x:sheet xmlns:r="http://schemas.openxmlformats.org/officeDocument/2006/relationships" name="Cash &amp; Runway" sheetId="5" r:id="Rebbaf377849246a2"/>
    <x:sheet xmlns:r="http://schemas.openxmlformats.org/officeDocument/2006/relationships" name="Money Log" sheetId="6" r:id="Rb0e8cd9821c940de"/>
    <x:sheet xmlns:r="http://schemas.openxmlformats.org/officeDocument/2006/relationships" name="Revenue &amp; Subscriptions" sheetId="7" r:id="R02982da3c6d64328"/>
    <x:sheet xmlns:r="http://schemas.openxmlformats.org/officeDocument/2006/relationships" name="Fuel &amp; Field Ops" sheetId="8" r:id="R397dc32a92854de1"/>
    <x:sheet xmlns:r="http://schemas.openxmlformats.org/officeDocument/2006/relationships" name="24-Week Operating Plan" sheetId="9" r:id="R2a7ae46d106840aa"/>
    <x:sheet xmlns:r="http://schemas.openxmlformats.org/officeDocument/2006/relationships" name="Business Foundation" sheetId="10" r:id="R2066b1348c6243e5"/>
    <x:sheet xmlns:r="http://schemas.openxmlformats.org/officeDocument/2006/relationships" name="Growth Gates" sheetId="11" r:id="Ra2a69c6461804b45"/>
    <x:sheet xmlns:r="http://schemas.openxmlformats.org/officeDocument/2006/relationships" name="Weekly Review" sheetId="12" r:id="R3beba44587f84be9"/>
    <x:sheet xmlns:r="http://schemas.openxmlformats.org/officeDocument/2006/relationships" name="Growth Experiments" sheetId="13" r:id="R8e5518617d8b4f82"/>
    <x:sheet xmlns:r="http://schemas.openxmlformats.org/officeDocument/2006/relationships" name="Ads Testing" sheetId="14" r:id="Rde2eb84e248748bc"/>
    <x:sheet xmlns:r="http://schemas.openxmlformats.org/officeDocument/2006/relationships" name="Micro-Influencer Tracker" sheetId="15" r:id="Rd4841aee0a5541cd"/>
    <x:sheet xmlns:r="http://schemas.openxmlformats.org/officeDocument/2006/relationships" name="User Research CRM" sheetId="16" r:id="R954f7d6c9a5a4658"/>
    <x:sheet xmlns:r="http://schemas.openxmlformats.org/officeDocument/2006/relationships" name="Road Data Ops" sheetId="17" r:id="R7b0b24ccc922433b"/>
    <x:sheet xmlns:r="http://schemas.openxmlformats.org/officeDocument/2006/relationships" name="Product Backlog" sheetId="18" r:id="R594f523bc555418e"/>
    <x:sheet xmlns:r="http://schemas.openxmlformats.org/officeDocument/2006/relationships" name="Partnership CRM" sheetId="19" r:id="Rf059f78c33a845f6"/>
    <x:sheet xmlns:r="http://schemas.openxmlformats.org/officeDocument/2006/relationships" name="Revenue Experiments" sheetId="20" r:id="R9b0e66e54857471d"/>
    <x:sheet xmlns:r="http://schemas.openxmlformats.org/officeDocument/2006/relationships" name="Hiring &amp; Office Gates" sheetId="21" r:id="Rb4394b63ffe84a13"/>
    <x:sheet xmlns:r="http://schemas.openxmlformats.org/officeDocument/2006/relationships" name="Compliance &amp; Admin" sheetId="22" r:id="Rc940dea11a1b4fd0"/>
    <x:sheet xmlns:r="http://schemas.openxmlformats.org/officeDocument/2006/relationships" name="Risk Register" sheetId="23" r:id="R8b4de72874574d6a"/>
    <x:sheet xmlns:r="http://schemas.openxmlformats.org/officeDocument/2006/relationships" name="SOP Library" sheetId="24" r:id="Ra401193860e74496"/>
    <x:sheet xmlns:r="http://schemas.openxmlformats.org/officeDocument/2006/relationships" name="Competitor Watch" sheetId="25" r:id="Re6faf9da02944f9b"/>
    <x:sheet xmlns:r="http://schemas.openxmlformats.org/officeDocument/2006/relationships" name="Content Guide" sheetId="26" r:id="R6a19b010fa37437a"/>
    <x:sheet xmlns:r="http://schemas.openxmlformats.org/officeDocument/2006/relationships" name="Content Dashboard" sheetId="27" r:id="R03be44be4be54b4c"/>
    <x:sheet xmlns:r="http://schemas.openxmlformats.org/officeDocument/2006/relationships" name="Phase 1 Calendar" sheetId="28" r:id="Rf5deeed288314953"/>
    <x:sheet xmlns:r="http://schemas.openxmlformats.org/officeDocument/2006/relationships" name="Weekly Themes" sheetId="29" r:id="Ra2f41866e61849ad"/>
    <x:sheet xmlns:r="http://schemas.openxmlformats.org/officeDocument/2006/relationships" name="Audience Map" sheetId="30" r:id="Rf085377a3cd44da0"/>
    <x:sheet xmlns:r="http://schemas.openxmlformats.org/officeDocument/2006/relationships" name="Feature Story Map" sheetId="31" r:id="R2c6c1f67d5094ee2"/>
    <x:sheet xmlns:r="http://schemas.openxmlformats.org/officeDocument/2006/relationships" name="Content Idea Bank" sheetId="32" r:id="R8a4e7aec60bf4ede"/>
    <x:sheet xmlns:r="http://schemas.openxmlformats.org/officeDocument/2006/relationships" name="Series Playbook" sheetId="33" r:id="R67fca4416ad748a8"/>
    <x:sheet xmlns:r="http://schemas.openxmlformats.org/officeDocument/2006/relationships" name="Hook Bank" sheetId="34" r:id="R0e00ba22bec34225"/>
    <x:sheet xmlns:r="http://schemas.openxmlformats.org/officeDocument/2006/relationships" name="CTA Bank" sheetId="35" r:id="Rcf7260af89974675"/>
    <x:sheet xmlns:r="http://schemas.openxmlformats.org/officeDocument/2006/relationships" name="Script Templates" sheetId="36" r:id="R90d40645da444e30"/>
    <x:sheet xmlns:r="http://schemas.openxmlformats.org/officeDocument/2006/relationships" name="Shot Bank" sheetId="37" r:id="Rd89df77c983f49b2"/>
    <x:sheet xmlns:r="http://schemas.openxmlformats.org/officeDocument/2006/relationships" name="Production Tracker" sheetId="38" r:id="R2aa0f2ef9fa04391"/>
    <x:sheet xmlns:r="http://schemas.openxmlformats.org/officeDocument/2006/relationships" name="Content Experiments" sheetId="39" r:id="R03dd8cfb36fa46a0"/>
    <x:sheet xmlns:r="http://schemas.openxmlformats.org/officeDocument/2006/relationships" name="Content Metrics" sheetId="40" r:id="Raa309f2fec8d464f"/>
    <x:sheet xmlns:r="http://schemas.openxmlformats.org/officeDocument/2006/relationships" name="KPI Decision Rules" sheetId="41" r:id="Rf8d11890a1d64d2f"/>
    <x:sheet xmlns:r="http://schemas.openxmlformats.org/officeDocument/2006/relationships" name="Campaign Moments" sheetId="42" r:id="Ra3dfab69bf874e86"/>
    <x:sheet xmlns:r="http://schemas.openxmlformats.org/officeDocument/2006/relationships" name="Safety &amp; Compliance" sheetId="43" r:id="Ra60fee4824e04bbb"/>
    <x:sheet xmlns:r="http://schemas.openxmlformats.org/officeDocument/2006/relationships" name="Sources" sheetId="44" r:id="R83362e2cd44f4c32"/>
    <x:sheet xmlns:r="http://schemas.openxmlformats.org/officeDocument/2006/relationships" name="Lists" sheetId="45" r:id="Rb14d8c52d2e648d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This sheet contains formulas. Google Sheets or Excel will recalculate them after import/open.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This sheet contains formulas. Google Sheets or Excel will recalculate them after import/open.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This sheet contains formulas. Google Sheets or Excel will recalculate them after import/open.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0.0%"/>
    <x:numFmt numFmtId="165" formatCode="dd mmm yyyy"/>
    <x:numFmt numFmtId="166" formatCode="&quot;KES &quot; #,##0;[Red](&quot;KES &quot; #,##0);-"/>
    <x:numFmt numFmtId="167" formatCode="yyyy-mm-dd h:mm:ss"/>
    <x:numFmt numFmtId="168" formatCode="dd-mmm-yy"/>
    <x:numFmt numFmtId="169" formatCode="#,##0;[Red](#,##0);-"/>
    <x:numFmt numFmtId="170" formatCode="#,##0.0;[Red](#,##0.0);-"/>
    <x:numFmt numFmtId="171" formatCode="&quot;KES &quot; #,##0.00;[Red](&quot;KES &quot; #,##0.00);-"/>
    <x:numFmt numFmtId="172" formatCode="0.0"/>
    <x:numFmt numFmtId="173" formatCode="d mmm yyyy"/>
  </x:numFmts>
  <x:fonts count="27">
    <x:font>
      <x:sz val="11"/>
      <x:color theme="1"/>
      <x:name val="Calibri"/>
    </x:font>
    <x:font>
      <x:b/>
      <x:sz val="18"/>
      <x:color rgb="FFFFFFFF"/>
      <x:name val="Aptos"/>
    </x:font>
    <x:font>
      <x:i/>
      <x:sz val="10"/>
      <x:color rgb="FF0E7490"/>
      <x:name val="Aptos"/>
    </x:font>
    <x:font>
      <x:b/>
      <x:sz val="10"/>
      <x:color rgb="FFFFFFFF"/>
      <x:name val="Aptos"/>
    </x:font>
    <x:font>
      <x:sz val="9"/>
      <x:color rgb="FF666666"/>
      <x:name val="Aptos"/>
    </x:font>
    <x:font>
      <x:b/>
      <x:sz val="12"/>
      <x:color rgb="FFFFFFFF"/>
      <x:name val="Aptos"/>
    </x:font>
    <x:font>
      <x:b/>
      <x:sz val="9"/>
      <x:color rgb="FFF59E0B"/>
      <x:name val="Aptos"/>
    </x:font>
    <x:font>
      <x:sz val="9"/>
      <x:color rgb="FF0000FF"/>
      <x:name val="Aptos"/>
    </x:font>
    <x:font>
      <x:sz val="9"/>
      <x:color rgb="FF000000"/>
      <x:name val="Aptos"/>
    </x:font>
    <x:font>
      <x:sz val="9"/>
      <x:color rgb="FF008000"/>
      <x:name val="Aptos"/>
    </x:font>
    <x:font>
      <x:b/>
      <x:sz val="18"/>
      <x:color rgb="FFFFFFFF"/>
      <x:name val="Aptos Display"/>
    </x:font>
    <x:font>
      <x:sz val="10"/>
      <x:color rgb="FF0E7490"/>
      <x:name val="Aptos"/>
    </x:font>
    <x:font>
      <x:b/>
      <x:sz val="11"/>
      <x:color rgb="FFFFFFFF"/>
      <x:name val="Aptos"/>
    </x:font>
    <x:font>
      <x:b/>
      <x:sz val="9"/>
      <x:color rgb="FFFFFFFF"/>
      <x:name val="Aptos"/>
    </x:font>
    <x:font>
      <x:sz val="9"/>
      <x:color rgb="FF000000"/>
      <x:name val="Aptos"/>
    </x:font>
    <x:font>
      <x:sz val="9"/>
      <x:color rgb="FF0000FF"/>
      <x:name val="Aptos"/>
    </x:font>
    <x:font>
      <x:b/>
      <x:sz val="9"/>
      <x:color rgb="FF000000"/>
      <x:name val="Aptos"/>
    </x:font>
    <x:font>
      <x:b/>
      <x:sz val="8"/>
      <x:color rgb="FFFFFFFF"/>
      <x:name val="Aptos"/>
    </x:font>
    <x:font>
      <x:b/>
      <x:sz val="16"/>
      <x:color rgb="FF000000"/>
      <x:name val="Aptos"/>
    </x:font>
    <x:font>
      <x:sz val="9"/>
      <x:color rgb="FF667085"/>
      <x:name val="Aptos"/>
    </x:font>
    <x:font>
      <x:b/>
      <x:sz val="10"/>
      <x:color rgb="FF000000"/>
      <x:name val="Aptos"/>
    </x:font>
    <x:font>
      <x:b/>
      <x:sz val="9"/>
      <x:color rgb="FFEA580C"/>
      <x:name val="Aptos"/>
    </x:font>
    <x:font>
      <x:b/>
      <x:sz val="11"/>
      <x:color rgb="FF000000"/>
      <x:name val="Aptos"/>
    </x:font>
    <x:font>
      <x:b/>
      <x:sz val="10"/>
      <x:color rgb="FFEA580C"/>
      <x:name val="Aptos"/>
    </x:font>
    <x:font>
      <x:b/>
      <x:sz val="10"/>
      <x:color rgb="FF14804A"/>
      <x:name val="Calibri"/>
    </x:font>
    <x:font>
      <x:sz val="10"/>
      <x:color rgb="FF0000FF"/>
      <x:name val="Calibri"/>
    </x:font>
    <x:font>
      <x:sz val="10"/>
      <x:color rgb="FF667085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F0F4"/>
      </x:patternFill>
    </x:fill>
    <x:fill>
      <x:patternFill patternType="solid">
        <x:fgColor rgb="FF0E7490"/>
      </x:patternFill>
    </x:fill>
    <x:fill>
      <x:patternFill patternType="solid">
        <x:fgColor rgb="FF6B46C1"/>
      </x:patternFill>
    </x:fill>
    <x:fill>
      <x:patternFill patternType="solid">
        <x:fgColor rgb="FFFBFCFD"/>
      </x:patternFill>
    </x:fill>
    <x:fill>
      <x:patternFill patternType="solid">
        <x:fgColor rgb="FFFFFFFF"/>
      </x:patternFill>
    </x:fill>
    <x:fill>
      <x:patternFill patternType="solid">
        <x:fgColor rgb="FFFFF3D4"/>
      </x:patternFill>
    </x:fill>
    <x:fill>
      <x:patternFill patternType="solid">
        <x:fgColor rgb="FFEAF2FF"/>
      </x:patternFill>
    </x:fill>
    <x:fill>
      <x:patternFill patternType="solid">
        <x:fgColor rgb="FF102A43"/>
      </x:patternFill>
    </x:fill>
    <x:fill>
      <x:patternFill patternType="solid">
        <x:fgColor rgb="FFD9F0F4"/>
      </x:patternFill>
    </x:fill>
    <x:fill>
      <x:patternFill patternType="solid">
        <x:fgColor rgb="FF0E7490"/>
      </x:patternFill>
    </x:fill>
    <x:fill>
      <x:patternFill patternType="solid">
        <x:fgColor rgb="FFFAFAFA"/>
      </x:patternFill>
    </x:fill>
    <x:fill>
      <x:patternFill patternType="solid">
        <x:fgColor rgb="FFDBEAFE"/>
      </x:patternFill>
    </x:fill>
    <x:fill>
      <x:patternFill patternType="solid">
        <x:fgColor rgb="FF6B46C1"/>
      </x:patternFill>
    </x:fill>
    <x:fill>
      <x:patternFill patternType="solid">
        <x:fgColor rgb="FFEA580C"/>
      </x:patternFill>
    </x:fill>
    <x:fill>
      <x:patternFill patternType="solid">
        <x:fgColor rgb="FFF3F4F6"/>
      </x:patternFill>
    </x:fill>
    <x:fill>
      <x:patternFill patternType="solid">
        <x:fgColor rgb="FFEDE9FE"/>
      </x:patternFill>
    </x:fill>
    <x:fill>
      <x:patternFill patternType="solid">
        <x:fgColor rgb="FFFFEDD5"/>
      </x:patternFill>
    </x:fill>
  </x:fills>
  <x:borders count="6">
    <x:border/>
    <x:border>
      <x:bottom style="medium">
        <x:color rgb="FF0E7490"/>
      </x:bottom>
    </x:border>
    <x:border>
      <x:bottom style="thin">
        <x:color rgb="FFD9E2EC"/>
      </x:bottom>
    </x:border>
    <x:border>
      <x:bottom style="medium">
        <x:color rgb="FF102A43"/>
      </x:bottom>
    </x:border>
    <x:border>
      <x:bottom style="hair">
        <x:color rgb="FFE5E7EB"/>
      </x:bottom>
    </x:border>
    <x:border>
      <x:top style="medium">
        <x:color rgb="FF102A43"/>
      </x:top>
    </x:border>
  </x:borders>
  <x:cellStyleXfs count="1">
    <x:xf numFmtId="0" fontId="0" fillId="0" borderId="0"/>
  </x:cellStyleXfs>
  <x:cellXfs count="136">
    <x:xf numFmtId="0" fontId="0" fillId="0" borderId="0" xfId="0"/>
    <x:xf numFmtId="0" fontId="1" fillId="2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5" fillId="4" borderId="0" xfId="0" applyAlignment="1">
      <x:alignment vertical="top" wrapText="1"/>
    </x:xf>
    <x:xf numFmtId="0" fontId="3" fillId="5" borderId="1" xfId="0" applyAlignment="1">
      <x:alignment vertical="top" wrapText="1"/>
    </x:xf>
    <x:xf numFmtId="0" fontId="4" fillId="6" borderId="2" xfId="0" applyAlignment="1">
      <x:alignment vertical="top" wrapText="1"/>
    </x:xf>
    <x:xf numFmtId="0" fontId="6" fillId="8" borderId="2" xfId="0" applyAlignment="1">
      <x:alignment vertical="top" wrapText="1"/>
    </x:xf>
    <x:xf numFmtId="0" fontId="4" fillId="7" borderId="2" xfId="0" applyAlignment="1">
      <x:alignment vertical="top" wrapText="1"/>
    </x:xf>
    <x:xf numFmtId="0" fontId="5" fillId="2" borderId="0" xfId="0" applyAlignment="1">
      <x:alignment vertical="top" wrapText="1"/>
    </x:xf>
    <x:xf numFmtId="0" fontId="3" fillId="4" borderId="1" xfId="0" applyAlignment="1">
      <x:alignment vertical="top" wrapText="1"/>
    </x:xf>
    <x:xf numFmtId="0" fontId="3" fillId="2" borderId="1" xfId="0" applyAlignment="1">
      <x:alignment vertical="top" wrapText="1"/>
    </x:xf>
    <x:xf numFmtId="0" fontId="5" fillId="5" borderId="0" xfId="0" applyAlignment="1">
      <x:alignment vertical="top" wrapText="1"/>
    </x:xf>
    <x:xf numFmtId="0" fontId="4" fillId="0" borderId="2" xfId="0" applyAlignment="1">
      <x:alignment vertical="top" wrapText="1"/>
    </x:xf>
    <x:xf numFmtId="3" fontId="8" fillId="7" borderId="2" xfId="0" applyAlignment="1">
      <x:alignment vertical="top" wrapText="1"/>
    </x:xf>
    <x:xf numFmtId="0" fontId="8" fillId="7" borderId="2" xfId="0" applyAlignment="1">
      <x:alignment vertical="top" wrapText="1"/>
    </x:xf>
    <x:xf numFmtId="164" fontId="8" fillId="7" borderId="2" xfId="0" applyAlignment="1">
      <x:alignment vertical="top" wrapText="1"/>
    </x:xf>
    <x:xf numFmtId="3" fontId="7" fillId="9" borderId="2" xfId="0" applyAlignment="1">
      <x:alignment vertical="top" wrapText="1"/>
    </x:xf>
    <x:xf numFmtId="165" fontId="7" fillId="9" borderId="2" xfId="0" applyAlignment="1">
      <x:alignment vertical="top" wrapText="1"/>
    </x:xf>
    <x:xf numFmtId="165" fontId="4" fillId="7" borderId="2" xfId="0" applyAlignment="1">
      <x:alignment vertical="top" wrapText="1"/>
    </x:xf>
    <x:xf numFmtId="165" fontId="4" fillId="6" borderId="2" xfId="0" applyAlignment="1">
      <x:alignment vertical="top" wrapText="1"/>
    </x:xf>
    <x:xf numFmtId="165" fontId="8" fillId="7" borderId="2" xfId="0" applyAlignment="1">
      <x:alignment vertical="top" wrapText="1"/>
    </x:xf>
    <x:xf numFmtId="0" fontId="7" fillId="9" borderId="2" xfId="0" applyAlignment="1">
      <x:alignment vertical="top" wrapText="1"/>
    </x:xf>
    <x:xf numFmtId="3" fontId="4" fillId="6" borderId="2" xfId="0" applyAlignment="1">
      <x:alignment vertical="top" wrapText="1"/>
    </x:xf>
    <x:xf numFmtId="3" fontId="4" fillId="7" borderId="2" xfId="0" applyAlignment="1">
      <x:alignment vertical="top" wrapText="1"/>
    </x:xf>
    <x:xf numFmtId="0" fontId="9" fillId="9" borderId="2" xfId="0" applyAlignment="1">
      <x:alignment vertical="top" wrapText="1"/>
    </x:xf>
    <x:xf numFmtId="164" fontId="8" fillId="7" borderId="2" xfId="0" applyAlignment="1">
      <x:alignment vertical="top" wrapText="1"/>
    </x:xf>
    <x:xf numFmtId="0" fontId="10" fillId="10" borderId="0" xfId="0" applyAlignment="1">
      <x:alignment vertical="center"/>
    </x:xf>
    <x:xf numFmtId="0" fontId="11" fillId="11" borderId="0" xfId="0" applyAlignment="1">
      <x:alignment vertical="center" wrapText="1"/>
    </x:xf>
    <x:xf numFmtId="0" fontId="12" fillId="10" borderId="0" xfId="0" applyAlignment="1">
      <x:alignment vertical="center"/>
    </x:xf>
    <x:xf numFmtId="0" fontId="13" fillId="12" borderId="3" xfId="0" applyAlignment="1">
      <x:alignment vertical="center" wrapText="1"/>
    </x:xf>
    <x:xf numFmtId="0" fontId="14" fillId="13" borderId="4" xfId="0" applyAlignment="1">
      <x:alignment vertical="top" wrapText="1"/>
    </x:xf>
    <x:xf numFmtId="0" fontId="14" fillId="0" borderId="4" xfId="0" applyAlignment="1">
      <x:alignment vertical="top" wrapText="1"/>
    </x:xf>
    <x:xf numFmtId="0" fontId="12" fillId="15" borderId="0" xfId="0" applyAlignment="1">
      <x:alignment vertical="center"/>
    </x:xf>
    <x:xf numFmtId="0" fontId="13" fillId="10" borderId="3" xfId="0" applyAlignment="1">
      <x:alignment vertical="center" wrapText="1"/>
    </x:xf>
    <x:xf numFmtId="0" fontId="12" fillId="12" borderId="0" xfId="0" applyAlignment="1">
      <x:alignment vertical="center"/>
    </x:xf>
    <x:xf numFmtId="0" fontId="12" fillId="16" borderId="0" xfId="0" applyAlignment="1">
      <x:alignment vertical="center"/>
    </x:xf>
    <x:xf numFmtId="0" fontId="19" fillId="0" borderId="0" xfId="0"/>
    <x:xf numFmtId="1" fontId="22" fillId="11" borderId="0" xfId="0" applyAlignment="1">
      <x:alignment horizontal="right"/>
    </x:xf>
    <x:xf numFmtId="169" fontId="22" fillId="18" borderId="0" xfId="0" applyAlignment="1">
      <x:alignment horizontal="right"/>
    </x:xf>
    <x:xf numFmtId="0" fontId="23" fillId="19" borderId="0" xfId="0" applyAlignment="1">
      <x:alignment horizontal="center" wrapText="1"/>
    </x:xf>
    <x:xf numFmtId="166" fontId="22" fillId="11" borderId="0" xfId="0" applyAlignment="1">
      <x:alignment horizontal="right"/>
    </x:xf>
    <x:xf numFmtId="166" fontId="22" fillId="18" borderId="0" xfId="0" applyAlignment="1">
      <x:alignment horizontal="right"/>
    </x:xf>
    <x:xf numFmtId="164" fontId="22" fillId="18" borderId="0" xfId="0" applyAlignment="1">
      <x:alignment horizontal="right"/>
    </x:xf>
    <x:xf numFmtId="171" fontId="22" fillId="11" borderId="0" xfId="0" applyAlignment="1">
      <x:alignment horizontal="right"/>
    </x:xf>
    <x:xf numFmtId="170" fontId="22" fillId="18" borderId="0" xfId="0" applyAlignment="1">
      <x:alignment horizontal="right"/>
    </x:xf>
    <x:xf numFmtId="166" fontId="14" fillId="13" borderId="4" xfId="0" applyAlignment="1">
      <x:alignment vertical="top" wrapText="1"/>
    </x:xf>
    <x:xf numFmtId="168" fontId="20" fillId="17" borderId="0" xfId="0" applyAlignment="1">
      <x:alignment wrapText="1"/>
    </x:xf>
    <x:xf numFmtId="166" fontId="14" fillId="0" borderId="4" xfId="0" applyAlignment="1">
      <x:alignment vertical="top" wrapText="1"/>
    </x:xf>
    <x:xf numFmtId="166" fontId="20" fillId="17" borderId="0" xfId="0" applyAlignment="1">
      <x:alignment wrapText="1"/>
    </x:xf>
    <x:xf numFmtId="169" fontId="20" fillId="17" borderId="0" xfId="0" applyAlignment="1">
      <x:alignment wrapText="1"/>
    </x:xf>
    <x:xf numFmtId="170" fontId="20" fillId="17" borderId="0" xfId="0" applyAlignment="1">
      <x:alignment wrapText="1"/>
    </x:xf>
    <x:xf numFmtId="0" fontId="20" fillId="17" borderId="0" xfId="0" applyAlignment="1">
      <x:alignment wrapText="1"/>
    </x:xf>
    <x:xf numFmtId="166" fontId="15" fillId="14" borderId="4" xfId="0" applyAlignment="1">
      <x:alignment vertical="top" wrapText="1"/>
    </x:xf>
    <x:xf numFmtId="168" fontId="15" fillId="14" borderId="4" xfId="0" applyAlignment="1">
      <x:alignment vertical="top" wrapText="1"/>
    </x:xf>
    <x:xf numFmtId="1" fontId="15" fillId="14" borderId="4" xfId="0" applyAlignment="1">
      <x:alignment vertical="top" wrapText="1"/>
    </x:xf>
    <x:xf numFmtId="2" fontId="15" fillId="14" borderId="4" xfId="0" applyAlignment="1">
      <x:alignment vertical="top" wrapText="1"/>
    </x:xf>
    <x:xf numFmtId="170" fontId="15" fillId="14" borderId="4" xfId="0" applyAlignment="1">
      <x:alignment vertical="top" wrapText="1"/>
    </x:xf>
    <x:xf numFmtId="171" fontId="14" fillId="13" borderId="4" xfId="0" applyAlignment="1">
      <x:alignment vertical="top" wrapText="1"/>
    </x:xf>
    <x:xf numFmtId="169" fontId="15" fillId="14" borderId="4" xfId="0" applyAlignment="1">
      <x:alignment vertical="top" wrapText="1"/>
    </x:xf>
    <x:xf numFmtId="164" fontId="15" fillId="14" borderId="4" xfId="0" applyAlignment="1">
      <x:alignment vertical="top" wrapText="1"/>
    </x:xf>
    <x:xf numFmtId="0" fontId="16" fillId="13" borderId="5" xfId="0" applyAlignment="1">
      <x:alignment vertical="top" wrapText="1"/>
    </x:xf>
    <x:xf numFmtId="166" fontId="14" fillId="13" borderId="5" xfId="0" applyAlignment="1">
      <x:alignment vertical="top" wrapText="1"/>
    </x:xf>
    <x:xf numFmtId="0" fontId="14" fillId="13" borderId="5" xfId="0" applyAlignment="1">
      <x:alignment vertical="top" wrapText="1"/>
    </x:xf>
    <x:xf numFmtId="0" fontId="16" fillId="0" borderId="5" xfId="0" applyAlignment="1">
      <x:alignment vertical="top" wrapText="1"/>
    </x:xf>
    <x:xf numFmtId="166" fontId="14" fillId="0" borderId="5" xfId="0" applyAlignment="1">
      <x:alignment vertical="top" wrapText="1"/>
    </x:xf>
    <x:xf numFmtId="0" fontId="14" fillId="0" borderId="5" xfId="0" applyAlignment="1">
      <x:alignment vertical="top" wrapText="1"/>
    </x:xf>
    <x:xf numFmtId="1" fontId="20" fillId="17" borderId="0" xfId="0" applyAlignment="1">
      <x:alignment vertical="center"/>
    </x:xf>
    <x:xf numFmtId="169" fontId="20" fillId="18" borderId="0" xfId="0" applyAlignment="1">
      <x:alignment vertical="center"/>
    </x:xf>
    <x:xf numFmtId="0" fontId="21" fillId="19" borderId="0" xfId="0" applyAlignment="1">
      <x:alignment vertical="center" wrapText="1"/>
    </x:xf>
    <x:xf numFmtId="168" fontId="20" fillId="17" borderId="0" xfId="0" applyAlignment="1">
      <x:alignment vertical="center"/>
    </x:xf>
    <x:xf numFmtId="166" fontId="20" fillId="17" borderId="0" xfId="0" applyAlignment="1">
      <x:alignment vertical="center"/>
    </x:xf>
    <x:xf numFmtId="166" fontId="20" fillId="18" borderId="0" xfId="0" applyAlignment="1">
      <x:alignment vertical="center"/>
    </x:xf>
    <x:xf numFmtId="170" fontId="20" fillId="18" borderId="0" xfId="0" applyAlignment="1">
      <x:alignment vertical="center"/>
    </x:xf>
    <x:xf numFmtId="171" fontId="20" fillId="17" borderId="0" xfId="0" applyAlignment="1">
      <x:alignment vertical="center"/>
    </x:xf>
    <x:xf numFmtId="0" fontId="17" fillId="12" borderId="3" xfId="0" applyAlignment="1">
      <x:alignment vertical="center" wrapText="1"/>
    </x:xf>
    <x:xf numFmtId="0" fontId="15" fillId="0" borderId="4" xfId="0" applyAlignment="1">
      <x:alignment vertical="top" wrapText="1"/>
    </x:xf>
    <x:xf numFmtId="0" fontId="15" fillId="13" borderId="4" xfId="0" applyAlignment="1">
      <x:alignment vertical="top" wrapText="1"/>
    </x:xf>
    <x:xf numFmtId="0" fontId="17" fillId="10" borderId="3" xfId="0" applyAlignment="1">
      <x:alignment vertical="center" wrapText="1"/>
    </x:xf>
    <x:xf numFmtId="168" fontId="14" fillId="0" borderId="4" xfId="0" applyAlignment="1">
      <x:alignment vertical="top" wrapText="1"/>
    </x:xf>
    <x:xf numFmtId="168" fontId="14" fillId="13" borderId="4" xfId="0" applyAlignment="1">
      <x:alignment vertical="top" wrapText="1"/>
    </x:xf>
    <x:xf numFmtId="168" fontId="15" fillId="0" borderId="4" xfId="0" applyAlignment="1">
      <x:alignment vertical="top" wrapText="1"/>
    </x:xf>
    <x:xf numFmtId="1" fontId="14" fillId="0" borderId="4" xfId="0" applyAlignment="1">
      <x:alignment vertical="top" wrapText="1"/>
    </x:xf>
    <x:xf numFmtId="168" fontId="15" fillId="13" borderId="4" xfId="0" applyAlignment="1">
      <x:alignment vertical="top" wrapText="1"/>
    </x:xf>
    <x:xf numFmtId="1" fontId="14" fillId="13" borderId="4" xfId="0" applyAlignment="1">
      <x:alignment vertical="top" wrapText="1"/>
    </x:xf>
    <x:xf numFmtId="0" fontId="13" fillId="15" borderId="3" xfId="0" applyAlignment="1">
      <x:alignment vertical="center" wrapText="1"/>
    </x:xf>
    <x:xf numFmtId="169" fontId="14" fillId="0" borderId="4" xfId="0" applyAlignment="1">
      <x:alignment vertical="top" wrapText="1"/>
    </x:xf>
    <x:xf numFmtId="164" fontId="14" fillId="0" borderId="4" xfId="0" applyAlignment="1">
      <x:alignment vertical="top" wrapText="1"/>
    </x:xf>
    <x:xf numFmtId="169" fontId="14" fillId="13" borderId="4" xfId="0" applyAlignment="1">
      <x:alignment vertical="top" wrapText="1"/>
    </x:xf>
    <x:xf numFmtId="164" fontId="14" fillId="13" borderId="4" xfId="0" applyAlignment="1">
      <x:alignment vertical="top" wrapText="1"/>
    </x:xf>
    <x:xf numFmtId="0" fontId="13" fillId="10" borderId="0" xfId="0" applyAlignment="1">
      <x:alignment horizontal="center"/>
    </x:xf>
    <x:xf numFmtId="166" fontId="18" fillId="11" borderId="0" xfId="0" applyAlignment="1">
      <x:alignment horizontal="center" vertical="center"/>
    </x:xf>
    <x:xf numFmtId="170" fontId="18" fillId="11" borderId="0" xfId="0" applyAlignment="1">
      <x:alignment horizontal="center" vertical="center"/>
    </x:xf>
    <x:xf numFmtId="171" fontId="18" fillId="11" borderId="0" xfId="0" applyAlignment="1">
      <x:alignment horizontal="center" vertical="center"/>
    </x:xf>
    <x:xf numFmtId="169" fontId="18" fillId="11" borderId="0" xfId="0" applyAlignment="1">
      <x:alignment horizontal="center" vertical="center"/>
    </x:xf>
    <x:xf numFmtId="171" fontId="14" fillId="0" borderId="4" xfId="0" applyAlignment="1">
      <x:alignment vertical="top" wrapText="1"/>
    </x:xf>
    <x:xf numFmtId="170" fontId="14" fillId="0" borderId="4" xfId="0" applyAlignment="1">
      <x:alignment vertical="top" wrapText="1"/>
    </x:xf>
    <x:xf numFmtId="170" fontId="14" fillId="13" borderId="4" xfId="0" applyAlignment="1">
      <x:alignment vertical="top" wrapText="1"/>
    </x:xf>
    <x:xf numFmtId="0" fontId="17" fillId="16" borderId="3" xfId="0" applyAlignment="1">
      <x:alignment vertical="center" wrapText="1"/>
    </x:xf>
    <x:xf numFmtId="172" fontId="14" fillId="0" borderId="4" xfId="0" applyAlignment="1">
      <x:alignment vertical="top" wrapText="1"/>
    </x:xf>
    <x:xf numFmtId="172" fontId="14" fillId="13" borderId="4" xfId="0" applyAlignment="1">
      <x:alignment vertical="top" wrapText="1"/>
    </x:xf>
    <x:xf numFmtId="0" fontId="17" fillId="15" borderId="3" xfId="0" applyAlignment="1">
      <x:alignment vertical="center" wrapText="1"/>
    </x:xf>
    <x:xf numFmtId="169" fontId="22" fillId="11" borderId="0" xfId="0" applyAlignment="1">
      <x:alignment horizontal="right"/>
    </x:xf>
    <x:xf numFmtId="169" fontId="23" fillId="19" borderId="0" xfId="0" applyAlignment="1">
      <x:alignment horizontal="right" wrapText="1"/>
    </x:xf>
    <x:xf numFmtId="166" fontId="23" fillId="19" borderId="0" xfId="0" applyAlignment="1">
      <x:alignment horizontal="right" wrapText="1"/>
    </x:xf>
    <x:xf numFmtId="164" fontId="22" fillId="11" borderId="0" xfId="0" applyAlignment="1">
      <x:alignment horizontal="right"/>
    </x:xf>
    <x:xf numFmtId="0" fontId="23" fillId="19" borderId="0" xfId="0" applyAlignment="1">
      <x:alignment horizontal="right" wrapText="1"/>
    </x:xf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5" fillId="2" borderId="1" xfId="0" applyAlignment="1">
      <x:alignment horizontal="center" vertical="center" wrapText="1"/>
    </x:xf>
    <x:xf numFmtId="173" fontId="9" fillId="6" borderId="0" xfId="0" applyAlignment="1">
      <x:alignment vertical="top" wrapText="1"/>
    </x:xf>
    <x:xf numFmtId="0" fontId="9" fillId="6" borderId="0" xfId="0" applyAlignment="1">
      <x:alignment vertical="top" wrapText="1"/>
    </x:xf>
    <x:xf numFmtId="3" fontId="9" fillId="6" borderId="0" xfId="0" applyAlignment="1">
      <x:alignment vertical="top" wrapText="1"/>
    </x:xf>
    <x:xf numFmtId="0" fontId="24" fillId="6" borderId="0" xfId="0" applyAlignment="1">
      <x:alignment vertical="top" wrapText="1"/>
    </x:xf>
    <x:xf numFmtId="169" fontId="15" fillId="14" borderId="0" xfId="0" applyAlignment="1">
      <x:alignment vertical="top" wrapText="1"/>
    </x:xf>
    <x:xf numFmtId="166" fontId="15" fillId="14" borderId="0" xfId="0" applyAlignment="1">
      <x:alignment vertical="top" wrapText="1"/>
    </x:xf>
    <x:xf numFmtId="0" fontId="25" fillId="6" borderId="0" xfId="0" applyAlignment="1">
      <x:alignment vertical="top" wrapText="1"/>
    </x:xf>
    <x:xf numFmtId="173" fontId="9" fillId="5" borderId="0" xfId="0" applyAlignment="1">
      <x:alignment vertical="top" wrapText="1"/>
    </x:xf>
    <x:xf numFmtId="0" fontId="9" fillId="5" borderId="0" xfId="0" applyAlignment="1">
      <x:alignment vertical="top" wrapText="1"/>
    </x:xf>
    <x:xf numFmtId="3" fontId="9" fillId="5" borderId="0" xfId="0" applyAlignment="1">
      <x:alignment vertical="top" wrapText="1"/>
    </x:xf>
    <x:xf numFmtId="0" fontId="24" fillId="5" borderId="0" xfId="0" applyAlignment="1">
      <x:alignment vertical="top" wrapText="1"/>
    </x:xf>
    <x:xf numFmtId="0" fontId="25" fillId="5" borderId="0" xfId="0" applyAlignment="1">
      <x:alignment vertical="top" wrapText="1"/>
    </x:xf>
    <x:xf numFmtId="0" fontId="26" fillId="6" borderId="0" xfId="0" applyAlignment="1">
      <x:alignment vertical="top" wrapText="1"/>
    </x:xf>
    <x:xf numFmtId="0" fontId="26" fillId="5" borderId="0" xfId="0" applyAlignment="1">
      <x:alignment vertical="top" wrapText="1"/>
    </x:xf>
    <x:xf numFmtId="0" fontId="10" fillId="6" borderId="0" xfId="0" applyAlignment="1">
      <x:alignment vertical="top" wrapText="1"/>
    </x:xf>
    <x:xf numFmtId="3" fontId="10" fillId="6" borderId="0" xfId="0" applyAlignment="1">
      <x:alignment vertical="top" wrapText="1"/>
    </x:xf>
    <x:xf numFmtId="164" fontId="10" fillId="6" borderId="0" xfId="0" applyAlignment="1">
      <x:alignment vertical="top" wrapText="1"/>
    </x:xf>
    <x:xf numFmtId="164" fontId="9" fillId="6" borderId="0" xfId="0" applyAlignment="1">
      <x:alignment vertical="top" wrapText="1"/>
    </x:xf>
    <x:xf numFmtId="169" fontId="10" fillId="6" borderId="0" xfId="0" applyAlignment="1">
      <x:alignment vertical="top" wrapText="1"/>
    </x:xf>
    <x:xf numFmtId="166" fontId="10" fillId="6" borderId="0" xfId="0" applyAlignment="1">
      <x:alignment vertical="top" wrapText="1"/>
    </x:xf>
    <x:xf numFmtId="0" fontId="10" fillId="5" borderId="0" xfId="0" applyAlignment="1">
      <x:alignment vertical="top" wrapText="1"/>
    </x:xf>
    <x:xf numFmtId="3" fontId="10" fillId="5" borderId="0" xfId="0" applyAlignment="1">
      <x:alignment vertical="top" wrapText="1"/>
    </x:xf>
    <x:xf numFmtId="164" fontId="10" fillId="5" borderId="0" xfId="0" applyAlignment="1">
      <x:alignment vertical="top" wrapText="1"/>
    </x:xf>
    <x:xf numFmtId="164" fontId="9" fillId="5" borderId="0" xfId="0" applyAlignment="1">
      <x:alignment vertical="top" wrapText="1"/>
    </x:xf>
    <x:xf numFmtId="169" fontId="10" fillId="5" borderId="0" xfId="0" applyAlignment="1">
      <x:alignment vertical="top" wrapText="1"/>
    </x:xf>
    <x:xf numFmtId="166" fontId="10" fillId="5" borderId="0" xfId="0" applyAlignment="1">
      <x:alignment vertical="top" wrapText="1"/>
    </x:xf>
    <x:xf numFmtId="0" fontId="0" fillId="0" borderId="0" xfId="0" applyAlignment="1">
      <x:alignment vertical="center" wrapText="1"/>
    </x:xf>
  </x:cellXfs>
  <x:cellStyles count="1">
    <x:cellStyle name="Normal" xfId="0"/>
  </x:cellStyles>
  <x:dxfs count="14">
    <x:dxf>
      <x:fill>
        <x:patternFill>
          <x:bgColor rgb="00FCE4E4"/>
        </x:patternFill>
      </x:fill>
    </x:dxf>
    <x:dxf>
      <x:fill>
        <x:patternFill>
          <x:bgColor rgb="00FFF3D4"/>
        </x:patternFill>
      </x:fill>
    </x:dxf>
    <x:dxf>
      <x:fill>
        <x:patternFill>
          <x:bgColor rgb="00E2F5E9"/>
        </x:patternFill>
      </x:fill>
    </x:dxf>
    <x:dxf>
      <x:fill>
        <x:patternFill>
          <x:bgColor rgb="00FEE2E2"/>
        </x:patternFill>
      </x:fill>
    </x:dxf>
    <x:dxf>
      <x:fill>
        <x:patternFill>
          <x:bgColor rgb="00FFEDD5"/>
        </x:patternFill>
      </x:fill>
    </x:dxf>
    <x:dxf>
      <x:fill>
        <x:patternFill>
          <x:bgColor rgb="00F3F6F8"/>
        </x:patternFill>
      </x:fill>
    </x:dxf>
    <x:dxf>
      <x:fill>
        <x:patternFill>
          <x:bgColor rgb="00FFFFFF"/>
        </x:patternFill>
      </x:fill>
    </x:dxf>
    <x:dxf>
      <x:fill>
        <x:patternFill>
          <x:bgColor rgb="00D9EAF7"/>
        </x:patternFill>
      </x:fill>
    </x:dxf>
    <x:dxf>
      <x:fill>
        <x:patternFill>
          <x:bgColor rgb="00EADCF8"/>
        </x:patternFill>
      </x:fill>
    </x:dxf>
    <x:dxf>
      <x:fill>
        <x:patternFill>
          <x:bgColor rgb="00DDEFEA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E2F0D9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03d325fdf4178" /><Relationship Type="http://schemas.openxmlformats.org/officeDocument/2006/relationships/theme" Target="/xl/theme/theme1.xml" Id="Re40e516ef47b4542" /><Relationship Type="http://schemas.openxmlformats.org/officeDocument/2006/relationships/sharedStrings" Target="/xl/sharedStrings.xml" Id="R5067a4b36eea479d" /><Relationship Type="http://schemas.openxmlformats.org/officeDocument/2006/relationships/worksheet" Target="/xl/worksheets/sheet1.xml" Id="R95ce65b43158404b" /><Relationship Type="http://schemas.openxmlformats.org/officeDocument/2006/relationships/worksheet" Target="/xl/worksheets/sheet2.xml" Id="R25265cc7571b48e0" /><Relationship Type="http://schemas.openxmlformats.org/officeDocument/2006/relationships/worksheet" Target="/xl/worksheets/sheet3.xml" Id="Rfc47800930da4b52" /><Relationship Type="http://schemas.openxmlformats.org/officeDocument/2006/relationships/worksheet" Target="/xl/worksheets/sheet4.xml" Id="Rf3a705a0407d44b7" /><Relationship Type="http://schemas.openxmlformats.org/officeDocument/2006/relationships/worksheet" Target="/xl/worksheets/sheet5.xml" Id="Rebbaf377849246a2" /><Relationship Type="http://schemas.openxmlformats.org/officeDocument/2006/relationships/worksheet" Target="/xl/worksheets/sheet6.xml" Id="Rb0e8cd9821c940de" /><Relationship Type="http://schemas.openxmlformats.org/officeDocument/2006/relationships/worksheet" Target="/xl/worksheets/sheet7.xml" Id="R02982da3c6d64328" /><Relationship Type="http://schemas.openxmlformats.org/officeDocument/2006/relationships/worksheet" Target="/xl/worksheets/sheet8.xml" Id="R397dc32a92854de1" /><Relationship Type="http://schemas.openxmlformats.org/officeDocument/2006/relationships/worksheet" Target="/xl/worksheets/sheet9.xml" Id="R2a7ae46d106840aa" /><Relationship Type="http://schemas.openxmlformats.org/officeDocument/2006/relationships/worksheet" Target="/xl/worksheets/sheet10.xml" Id="R2066b1348c6243e5" /><Relationship Type="http://schemas.openxmlformats.org/officeDocument/2006/relationships/worksheet" Target="/xl/worksheets/sheet11.xml" Id="Ra2a69c6461804b45" /><Relationship Type="http://schemas.openxmlformats.org/officeDocument/2006/relationships/worksheet" Target="/xl/worksheets/sheet12.xml" Id="R3beba44587f84be9" /><Relationship Type="http://schemas.openxmlformats.org/officeDocument/2006/relationships/worksheet" Target="/xl/worksheets/sheet13.xml" Id="R8e5518617d8b4f82" /><Relationship Type="http://schemas.openxmlformats.org/officeDocument/2006/relationships/worksheet" Target="/xl/worksheets/sheet14.xml" Id="Rde2eb84e248748bc" /><Relationship Type="http://schemas.openxmlformats.org/officeDocument/2006/relationships/worksheet" Target="/xl/worksheets/sheet15.xml" Id="Rd4841aee0a5541cd" /><Relationship Type="http://schemas.openxmlformats.org/officeDocument/2006/relationships/worksheet" Target="/xl/worksheets/sheet16.xml" Id="R954f7d6c9a5a4658" /><Relationship Type="http://schemas.openxmlformats.org/officeDocument/2006/relationships/worksheet" Target="/xl/worksheets/sheet17.xml" Id="R7b0b24ccc922433b" /><Relationship Type="http://schemas.openxmlformats.org/officeDocument/2006/relationships/worksheet" Target="/xl/worksheets/sheet18.xml" Id="R594f523bc555418e" /><Relationship Type="http://schemas.openxmlformats.org/officeDocument/2006/relationships/worksheet" Target="/xl/worksheets/sheet19.xml" Id="Rf059f78c33a845f6" /><Relationship Type="http://schemas.openxmlformats.org/officeDocument/2006/relationships/worksheet" Target="/xl/worksheets/sheet20.xml" Id="R9b0e66e54857471d" /><Relationship Type="http://schemas.openxmlformats.org/officeDocument/2006/relationships/worksheet" Target="/xl/worksheets/sheet21.xml" Id="Rb4394b63ffe84a13" /><Relationship Type="http://schemas.openxmlformats.org/officeDocument/2006/relationships/worksheet" Target="/xl/worksheets/sheet22.xml" Id="Rc940dea11a1b4fd0" /><Relationship Type="http://schemas.openxmlformats.org/officeDocument/2006/relationships/worksheet" Target="/xl/worksheets/sheet23.xml" Id="R8b4de72874574d6a" /><Relationship Type="http://schemas.openxmlformats.org/officeDocument/2006/relationships/worksheet" Target="/xl/worksheets/sheet24.xml" Id="Ra401193860e74496" /><Relationship Type="http://schemas.openxmlformats.org/officeDocument/2006/relationships/worksheet" Target="/xl/worksheets/sheet25.xml" Id="Re6faf9da02944f9b" /><Relationship Type="http://schemas.openxmlformats.org/officeDocument/2006/relationships/worksheet" Target="/xl/worksheets/sheet26.xml" Id="R6a19b010fa37437a" /><Relationship Type="http://schemas.openxmlformats.org/officeDocument/2006/relationships/worksheet" Target="/xl/worksheets/sheet27.xml" Id="R03be44be4be54b4c" /><Relationship Type="http://schemas.openxmlformats.org/officeDocument/2006/relationships/worksheet" Target="/xl/worksheets/sheet28.xml" Id="Rf5deeed288314953" /><Relationship Type="http://schemas.openxmlformats.org/officeDocument/2006/relationships/worksheet" Target="/xl/worksheets/sheet29.xml" Id="Ra2f41866e61849ad" /><Relationship Type="http://schemas.openxmlformats.org/officeDocument/2006/relationships/worksheet" Target="/xl/worksheets/sheet30.xml" Id="Rf085377a3cd44da0" /><Relationship Type="http://schemas.openxmlformats.org/officeDocument/2006/relationships/worksheet" Target="/xl/worksheets/sheet31.xml" Id="R2c6c1f67d5094ee2" /><Relationship Type="http://schemas.openxmlformats.org/officeDocument/2006/relationships/worksheet" Target="/xl/worksheets/sheet32.xml" Id="R8a4e7aec60bf4ede" /><Relationship Type="http://schemas.openxmlformats.org/officeDocument/2006/relationships/worksheet" Target="/xl/worksheets/sheet33.xml" Id="R67fca4416ad748a8" /><Relationship Type="http://schemas.openxmlformats.org/officeDocument/2006/relationships/worksheet" Target="/xl/worksheets/sheet34.xml" Id="R0e00ba22bec34225" /><Relationship Type="http://schemas.openxmlformats.org/officeDocument/2006/relationships/worksheet" Target="/xl/worksheets/sheet35.xml" Id="Rcf7260af89974675" /><Relationship Type="http://schemas.openxmlformats.org/officeDocument/2006/relationships/worksheet" Target="/xl/worksheets/sheet36.xml" Id="R90d40645da444e30" /><Relationship Type="http://schemas.openxmlformats.org/officeDocument/2006/relationships/worksheet" Target="/xl/worksheets/sheet37.xml" Id="Rd89df77c983f49b2" /><Relationship Type="http://schemas.openxmlformats.org/officeDocument/2006/relationships/worksheet" Target="/xl/worksheets/sheet38.xml" Id="R2aa0f2ef9fa04391" /><Relationship Type="http://schemas.openxmlformats.org/officeDocument/2006/relationships/worksheet" Target="/xl/worksheets/sheet39.xml" Id="R03dd8cfb36fa46a0" /><Relationship Type="http://schemas.openxmlformats.org/officeDocument/2006/relationships/worksheet" Target="/xl/worksheets/sheet40.xml" Id="Raa309f2fec8d464f" /><Relationship Type="http://schemas.openxmlformats.org/officeDocument/2006/relationships/worksheet" Target="/xl/worksheets/sheet41.xml" Id="Rf8d11890a1d64d2f" /><Relationship Type="http://schemas.openxmlformats.org/officeDocument/2006/relationships/worksheet" Target="/xl/worksheets/sheet42.xml" Id="Ra3dfab69bf874e86" /><Relationship Type="http://schemas.openxmlformats.org/officeDocument/2006/relationships/worksheet" Target="/xl/worksheets/sheet43.xml" Id="Ra60fee4824e04bbb" /><Relationship Type="http://schemas.openxmlformats.org/officeDocument/2006/relationships/worksheet" Target="/xl/worksheets/sheet44.xml" Id="R83362e2cd44f4c32" /><Relationship Type="http://schemas.openxmlformats.org/officeDocument/2006/relationships/worksheet" Target="/xl/worksheets/sheet45.xml" Id="Rb14d8c52d2e648d3" /><Relationship Type="http://schemas.microsoft.com/office/2017/10/relationships/person" Target="/xl/persons/person.xml" Id="Rb2b5e2ba338744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df7c010d06479d" /><Relationship Type="http://schemas.openxmlformats.org/officeDocument/2006/relationships/chart" Target="/xl/drawings/charts/chart2.xml" Id="R36d7e098eb09452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16fc31862c1468b" /><Relationship Type="http://schemas.openxmlformats.org/officeDocument/2006/relationships/chart" Target="/xl/drawings/charts/chart4.xml" Id="R498a296676a14ea3" /></Relationships>
</file>

<file path=xl/drawings/charts/chart1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Spend Mix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'Founder Dashboard'!B17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'Founder Dashboard'!$A$18:$A$26</c:f>
              <c:strCache>
                <c:ptCount val="0"/>
              </c:strCache>
            </c:strRef>
          </c:cat>
          <c:val>
            <c:numRef>
              <c:f>'Founder Dashboard'!$B$18:$B$26</c:f>
              <c:numCache>
                <c:formatCode>General</c:formatCode>
                <c:ptCount val="0"/>
              </c:numCache>
            </c:numRef>
          </c:val>
        </c:ser>
        <c:dLbls>
          <c:showVal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KES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Category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style val="1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Operating Cash &amp; Reserve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Planned Operating Cash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'Cash &amp; Runway'!$A$5:$A$28</c:f>
              <c:strCache>
                <c:ptCount val="0"/>
              </c:strCache>
            </c:strRef>
          </c:cat>
          <c:val>
            <c:numRef>
              <c:f>'Cash &amp; Runway'!$Q$5:$Q$28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Planned Reserve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'Cash &amp; Runway'!$A$5:$A$28</c:f>
              <c:strCache>
                <c:ptCount val="0"/>
              </c:strCache>
            </c:strRef>
          </c:cat>
          <c:val>
            <c:numRef>
              <c:f>'Cash &amp; Runway'!$R$5:$R$28</c:f>
              <c:numCache>
                <c:formatCode>General</c:formatCode>
                <c:ptCount val="0"/>
              </c:numCache>
            </c:numRef>
          </c:val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Week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KES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charts/chart3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Content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'Content Dashboard'!B15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'Content Dashboard'!$A$16:$A$24</c:f>
              <c:strCache>
                <c:ptCount val="0"/>
              </c:strCache>
            </c:strRef>
          </c:cat>
          <c:val>
            <c:numRef>
              <c:f>'Content Dashboard'!$B$16:$B$24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charts/chart4.xml><?xml version="1.0" encoding="utf-8"?>
<c:chartSpace xmlns:c="http://schemas.openxmlformats.org/drawingml/2006/chart">
  <c:lang val="en-US"/>
  <c:style val="1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Pillar Mix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'Content Dashboard'!H15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'Content Dashboard'!$G$16:$G$24</c:f>
              <c:strCache>
                <c:ptCount val="0"/>
              </c:strCache>
            </c:strRef>
          </c:cat>
          <c:val>
            <c:numRef>
              <c:f>'Content Dashboard'!$H$16:$H$24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28</xdr:row>
      <xdr:rowOff>0</xdr:rowOff>
    </xdr:from>
    <xdr:ext cx="432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df7c010d06479d"/>
        </a:graphicData>
      </a:graphic>
    </xdr:graphicFrame>
    <xdr:clientData/>
  </xdr:oneCellAnchor>
  <xdr:oneCellAnchor>
    <xdr:from>
      <xdr:col>6</xdr:col>
      <xdr:colOff>0</xdr:colOff>
      <xdr:row>28</xdr:row>
      <xdr:rowOff>0</xdr:rowOff>
    </xdr:from>
    <xdr:ext cx="4320000" cy="2520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d7e098eb09452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26</xdr:row>
      <xdr:rowOff>0</xdr:rowOff>
    </xdr:from>
    <xdr:ext cx="396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6fc31862c1468b"/>
        </a:graphicData>
      </a:graphic>
    </xdr:graphicFrame>
    <xdr:clientData/>
  </xdr:oneCellAnchor>
  <xdr:oneCellAnchor>
    <xdr:from>
      <xdr:col>6</xdr:col>
      <xdr:colOff>0</xdr:colOff>
      <xdr:row>26</xdr:row>
      <xdr:rowOff>0</xdr:rowOff>
    </xdr:from>
    <xdr:ext cx="4320000" cy="2520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8a296676a14ea3"/>
        </a:graphicData>
      </a:graphic>
    </xdr:graphicFrame>
    <xdr:clientData/>
  </xdr:oneCellAnchor>
</xdr:wsDr>
</file>

<file path=xl/persons/person.xml><?xml version="1.0" encoding="utf-8"?>
<xltc:personList xmlns:xltc="http://schemas.microsoft.com/office/spreadsheetml/2018/threadedcomments">
  <xltc:person displayName="OpenAI" id="{6314894D-FC15-8D55-1F0E-9ADD0C9C9BEE}"/>
  <xltc:person displayName="OpenAI" id="{9D67FA30-0443-5F06-5F70-FC203BFFC249}"/>
  <xltc:person displayName="OpenAI" id="{83C026B9-F464-2F03-89B4-8A6AEBB4ED78}"/>
</xltc:personList>
</file>

<file path=xl/tables/table1.xml><?xml version="1.0" encoding="utf-8"?>
<x:table xmlns:x="http://schemas.openxmlformats.org/spreadsheetml/2006/main" id="1" name="CashRunway" displayName="CashRunway" ref="A4:Z28" headerRowCount="1">
  <x:autoFilter ref="A4:Z28"/>
  <x:tableColumns count="26">
    <x:tableColumn id="1" name="Week"/>
    <x:tableColumn id="2" name="Funding Friday"/>
    <x:tableColumn id="3" name="Phase"/>
    <x:tableColumn id="4" name="Planned Founder Funding"/>
    <x:tableColumn id="5" name="Planned Subscription Cash"/>
    <x:tableColumn id="6" name="Replit"/>
    <x:tableColumn id="7" name="Fuel &amp; Field"/>
    <x:tableColumn id="8" name="Product / Data"/>
    <x:tableColumn id="9" name="Content"/>
    <x:tableColumn id="10" name="Admin / Support"/>
    <x:tableColumn id="11" name="Ads"/>
    <x:tableColumn id="12" name="Creators"/>
    <x:tableColumn id="13" name="Contractor"/>
    <x:tableColumn id="14" name="One-time / Compliance"/>
    <x:tableColumn id="15" name="Total Planned Spend"/>
    <x:tableColumn id="16" name="Planned Reserve Transfer"/>
    <x:tableColumn id="17" name="Planned Ending Operating Cash"/>
    <x:tableColumn id="18" name="Planned Reserve"/>
    <x:tableColumn id="19" name="Actual Founder Funding"/>
    <x:tableColumn id="20" name="Actual Revenue / Refund In"/>
    <x:tableColumn id="21" name="Actual Expenses / Refund Out"/>
    <x:tableColumn id="22" name="Actual Reserve Transfer"/>
    <x:tableColumn id="23" name="Actual Ending Operating Cash"/>
    <x:tableColumn id="24" name="Actual Reserve"/>
    <x:tableColumn id="25" name="Actual vs Planned Cash"/>
    <x:tableColumn id="26" name="Friday Decision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eyLog" displayName="MoneyLog" ref="A4:L204" headerRowCount="1">
  <x:autoFilter ref="A4:L204"/>
  <x:tableColumns count="12">
    <x:tableColumn id="1" name="Transaction ID"/>
    <x:tableColumn id="2" name="Date"/>
    <x:tableColumn id="3" name="Week #"/>
    <x:tableColumn id="4" name="Type"/>
    <x:tableColumn id="5" name="Category"/>
    <x:tableColumn id="6" name="Description"/>
    <x:tableColumn id="7" name="Amount KES"/>
    <x:tableColumn id="8" name="Payment Method"/>
    <x:tableColumn id="9" name="Receipt / Reference"/>
    <x:tableColumn id="10" name="Linked ID"/>
    <x:tableColumn id="11" name="Cleared?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enueSubscriptions" displayName="RevenueSubscriptions" ref="A4:S28" headerRowCount="1">
  <x:autoFilter ref="A4:S28"/>
  <x:tableColumns count="19">
    <x:tableColumn id="1" name="Week"/>
    <x:tableColumn id="2" name="Week Starting"/>
    <x:tableColumn id="3" name="New Downloads"/>
    <x:tableColumn id="4" name="Trials Started"/>
    <x:tableColumn id="5" name="New Paid"/>
    <x:tableColumn id="6" name="Renewals"/>
    <x:tableColumn id="7" name="Cancellations"/>
    <x:tableColumn id="8" name="Active Paid End"/>
    <x:tableColumn id="9" name="Gross Sales KES"/>
    <x:tableColumn id="10" name="Store/Processor Fees KES"/>
    <x:tableColumn id="11" name="Refunds KES"/>
    <x:tableColumn id="12" name="Net Accrued Revenue KES"/>
    <x:tableColumn id="13" name="Cash Received KES"/>
    <x:tableColumn id="14" name="MRR KES"/>
    <x:tableColumn id="15" name="Trial-to-Paid %"/>
    <x:tableColumn id="16" name="Download-to-Paid %"/>
    <x:tableColumn id="17" name="Gross ARPPU"/>
    <x:tableColumn id="18" name="Churn %"/>
    <x:tableColumn id="19" name="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FuelFieldOps" displayName="FuelFieldOps" ref="A10:U110" headerRowCount="1">
  <x:autoFilter ref="A10:U110"/>
  <x:tableColumns count="21">
    <x:tableColumn id="1" name="Trip ID"/>
    <x:tableColumn id="2" name="Date"/>
    <x:tableColumn id="3" name="Week #"/>
    <x:tableColumn id="4" name="Purpose"/>
    <x:tableColumn id="5" name="Corridor / Route"/>
    <x:tableColumn id="6" name="Start Odometer"/>
    <x:tableColumn id="7" name="End Odometer"/>
    <x:tableColumn id="8" name="Total Km"/>
    <x:tableColumn id="9" name="Planned Km"/>
    <x:tableColumn id="10" name="Fuel Price KES/L"/>
    <x:tableColumn id="11" name="Efficiency Km/L"/>
    <x:tableColumn id="12" name="Estimated Litres"/>
    <x:tableColumn id="13" name="Estimated Fuel Cost"/>
    <x:tableColumn id="14" name="Actual Fuel Spend"/>
    <x:tableColumn id="15" name="Parking / Tolls"/>
    <x:tableColumn id="16" name="Total Trip Cost"/>
    <x:tableColumn id="17" name="Content Clips"/>
    <x:tableColumn id="18" name="Camera / Speed Leads"/>
    <x:tableColumn id="19" name="Verified Records"/>
    <x:tableColumn id="20" name="Evidence Folder / Link"/>
    <x:tableColumn id="21" name="Learning / Next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ngPlan24" displayName="OperatingPlan24" ref="A4:O28" headerRowCount="1">
  <x:autoFilter ref="A4:O28"/>
  <x:tableColumns count="15">
    <x:tableColumn id="1" name="Week"/>
    <x:tableColumn id="2" name="Funding Friday"/>
    <x:tableColumn id="3" name="Stage"/>
    <x:tableColumn id="4" name="Decisive Objective"/>
    <x:tableColumn id="5" name="Product / Reliability"/>
    <x:tableColumn id="6" name="Paying User / Retention"/>
    <x:tableColumn id="7" name="Field Data"/>
    <x:tableColumn id="8" name="Content"/>
    <x:tableColumn id="9" name="Growth"/>
    <x:tableColumn id="10" name="Partnership / Revenue"/>
    <x:tableColumn id="11" name="Finance / Admin"/>
    <x:tableColumn id="12" name="Gate / Definition of Done"/>
    <x:tableColumn id="13" name="Max New Spend KES"/>
    <x:tableColumn id="14" name="Owner"/>
    <x:tableColumn id="15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usinessFoundation" displayName="BusinessFoundation" ref="A4:L24" headerRowCount="1">
  <x:autoFilter ref="A4:L24"/>
  <x:tableColumns count="12">
    <x:tableColumn id="1" name="ID"/>
    <x:tableColumn id="2" name="Area"/>
    <x:tableColumn id="3" name="Requirement / Control"/>
    <x:tableColumn id="4" name="Current Reality"/>
    <x:tableColumn id="5" name="Evidence / Link"/>
    <x:tableColumn id="6" name="Priority"/>
    <x:tableColumn id="7" name="Planned Cost KES"/>
    <x:tableColumn id="8" name="Due Week"/>
    <x:tableColumn id="9" name="Owner"/>
    <x:tableColumn id="10" name="Status"/>
    <x:tableColumn id="11" name="Next Action"/>
    <x:tableColumn id="12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rowthGates" displayName="GrowthGates" ref="A4:J16" headerRowCount="1">
  <x:autoFilter ref="A4:J16"/>
  <x:tableColumns count="10">
    <x:tableColumn id="1" name="Gate ID"/>
    <x:tableColumn id="2" name="Decision Unlocked"/>
    <x:tableColumn id="3" name="Requirement / Metric"/>
    <x:tableColumn id="4" name="Target"/>
    <x:tableColumn id="5" name="Current"/>
    <x:tableColumn id="6" name="Passed?"/>
    <x:tableColumn id="7" name="Why This Gate Exists"/>
    <x:tableColumn id="8" name="Action If Not Passed"/>
    <x:tableColumn id="9" name="Review Cadence"/>
    <x:tableColumn id="10" name="Note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WeeklyFounderReview" displayName="WeeklyFounderReview" ref="A4:V28" headerRowCount="1">
  <x:autoFilter ref="A4:V28"/>
  <x:tableColumns count="22">
    <x:tableColumn id="1" name="Week"/>
    <x:tableColumn id="2" name="Friday"/>
    <x:tableColumn id="3" name="Phase"/>
    <x:tableColumn id="4" name="New Downloads"/>
    <x:tableColumn id="5" name="New Paid"/>
    <x:tableColumn id="6" name="Active Paid End"/>
    <x:tableColumn id="7" name="Activation %"/>
    <x:tableColumn id="8" name="D7 Retention %"/>
    <x:tableColumn id="9" name="Gross Sales KES"/>
    <x:tableColumn id="10" name="Cash Received KES"/>
    <x:tableColumn id="11" name="Content Core Planned"/>
    <x:tableColumn id="12" name="Core Posted"/>
    <x:tableColumn id="13" name="Field Km"/>
    <x:tableColumn id="14" name="Fuel/Trip Cost KES"/>
    <x:tableColumn id="15" name="Verified Records"/>
    <x:tableColumn id="16" name="Paying-User Conversations"/>
    <x:tableColumn id="17" name="Ad Spend KES"/>
    <x:tableColumn id="18" name="Creator Spend KES"/>
    <x:tableColumn id="19" name="Main Learning"/>
    <x:tableColumn id="20" name="Stop / Continue / Start"/>
    <x:tableColumn id="21" name="Next Week Decision"/>
    <x:tableColumn id="22" name="Founder Energy 1–5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rowthExperiments" displayName="GrowthExperiments" ref="A4:N48" headerRowCount="1">
  <x:autoFilter ref="A4:N40"/>
  <x:tableColumns count="14">
    <x:tableColumn id="1" name="ID"/>
    <x:tableColumn id="2" name="Channel"/>
    <x:tableColumn id="3" name="Experiment"/>
    <x:tableColumn id="4" name="Hypothesis"/>
    <x:tableColumn id="5" name="How to Run It"/>
    <x:tableColumn id="6" name="Cost Band"/>
    <x:tableColumn id="7" name="Reach"/>
    <x:tableColumn id="8" name="Trust"/>
    <x:tableColumn id="9" name="Speed"/>
    <x:tableColumn id="10" name="Effort"/>
    <x:tableColumn id="11" name="Priority Score"/>
    <x:tableColumn id="12" name="Status"/>
    <x:tableColumn id="13" name="Stop/Scale Rule"/>
    <x:tableColumn id="14" name="Own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dsTestingLive" displayName="AdsTestingLive" ref="A4:V24" headerRowCount="1">
  <x:autoFilter ref="A4:V24"/>
  <x:tableColumns count="22">
    <x:tableColumn id="1" name="Test ID"/>
    <x:tableColumn id="2" name="Start Date"/>
    <x:tableColumn id="3" name="End Date"/>
    <x:tableColumn id="4" name="Platform"/>
    <x:tableColumn id="5" name="Objective"/>
    <x:tableColumn id="6" name="Audience"/>
    <x:tableColumn id="7" name="Creative / Variable"/>
    <x:tableColumn id="8" name="Budget KES"/>
    <x:tableColumn id="9" name="Spend KES"/>
    <x:tableColumn id="10" name="Impressions"/>
    <x:tableColumn id="11" name="Clicks"/>
    <x:tableColumn id="12" name="Installs"/>
    <x:tableColumn id="13" name="Activated"/>
    <x:tableColumn id="14" name="New Paid"/>
    <x:tableColumn id="15" name="CPI"/>
    <x:tableColumn id="16" name="Cost / Activated"/>
    <x:tableColumn id="17" name="CAC / Paid"/>
    <x:tableColumn id="18" name="30-Day Net Revenue"/>
    <x:tableColumn id="19" name="CAC Payback Months"/>
    <x:tableColumn id="20" name="Decision"/>
    <x:tableColumn id="21" name="Learning"/>
    <x:tableColumn id="22" name="Status"/>
  </x:tableColumns>
  <x:tableStyleInfo name="TableStyleMedium7" showFirstColumn="0" showLastColumn="0" showRowStripes="1" showColumnStripes="0"/>
</x:table>
</file>

<file path=xl/tables/table11.xml><?xml version="1.0" encoding="utf-8"?>
<x:table xmlns:x="http://schemas.openxmlformats.org/spreadsheetml/2006/main" id="11" name="MicroCreatorsLive" displayName="MicroCreatorsLive" ref="A4:V34" headerRowCount="1">
  <x:autoFilter ref="A4:V34"/>
  <x:tableColumns count="22">
    <x:tableColumn id="1" name="Creator ID"/>
    <x:tableColumn id="2" name="Creator Name"/>
    <x:tableColumn id="3" name="Platform"/>
    <x:tableColumn id="4" name="Niche / Corridor"/>
    <x:tableColumn id="5" name="Audience Fit"/>
    <x:tableColumn id="6" name="Deliverable"/>
    <x:tableColumn id="7" name="Fee KES"/>
    <x:tableColumn id="8" name="Referral Code / Link"/>
    <x:tableColumn id="9" name="Post Date"/>
    <x:tableColumn id="10" name="Views"/>
    <x:tableColumn id="11" name="Clicks"/>
    <x:tableColumn id="12" name="Installs"/>
    <x:tableColumn id="13" name="Activated"/>
    <x:tableColumn id="14" name="New Paid"/>
    <x:tableColumn id="15" name="Net Subscription Revenue"/>
    <x:tableColumn id="16" name="Cost / Install"/>
    <x:tableColumn id="17" name="Cost / Paid"/>
    <x:tableColumn id="18" name="30-Day Payback %"/>
    <x:tableColumn id="19" name="Quality Notes"/>
    <x:tableColumn id="20" name="Decision"/>
    <x:tableColumn id="21" name="Status"/>
    <x:tableColumn id="22" name="Next Action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UserResearch" displayName="UserResearch" ref="A4:S54" headerRowCount="1">
  <x:autoFilter ref="A4:N54"/>
  <x:tableColumns count="14">
    <x:tableColumn id="1" name="User ID"/>
    <x:tableColumn id="2" name="Date"/>
    <x:tableColumn id="3" name="Segment"/>
    <x:tableColumn id="4" name="Name/Code"/>
    <x:tableColumn id="5" name="Contact"/>
    <x:tableColumn id="6" name="Usual Route"/>
    <x:tableColumn id="7" name="Device"/>
    <x:tableColumn id="8" name="Problem Quote"/>
    <x:tableColumn id="9" name="Trust Objection"/>
    <x:tableColumn id="10" name="Feature Request"/>
    <x:tableColumn id="11" name="Installed?"/>
    <x:tableColumn id="12" name="Activated?"/>
    <x:tableColumn id="13" name="Follow-up Date"/>
    <x:tableColumn id="14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oadData" displayName="RoadData" ref="A4:R64" headerRowCount="1">
  <x:autoFilter ref="A4:Q64"/>
  <x:tableColumns count="17">
    <x:tableColumn id="1" name="Record ID"/>
    <x:tableColumn id="2" name="Date"/>
    <x:tableColumn id="3" name="County"/>
    <x:tableColumn id="4" name="Road/Corridor"/>
    <x:tableColumn id="5" name="Nearest Landmark"/>
    <x:tableColumn id="6" name="Direction"/>
    <x:tableColumn id="7" name="Data Type"/>
    <x:tableColumn id="8" name="Latitude"/>
    <x:tableColumn id="9" name="Longitude"/>
    <x:tableColumn id="10" name="Speed Limit"/>
    <x:tableColumn id="11" name="Source Type"/>
    <x:tableColumn id="12" name="Confidence"/>
    <x:tableColumn id="13" name="Evidence Link/Folder"/>
    <x:tableColumn id="14" name="Verifier"/>
    <x:tableColumn id="15" name="Last Verified"/>
    <x:tableColumn id="16" name="Next Action"/>
    <x:tableColumn id="17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roductBacklog" displayName="ProductBacklog" ref="A4:N54" headerRowCount="1">
  <x:autoFilter ref="A4:N54"/>
  <x:tableColumns count="14">
    <x:tableColumn id="1" name="ID"/>
    <x:tableColumn id="2" name="Priority"/>
    <x:tableColumn id="3" name="Type"/>
    <x:tableColumn id="4" name="Issue / Feature"/>
    <x:tableColumn id="5" name="User Problem"/>
    <x:tableColumn id="6" name="Impact"/>
    <x:tableColumn id="7" name="Effort"/>
    <x:tableColumn id="8" name="Score"/>
    <x:tableColumn id="9" name="Owner"/>
    <x:tableColumn id="10" name="Status"/>
    <x:tableColumn id="11" name="Target Week"/>
    <x:tableColumn id="12" name="Acceptance Criteria"/>
    <x:tableColumn id="13" name="Source/User"/>
    <x:tableColumn id="14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rtnershipCRM" displayName="PartnershipCRM" ref="A4:O39" headerRowCount="1">
  <x:autoFilter ref="A4:O39"/>
  <x:tableColumns count="15">
    <x:tableColumn id="1" name="ID"/>
    <x:tableColumn id="2" name="Organization"/>
    <x:tableColumn id="3" name="Type"/>
    <x:tableColumn id="4" name="Contact Person"/>
    <x:tableColumn id="5" name="Contact"/>
    <x:tableColumn id="6" name="Warm Intro?"/>
    <x:tableColumn id="7" name="Value for Them"/>
    <x:tableColumn id="8" name="Value for Msafiri"/>
    <x:tableColumn id="9" name="Offer"/>
    <x:tableColumn id="10" name="Stage"/>
    <x:tableColumn id="11" name="Next Step"/>
    <x:tableColumn id="12" name="Objection"/>
    <x:tableColumn id="13" name="Follow-up Date"/>
    <x:tableColumn id="14" name="Outcome"/>
    <x:tableColumn id="1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venueExperiments" displayName="RevenueExperiments" ref="A4:P24" headerRowCount="1">
  <x:autoFilter ref="A4:P24"/>
  <x:tableColumns count="16">
    <x:tableColumn id="1" name="ID"/>
    <x:tableColumn id="2" name="Model"/>
    <x:tableColumn id="3" name="Buyer/User"/>
    <x:tableColumn id="4" name="Offer"/>
    <x:tableColumn id="5" name="Price Test KES"/>
    <x:tableColumn id="6" name="Pilot Length"/>
    <x:tableColumn id="7" name="Prospects"/>
    <x:tableColumn id="8" name="Meetings"/>
    <x:tableColumn id="9" name="Trials"/>
    <x:tableColumn id="10" name="Paying"/>
    <x:tableColumn id="11" name="Conversion Rate"/>
    <x:tableColumn id="12" name="Revenue KES"/>
    <x:tableColumn id="13" name="Decision"/>
    <x:tableColumn id="14" name="Learning"/>
    <x:tableColumn id="15" name="Owner"/>
    <x:tableColumn id="16" name="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HiringRoles" displayName="HiringRoles" ref="A12:K31" headerRowCount="1">
  <x:autoFilter ref="A12:K31"/>
  <x:tableColumns count="11">
    <x:tableColumn id="1" name="Role"/>
    <x:tableColumn id="2" name="Role Type"/>
    <x:tableColumn id="3" name="Task"/>
    <x:tableColumn id="4" name="Why Needed"/>
    <x:tableColumn id="5" name="Weekly Hours Saved"/>
    <x:tableColumn id="6" name="Budget Cap KES"/>
    <x:tableColumn id="7" name="Trigger to Hire"/>
    <x:tableColumn id="8" name="SOP Ready?"/>
    <x:tableColumn id="9" name="Trial Week"/>
    <x:tableColumn id="10" name="Decision"/>
    <x:tableColumn id="11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mplianceAdmin" displayName="ComplianceAdmin" ref="A4:L17" headerRowCount="1">
  <x:autoFilter ref="A4:L13"/>
  <x:tableColumns count="12">
    <x:tableColumn id="1" name="Area"/>
    <x:tableColumn id="2" name="Requirement"/>
    <x:tableColumn id="3" name="Why It Matters"/>
    <x:tableColumn id="4" name="Official Fee Ref"/>
    <x:tableColumn id="5" name="Due Week"/>
    <x:tableColumn id="6" name="Responsible"/>
    <x:tableColumn id="7" name="Source URL"/>
    <x:tableColumn id="8" name="Status"/>
    <x:tableColumn id="9" name="Paid?"/>
    <x:tableColumn id="10" name="Document Link"/>
    <x:tableColumn id="11" name="Next Action"/>
    <x:tableColumn id="12" name="No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iskRegister" displayName="RiskRegister" ref="A4:K29" headerRowCount="1">
  <x:autoFilter ref="A4:K29"/>
  <x:tableColumns count="11">
    <x:tableColumn id="1" name="ID"/>
    <x:tableColumn id="2" name="Risk"/>
    <x:tableColumn id="3" name="Why It Matters"/>
    <x:tableColumn id="4" name="Likelihood"/>
    <x:tableColumn id="5" name="Impact"/>
    <x:tableColumn id="6" name="Risk Score"/>
    <x:tableColumn id="7" name="Early Warning"/>
    <x:tableColumn id="8" name="Mitigation"/>
    <x:tableColumn id="9" name="Owner"/>
    <x:tableColumn id="10" name="Status"/>
    <x:tableColumn id="11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PLibrary" displayName="SOPLibrary" ref="A4:N24" headerRowCount="1">
  <x:autoFilter ref="A4:N24"/>
  <x:tableColumns count="14">
    <x:tableColumn id="1" name="SOP ID"/>
    <x:tableColumn id="2" name="Process"/>
    <x:tableColumn id="3" name="Owner"/>
    <x:tableColumn id="4" name="Purpose"/>
    <x:tableColumn id="5" name="Steps"/>
    <x:tableColumn id="6" name="Acceptance Criteria"/>
    <x:tableColumn id="7" name="Tools Needed"/>
    <x:tableColumn id="8" name="Frequency"/>
    <x:tableColumn id="9" name="Estimated Time"/>
    <x:tableColumn id="10" name="Handoff Ready?"/>
    <x:tableColumn id="11" name="Status"/>
    <x:tableColumn id="12" name="Last Updated"/>
    <x:tableColumn id="13" name="Next Review"/>
    <x:tableColumn id="14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CompetitorWatch" displayName="CompetitorWatch" ref="A4:L34" headerRowCount="1">
  <x:autoFilter ref="A4:L34"/>
  <x:tableColumns count="12">
    <x:tableColumn id="1" name="Date"/>
    <x:tableColumn id="2" name="Competitor/Signal"/>
    <x:tableColumn id="3" name="Type"/>
    <x:tableColumn id="4" name="What They Did"/>
    <x:tableColumn id="5" name="Why It Matters"/>
    <x:tableColumn id="6" name="Threat Level"/>
    <x:tableColumn id="7" name="Msafiri Response"/>
    <x:tableColumn id="8" name="Owner"/>
    <x:tableColumn id="9" name="Response Due"/>
    <x:tableColumn id="10" name="Status"/>
    <x:tableColumn id="11" name="Learning"/>
    <x:tableColumn id="12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ources" displayName="Sources" ref="A4:F25" headerRowCount="1">
  <x:autoFilter ref="A4:F14"/>
  <x:tableColumns count="6">
    <x:tableColumn id="1" name="Source Name"/>
    <x:tableColumn id="2" name="URL"/>
    <x:tableColumn id="3" name="Used For"/>
    <x:tableColumn id="4" name="Source Type"/>
    <x:tableColumn id="5" name="Checked Dat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a76bff27a6849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645e9dbbbc794b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f979a34a616947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6f8a79df55e44f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5847fcc0f8bc46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8cc297885b5f431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7999f775ccfa4b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694a9bd13f204c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e119f8a2b63346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39cdd13a7aa8406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8fee17517372423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591b36229242460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37210ca25e8d44a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0ae289397c1646e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22bde3571ec2439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0e6b0e8876b74c6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6.xml" Id="Rf5357b56d19748d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1bd43150e4e9431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424164317ffb488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971e7dfd17c44c3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db582dfb8408404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a92c5c4ae9d14e6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.xml" Id="Rf47af6470d59401a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comments" Target="/xl/comments1.xml" Id="R05b9bdcd179e4e25" /><Relationship Type="http://schemas.openxmlformats.org/officeDocument/2006/relationships/vmlDrawing" Target="/xl/drawings/vmldrawing.vml" Id="Ra34973c0fec7428a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comments" Target="/xl/comments2.xml" Id="R6a387a3dd3fc4be2" /><Relationship Type="http://schemas.openxmlformats.org/officeDocument/2006/relationships/vmlDrawing" Target="/xl/drawings/vmldrawing2.vml" Id="R4d0c2c0e960a4c93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comments" Target="/xl/comments3.xml" Id="R7b98e7dad8874e4c" /><Relationship Type="http://schemas.openxmlformats.org/officeDocument/2006/relationships/vmlDrawing" Target="/xl/drawings/vmldrawing3.vml" Id="Rf0f04a7c53294464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22.xml" Id="Rbf497247d88443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34" customWidth="1"/>
    <x:col min="3" max="3" width="72" customWidth="1"/>
    <x:col min="4" max="4" width="34" customWidth="1"/>
    <x:col min="5" max="5" width="12" customWidth="1"/>
    <x:col min="6" max="6" width="14" customWidth="1"/>
    <x:col min="7" max="7" width="4" customWidth="1"/>
    <x:col min="8" max="8" width="4" customWidth="1"/>
    <x:col min="9" max="9" width="4" customWidth="1"/>
    <x:col min="10" max="10" width="4" customWidth="1"/>
    <x:col min="11" max="11" width="4" customWidth="1"/>
    <x:col min="12" max="12" width="4" customWidth="1"/>
  </x:cols>
  <x:sheetData>
    <x:row r="1" ht="30" customHeight="1">
      <x:c r="A1" s="26" t="inlineStr">
        <x:is>
          <x:t xml:space="preserve">MSAFIRI FOUNDER OS — LIVE APP</x:t>
        </x:is>
      </x:c>
    </x:row>
    <x:row r="2" ht="34" customHeight="1">
      <x:c r="A2" s="27" t="inlineStr">
        <x:is>
          <x:t xml:space="preserve">One Google-Sheets-ready operating system for cash, subscriptions, product, field verification, content, growth, partnerships and founder decisions.</x:t>
        </x:is>
      </x:c>
    </x:row>
    <x:row r="3"/>
    <x:row r="4" ht="23" customHeight="1">
      <x:c r="A4" s="28" t="inlineStr">
        <x:is>
          <x:t xml:space="preserve">Current reality — this plan starts here</x:t>
        </x:is>
      </x:c>
    </x:row>
    <x:row r="5" ht="38" customHeight="1">
      <x:c r="A5" s="29" t="inlineStr">
        <x:is>
          <x:t xml:space="preserve">Area</x:t>
        </x:is>
      </x:c>
      <x:c r="B5" s="29" t="inlineStr">
        <x:is>
          <x:t xml:space="preserve">Decision</x:t>
        </x:is>
      </x:c>
      <x:c r="C5" s="29" t="inlineStr">
        <x:is>
          <x:t xml:space="preserve">What it means now</x:t>
        </x:is>
      </x:c>
    </x:row>
    <x:row r="6">
      <x:c r="A6" s="30" t="inlineStr">
        <x:is>
          <x:t xml:space="preserve">Product stage</x:t>
        </x:is>
      </x:c>
      <x:c r="B6" s="30" t="inlineStr">
        <x:is>
          <x:t xml:space="preserve">LIVE</x:t>
        </x:is>
      </x:c>
      <x:c r="C6" s="30" t="inlineStr">
        <x:is>
          <x:t xml:space="preserve">Published on Android and iOS; do not repeat tester or developer-account setup costs.</x:t>
        </x:is>
      </x:c>
    </x:row>
    <x:row r="7">
      <x:c r="A7" s="31" t="inlineStr">
        <x:is>
          <x:t xml:space="preserve">Revenue stage</x:t>
        </x:is>
      </x:c>
      <x:c r="B7" s="31" t="inlineStr">
        <x:is>
          <x:t xml:space="preserve">EARLY PAID USERS</x:t>
        </x:is>
      </x:c>
      <x:c r="C7" s="31" t="inlineStr">
        <x:is>
          <x:t xml:space="preserve">Downloads and subscriptions have started; the immediate job is reliability, retention and learning why users pay.</x:t>
        </x:is>
      </x:c>
    </x:row>
    <x:row r="8">
      <x:c r="A8" s="30" t="inlineStr">
        <x:is>
          <x:t xml:space="preserve">Founder funding</x:t>
        </x:is>
      </x:c>
      <x:c r="B8" s="30" t="inlineStr">
        <x:is>
          <x:t xml:space="preserve">KES 10,000 EVERY FRIDAY</x:t>
        </x:is>
      </x:c>
      <x:c r="C8" s="30" t="inlineStr">
        <x:is>
          <x:t xml:space="preserve">First contribution in this plan: Friday, 14 August 2026.</x:t>
        </x:is>
      </x:c>
    </x:row>
    <x:row r="9">
      <x:c r="A9" s="31" t="inlineStr">
        <x:is>
          <x:t xml:space="preserve">Hosting</x:t>
        </x:is>
      </x:c>
      <x:c r="B9" s="31" t="inlineStr">
        <x:is>
          <x:t xml:space="preserve">REPLIT — US$20/MONTH</x:t>
        </x:is>
      </x:c>
      <x:c r="C9" s="31" t="inlineStr">
        <x:is>
          <x:t xml:space="preserve">Recurring production dependency; fund and document it before optional growth spend.</x:t>
        </x:is>
      </x:c>
    </x:row>
    <x:row r="10">
      <x:c r="A10" s="30" t="inlineStr">
        <x:is>
          <x:t xml:space="preserve">Field economics</x:t>
        </x:is>
      </x:c>
      <x:c r="B10" s="30" t="inlineStr">
        <x:is>
          <x:t xml:space="preserve">KES 214/L; 12 KM/L</x:t>
        </x:is>
      </x:c>
      <x:c r="C10" s="30" t="inlineStr">
        <x:is>
          <x:t xml:space="preserve">Planning fuel cost is calculated in Assumptions and used in every trip.</x:t>
        </x:is>
      </x:c>
    </x:row>
    <x:row r="11">
      <x:c r="A11" s="31" t="inlineStr">
        <x:is>
          <x:t xml:space="preserve">Team</x:t>
        </x:is>
      </x:c>
      <x:c r="B11" s="31" t="inlineStr">
        <x:is>
          <x:t xml:space="preserve">FOUNDER-LED</x:t>
        </x:is>
      </x:c>
      <x:c r="C11" s="31" t="inlineStr">
        <x:is>
          <x:t xml:space="preserve">No office and no full-time employee now; use only tightly scoped contractors after a gate passes.</x:t>
        </x:is>
      </x:c>
    </x:row>
    <x:row r="12">
      <x:c r="A12" s="30" t="inlineStr">
        <x:is>
          <x:t xml:space="preserve">Content</x:t>
        </x:is>
      </x:c>
      <x:c r="B12" s="30" t="inlineStr">
        <x:is>
          <x:t xml:space="preserve">4 CORE POSTS/WEEK</x:t>
        </x:is>
      </x:c>
      <x:c r="C12" s="30" t="inlineStr">
        <x:is>
          <x:t xml:space="preserve">TikTok + Instagram first. Optional posts are backlog/repurposing, not obligations.</x:t>
        </x:is>
      </x:c>
    </x:row>
    <x:row r="13">
      <x:c r="A13" s="31" t="inlineStr">
        <x:is>
          <x:t xml:space="preserve">Competitive response</x:t>
        </x:is>
      </x:c>
      <x:c r="B13" s="31" t="inlineStr">
        <x:is>
          <x:t xml:space="preserve">EXECUTE DEEPLY, NOT RANDOMLY</x:t>
        </x:is>
      </x:c>
      <x:c r="C13" s="31" t="inlineStr">
        <x:is>
          <x:t xml:space="preserve">Trust, paying-user learning, verified road data, reliability and partner relationships are the moat.</x:t>
        </x:is>
      </x:c>
    </x:row>
    <x:row r="14"/>
    <x:row r="15"/>
    <x:row r="16" ht="23" customHeight="1">
      <x:c r="A16" s="32" t="inlineStr">
        <x:is>
          <x:t xml:space="preserve">First 14 days — execute in this order</x:t>
        </x:is>
      </x:c>
    </x:row>
    <x:row r="17" ht="38" customHeight="1">
      <x:c r="A17" s="33" t="inlineStr">
        <x:is>
          <x:t xml:space="preserve">When</x:t>
        </x:is>
      </x:c>
      <x:c r="B17" s="33" t="inlineStr">
        <x:is>
          <x:t xml:space="preserve">Action</x:t>
        </x:is>
      </x:c>
      <x:c r="C17" s="33" t="inlineStr">
        <x:is>
          <x:t xml:space="preserve">Definition of Done</x:t>
        </x:is>
      </x:c>
      <x:c r="D17" s="33" t="inlineStr">
        <x:is>
          <x:t xml:space="preserve">Linked Sheet</x:t>
        </x:is>
      </x:c>
      <x:c r="E17" s="33" t="inlineStr">
        <x:is>
          <x:t xml:space="preserve">Owner</x:t>
        </x:is>
      </x:c>
      <x:c r="F17" s="33" t="inlineStr">
        <x:is>
          <x:t xml:space="preserve">Status</x:t>
        </x:is>
      </x:c>
    </x:row>
    <x:row r="18" ht="30" customHeight="1">
      <x:c r="A18" s="30" t="inlineStr">
        <x:is>
          <x:t xml:space="preserve">Fri 14 Aug</x:t>
        </x:is>
      </x:c>
      <x:c r="B18" s="30" t="inlineStr">
        <x:is>
          <x:t xml:space="preserve">Log first KES 10,000 and fund protected costs</x:t>
        </x:is>
      </x:c>
      <x:c r="C18" s="30" t="inlineStr">
        <x:is>
          <x:t xml:space="preserve">Money Log entry exists; Replit, field, product, content and admin envelopes are visible.</x:t>
        </x:is>
      </x:c>
      <x:c r="D18" s="30" t="inlineStr">
        <x:is>
          <x:t xml:space="preserve">Money Log / Cash &amp; Runway</x:t>
        </x:is>
      </x:c>
      <x:c r="E18" s="30" t="inlineStr">
        <x:is>
          <x:t xml:space="preserve">Founder</x:t>
        </x:is>
      </x:c>
      <x:c r="F18" s="30" t="inlineStr">
        <x:is>
          <x:t xml:space="preserve">Not Started</x:t>
        </x:is>
      </x:c>
    </x:row>
    <x:row r="19" ht="30" customHeight="1">
      <x:c r="A19" s="31" t="inlineStr">
        <x:is>
          <x:t xml:space="preserve">Day 1</x:t>
        </x:is>
      </x:c>
      <x:c r="B19" s="31" t="inlineStr">
        <x:is>
          <x:t xml:space="preserve">Enter live business baseline</x:t>
        </x:is>
      </x:c>
      <x:c r="C19" s="31" t="inlineStr">
        <x:is>
          <x:t xml:space="preserve">Downloads, active paid subscribers, price and MRR are entered.</x:t>
        </x:is>
      </x:c>
      <x:c r="D19" s="31" t="inlineStr">
        <x:is>
          <x:t xml:space="preserve">Assumptions / Revenue &amp; Subscriptions</x:t>
        </x:is>
      </x:c>
      <x:c r="E19" s="31" t="inlineStr">
        <x:is>
          <x:t xml:space="preserve">Founder</x:t>
        </x:is>
      </x:c>
      <x:c r="F19" s="31" t="inlineStr">
        <x:is>
          <x:t xml:space="preserve">Not Started</x:t>
        </x:is>
      </x:c>
    </x:row>
    <x:row r="20" ht="30" customHeight="1">
      <x:c r="A20" s="30" t="inlineStr">
        <x:is>
          <x:t xml:space="preserve">Day 1</x:t>
        </x:is>
      </x:c>
      <x:c r="B20" s="30" t="inlineStr">
        <x:is>
          <x:t xml:space="preserve">Confirm production uptime and backups</x:t>
        </x:is>
      </x:c>
      <x:c r="C20" s="30" t="inlineStr">
        <x:is>
          <x:t xml:space="preserve">Replit paid; backup/recovery owner and steps documented.</x:t>
        </x:is>
      </x:c>
      <x:c r="D20" s="30" t="inlineStr">
        <x:is>
          <x:t xml:space="preserve">Business Foundation / SOP Library</x:t>
        </x:is>
      </x:c>
      <x:c r="E20" s="30" t="inlineStr">
        <x:is>
          <x:t xml:space="preserve">Founder</x:t>
        </x:is>
      </x:c>
      <x:c r="F20" s="30" t="inlineStr">
        <x:is>
          <x:t xml:space="preserve">Not Started</x:t>
        </x:is>
      </x:c>
    </x:row>
    <x:row r="21" ht="30" customHeight="1">
      <x:c r="A21" s="31" t="inlineStr">
        <x:is>
          <x:t xml:space="preserve">Days 1–2</x:t>
        </x:is>
      </x:c>
      <x:c r="B21" s="31" t="inlineStr">
        <x:is>
          <x:t xml:space="preserve">Reconcile first subscription records</x:t>
        </x:is>
      </x:c>
      <x:c r="C21" s="31" t="inlineStr">
        <x:is>
          <x:t xml:space="preserve">Gross, fees, refunds and cash received are separated.</x:t>
        </x:is>
      </x:c>
      <x:c r="D21" s="31" t="inlineStr">
        <x:is>
          <x:t xml:space="preserve">Revenue &amp; Subscriptions</x:t>
        </x:is>
      </x:c>
      <x:c r="E21" s="31" t="inlineStr">
        <x:is>
          <x:t xml:space="preserve">Founder</x:t>
        </x:is>
      </x:c>
      <x:c r="F21" s="31" t="inlineStr">
        <x:is>
          <x:t xml:space="preserve">Not Started</x:t>
        </x:is>
      </x:c>
    </x:row>
    <x:row r="22" ht="30" customHeight="1">
      <x:c r="A22" s="30" t="inlineStr">
        <x:is>
          <x:t xml:space="preserve">Days 2–4</x:t>
        </x:is>
      </x:c>
      <x:c r="B22" s="30" t="inlineStr">
        <x:is>
          <x:t xml:space="preserve">Speak to five paying or near-paying users</x:t>
        </x:is>
      </x:c>
      <x:c r="C22" s="30" t="inlineStr">
        <x:is>
          <x:t xml:space="preserve">Reason to pay, objection, first value and cancellation risk are logged.</x:t>
        </x:is>
      </x:c>
      <x:c r="D22" s="30" t="inlineStr">
        <x:is>
          <x:t xml:space="preserve">User Research CRM</x:t>
        </x:is>
      </x:c>
      <x:c r="E22" s="30" t="inlineStr">
        <x:is>
          <x:t xml:space="preserve">Founder</x:t>
        </x:is>
      </x:c>
      <x:c r="F22" s="30" t="inlineStr">
        <x:is>
          <x:t xml:space="preserve">Not Started</x:t>
        </x:is>
      </x:c>
    </x:row>
    <x:row r="23" ht="30" customHeight="1">
      <x:c r="A23" s="31" t="inlineStr">
        <x:is>
          <x:t xml:space="preserve">Days 2–4</x:t>
        </x:is>
      </x:c>
      <x:c r="B23" s="31" t="inlineStr">
        <x:is>
          <x:t xml:space="preserve">Protect TikTok and Instagram handles</x:t>
        </x:is>
      </x:c>
      <x:c r="C23" s="31" t="inlineStr">
        <x:is>
          <x:t xml:space="preserve">Profiles, bio, store link and safety positioning are consistent.</x:t>
        </x:is>
      </x:c>
      <x:c r="D23" s="31" t="inlineStr">
        <x:is>
          <x:t xml:space="preserve">Business Foundation / Content Guide</x:t>
        </x:is>
      </x:c>
      <x:c r="E23" s="31" t="inlineStr">
        <x:is>
          <x:t xml:space="preserve">Founder</x:t>
        </x:is>
      </x:c>
      <x:c r="F23" s="31" t="inlineStr">
        <x:is>
          <x:t xml:space="preserve">Not Started</x:t>
        </x:is>
      </x:c>
    </x:row>
    <x:row r="24" ht="30" customHeight="1">
      <x:c r="A24" s="30" t="inlineStr">
        <x:is>
          <x:t xml:space="preserve">Days 3–5</x:t>
        </x:is>
      </x:c>
      <x:c r="B24" s="30" t="inlineStr">
        <x:is>
          <x:t xml:space="preserve">Batch the first four core posts</x:t>
        </x:is>
      </x:c>
      <x:c r="C24" s="30" t="inlineStr">
        <x:is>
          <x:t xml:space="preserve">Founder proof, product proof, road insight and community/conversion post are ready.</x:t>
        </x:is>
      </x:c>
      <x:c r="D24" s="30" t="inlineStr">
        <x:is>
          <x:t xml:space="preserve">Phase 1 Calendar / Production Tracker</x:t>
        </x:is>
      </x:c>
      <x:c r="E24" s="30" t="inlineStr">
        <x:is>
          <x:t xml:space="preserve">Founder</x:t>
        </x:is>
      </x:c>
      <x:c r="F24" s="30" t="inlineStr">
        <x:is>
          <x:t xml:space="preserve">Not Started</x:t>
        </x:is>
      </x:c>
    </x:row>
    <x:row r="25" ht="30" customHeight="1">
      <x:c r="A25" s="31" t="inlineStr">
        <x:is>
          <x:t xml:space="preserve">Days 4–6</x:t>
        </x:is>
      </x:c>
      <x:c r="B25" s="31" t="inlineStr">
        <x:is>
          <x:t xml:space="preserve">Run first multipurpose field sprint</x:t>
        </x:is>
      </x:c>
      <x:c r="C25" s="31" t="inlineStr">
        <x:is>
          <x:t xml:space="preserve">Trip ID logs km/cost; produces evidence, verified records and content clips.</x:t>
        </x:is>
      </x:c>
      <x:c r="D25" s="31" t="inlineStr">
        <x:is>
          <x:t xml:space="preserve">Fuel &amp; Field Ops / Road Data Ops</x:t>
        </x:is>
      </x:c>
      <x:c r="E25" s="31" t="inlineStr">
        <x:is>
          <x:t xml:space="preserve">Founder</x:t>
        </x:is>
      </x:c>
      <x:c r="F25" s="31" t="inlineStr">
        <x:is>
          <x:t xml:space="preserve">Not Started</x:t>
        </x:is>
      </x:c>
    </x:row>
    <x:row r="26" ht="30" customHeight="1">
      <x:c r="A26" s="30" t="inlineStr">
        <x:is>
          <x:t xml:space="preserve">Week 2</x:t>
        </x:is>
      </x:c>
      <x:c r="B26" s="30" t="inlineStr">
        <x:is>
          <x:t xml:space="preserve">Fix the biggest live-user friction</x:t>
        </x:is>
      </x:c>
      <x:c r="C26" s="30" t="inlineStr">
        <x:is>
          <x:t xml:space="preserve">One P0 issue is closed with acceptance criteria.</x:t>
        </x:is>
      </x:c>
      <x:c r="D26" s="30" t="inlineStr">
        <x:is>
          <x:t xml:space="preserve">Product Backlog</x:t>
        </x:is>
      </x:c>
      <x:c r="E26" s="30" t="inlineStr">
        <x:is>
          <x:t xml:space="preserve">Founder</x:t>
        </x:is>
      </x:c>
      <x:c r="F26" s="30" t="inlineStr">
        <x:is>
          <x:t xml:space="preserve">Not Started</x:t>
        </x:is>
      </x:c>
    </x:row>
    <x:row r="27" ht="30" customHeight="1">
      <x:c r="A27" s="31" t="inlineStr">
        <x:is>
          <x:t xml:space="preserve">Week 2</x:t>
        </x:is>
      </x:c>
      <x:c r="B27" s="31" t="inlineStr">
        <x:is>
          <x:t xml:space="preserve">Run one organic growth experiment</x:t>
        </x:is>
      </x:c>
      <x:c r="C27" s="31" t="inlineStr">
        <x:is>
          <x:t xml:space="preserve">Single hypothesis, result and next decision are logged.</x:t>
        </x:is>
      </x:c>
      <x:c r="D27" s="31" t="inlineStr">
        <x:is>
          <x:t xml:space="preserve">Growth Experiments</x:t>
        </x:is>
      </x:c>
      <x:c r="E27" s="31" t="inlineStr">
        <x:is>
          <x:t xml:space="preserve">Founder</x:t>
        </x:is>
      </x:c>
      <x:c r="F27" s="31" t="inlineStr">
        <x:is>
          <x:t xml:space="preserve">Not Started</x:t>
        </x:is>
      </x:c>
    </x:row>
    <x:row r="28" ht="30" customHeight="1">
      <x:c r="A28" s="30" t="inlineStr">
        <x:is>
          <x:t xml:space="preserve">Week 2</x:t>
        </x:is>
      </x:c>
      <x:c r="B28" s="30" t="inlineStr">
        <x:is>
          <x:t xml:space="preserve">Complete Friday founder review</x:t>
        </x:is>
      </x:c>
      <x:c r="C28" s="30" t="inlineStr">
        <x:is>
          <x:t xml:space="preserve">Cash, revenue, users, content, field and next-week decision are complete.</x:t>
        </x:is>
      </x:c>
      <x:c r="D28" s="30" t="inlineStr">
        <x:is>
          <x:t xml:space="preserve">Weekly Command Center / Weekly Review</x:t>
        </x:is>
      </x:c>
      <x:c r="E28" s="30" t="inlineStr">
        <x:is>
          <x:t xml:space="preserve">Founder</x:t>
        </x:is>
      </x:c>
      <x:c r="F28" s="30" t="inlineStr">
        <x:is>
          <x:t xml:space="preserve">Not Started</x:t>
        </x:is>
      </x:c>
    </x:row>
    <x:row r="29"/>
    <x:row r="30"/>
    <x:row r="31" ht="23" customHeight="1">
      <x:c r="A31" s="34" t="inlineStr">
        <x:is>
          <x:t xml:space="preserve">How to use this workbook</x:t>
        </x:is>
      </x:c>
    </x:row>
    <x:row r="32" ht="38" customHeight="1">
      <x:c r="A32" s="33" t="inlineStr">
        <x:is>
          <x:t xml:space="preserve">Cadence</x:t>
        </x:is>
      </x:c>
      <x:c r="B32" s="33" t="inlineStr">
        <x:is>
          <x:t xml:space="preserve">Workflow</x:t>
        </x:is>
      </x:c>
    </x:row>
    <x:row r="33">
      <x:c r="A33" s="31" t="inlineStr">
        <x:is>
          <x:t xml:space="preserve">Every Friday</x:t>
        </x:is>
      </x:c>
      <x:c r="B33" s="31" t="inlineStr">
        <x:is>
          <x:t xml:space="preserve">Weekly Command Center → Money Log → Cash &amp; Runway → Revenue &amp; Subscriptions → Weekly Review</x:t>
        </x:is>
      </x:c>
      <x:c r="C33" s="31" t="n"/>
      <x:c r="D33" s="31" t="n"/>
      <x:c r="E33" s="31" t="n"/>
      <x:c r="F33" s="31" t="n"/>
      <x:c r="G33" s="31" t="n"/>
      <x:c r="H33" s="31" t="n"/>
      <x:c r="I33" s="31" t="n"/>
      <x:c r="J33" s="31" t="n"/>
      <x:c r="K33" s="31" t="n"/>
      <x:c r="L33" s="31" t="n"/>
    </x:row>
    <x:row r="34">
      <x:c r="A34" s="30" t="inlineStr">
        <x:is>
          <x:t xml:space="preserve">Every field trip</x:t>
        </x:is>
      </x:c>
      <x:c r="B34" s="30" t="inlineStr">
        <x:is>
          <x:t xml:space="preserve">Fuel &amp; Field Ops → Road Data Ops → Phase 1 Calendar / Shot Bank</x:t>
        </x:is>
      </x:c>
      <x:c r="C34" s="30" t="n"/>
      <x:c r="D34" s="30" t="n"/>
      <x:c r="E34" s="30" t="n"/>
      <x:c r="F34" s="30" t="n"/>
      <x:c r="G34" s="30" t="n"/>
      <x:c r="H34" s="30" t="n"/>
      <x:c r="I34" s="30" t="n"/>
      <x:c r="J34" s="30" t="n"/>
      <x:c r="K34" s="30" t="n"/>
      <x:c r="L34" s="30" t="n"/>
    </x:row>
    <x:row r="35">
      <x:c r="A35" s="31" t="inlineStr">
        <x:is>
          <x:t xml:space="preserve">Every content batch</x:t>
        </x:is>
      </x:c>
      <x:c r="B35" s="31" t="inlineStr">
        <x:is>
          <x:t xml:space="preserve">Content Dashboard → Production Tracker → Phase 1 Calendar → Content Metrics</x:t>
        </x:is>
      </x:c>
      <x:c r="C35" s="31" t="n"/>
      <x:c r="D35" s="31" t="n"/>
      <x:c r="E35" s="31" t="n"/>
      <x:c r="F35" s="31" t="n"/>
      <x:c r="G35" s="31" t="n"/>
      <x:c r="H35" s="31" t="n"/>
      <x:c r="I35" s="31" t="n"/>
      <x:c r="J35" s="31" t="n"/>
      <x:c r="K35" s="31" t="n"/>
      <x:c r="L35" s="31" t="n"/>
    </x:row>
    <x:row r="36">
      <x:c r="A36" s="30" t="inlineStr">
        <x:is>
          <x:t xml:space="preserve">Every growth test</x:t>
        </x:is>
      </x:c>
      <x:c r="B36" s="30" t="inlineStr">
        <x:is>
          <x:t xml:space="preserve">Growth Gates → Growth Experiments / Ads / Micro-Creator → Weekly Review</x:t>
        </x:is>
      </x:c>
      <x:c r="C36" s="30" t="n"/>
      <x:c r="D36" s="30" t="n"/>
      <x:c r="E36" s="30" t="n"/>
      <x:c r="F36" s="30" t="n"/>
      <x:c r="G36" s="30" t="n"/>
      <x:c r="H36" s="30" t="n"/>
      <x:c r="I36" s="30" t="n"/>
      <x:c r="J36" s="30" t="n"/>
      <x:c r="K36" s="30" t="n"/>
      <x:c r="L36" s="30" t="n"/>
    </x:row>
    <x:row r="37">
      <x:c r="A37" s="31" t="inlineStr">
        <x:is>
          <x:t xml:space="preserve">Every product decision</x:t>
        </x:is>
      </x:c>
      <x:c r="B37" s="31" t="inlineStr">
        <x:is>
          <x:t xml:space="preserve">User Research CRM → Product Backlog → acceptance criteria → paying-user follow-up</x:t>
        </x:is>
      </x:c>
      <x:c r="C37" s="31" t="n"/>
      <x:c r="D37" s="31" t="n"/>
      <x:c r="E37" s="31" t="n"/>
      <x:c r="F37" s="31" t="n"/>
      <x:c r="G37" s="31" t="n"/>
      <x:c r="H37" s="31" t="n"/>
      <x:c r="I37" s="31" t="n"/>
      <x:c r="J37" s="31" t="n"/>
      <x:c r="K37" s="31" t="n"/>
      <x:c r="L37" s="31" t="n"/>
    </x:row>
    <x:row r="38">
      <x:c r="A38" s="30" t="inlineStr">
        <x:is>
          <x:t xml:space="preserve">Every month</x:t>
        </x:is>
      </x:c>
      <x:c r="B38" s="30" t="inlineStr">
        <x:is>
          <x:t xml:space="preserve">Assumptions → Compliance → Risks → Hiring &amp; Office Gates → 24-Week Plan</x:t>
        </x:is>
      </x:c>
      <x:c r="C38" s="30" t="n"/>
      <x:c r="D38" s="30" t="n"/>
      <x:c r="E38" s="30" t="n"/>
      <x:c r="F38" s="30" t="n"/>
      <x:c r="G38" s="30" t="n"/>
      <x:c r="H38" s="30" t="n"/>
      <x:c r="I38" s="30" t="n"/>
      <x:c r="J38" s="30" t="n"/>
      <x:c r="K38" s="30" t="n"/>
      <x:c r="L38" s="30" t="n"/>
    </x:row>
  </x:sheetData>
  <x:mergeCells>
    <x:mergeCell ref="B35:L35"/>
    <x:mergeCell ref="A2:L2"/>
    <x:mergeCell ref="A16:L16"/>
    <x:mergeCell ref="B38:L38"/>
    <x:mergeCell ref="B33:L33"/>
    <x:mergeCell ref="A1:L1"/>
    <x:mergeCell ref="A31:L31"/>
    <x:mergeCell ref="B34:L34"/>
    <x:mergeCell ref="B37:L37"/>
    <x:mergeCell ref="B36:L36"/>
    <x:mergeCell ref="A4:L4"/>
  </x:mergeCells>
  <x:dataValidations count="1">
    <x:dataValidation type="list" allowBlank="1" showDropDown="0" showInputMessage="0" showErrorMessage="0" errorTitle="Invalid value" error="Choose a value from the dropdown." sqref="F18:F28">
      <x:formula1>"Not Started,In Progress,Done,Blocked,Skipped"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2" customWidth="1"/>
    <x:col min="4" max="4" width="12" customWidth="1"/>
    <x:col min="5" max="5" width="24" customWidth="1"/>
    <x:col min="6" max="6" width="16" customWidth="1"/>
    <x:col min="7" max="7" width="24" customWidth="1"/>
    <x:col min="8" max="8" width="16" customWidth="1"/>
    <x:col min="9" max="9" width="20" customWidth="1"/>
    <x:col min="10" max="10" width="16" customWidth="1"/>
    <x:col min="11" max="11" width="14" customWidth="1"/>
    <x:col min="12" max="12" width="18" customWidth="1"/>
  </x:cols>
  <x:sheetData>
    <x:row r="1" ht="30" customHeight="1">
      <x:c r="A1" s="26" t="inlineStr">
        <x:is>
          <x:t xml:space="preserve">FOUNDER DASHBOARD</x:t>
        </x:is>
      </x:c>
    </x:row>
    <x:row r="2" ht="34" customHeight="1">
      <x:c r="A2" s="27" t="inlineStr">
        <x:is>
          <x:t xml:space="preserve">A live-app control view. Update Assumptions, Money Log, Revenue &amp; Subscriptions, Fuel &amp; Field Ops and content statuses; this page then summarizes the business.</x:t>
        </x:is>
      </x:c>
    </x:row>
    <x:row r="3"/>
    <x:row r="4" ht="23" customHeight="1">
      <x:c r="A4" s="34" t="inlineStr">
        <x:is>
          <x:t xml:space="preserve">Cash &amp; runway</x:t>
        </x:is>
      </x:c>
      <x:c r="E4" s="32" t="inlineStr">
        <x:is>
          <x:t xml:space="preserve">Live app &amp; subscriptions</x:t>
        </x:is>
      </x:c>
      <x:c r="I4" s="35" t="inlineStr">
        <x:is>
          <x:t xml:space="preserve">Decisive operating position</x:t>
        </x:is>
      </x:c>
    </x:row>
    <x:row r="5">
      <x:c r="A5" s="36" t="inlineStr">
        <x:is>
          <x:t xml:space="preserve">Current week</x:t>
        </x:is>
      </x:c>
      <x:c r="B5" s="37" t="n">
        <x:f>Assumptions!$B$8</x:f>
        <x:v>1</x:v>
      </x:c>
      <x:c r="E5" s="36" t="inlineStr">
        <x:is>
          <x:t xml:space="preserve">Total downloads</x:t>
        </x:is>
      </x:c>
      <x:c r="F5" s="38" t="n">
        <x:f>Assumptions!$B$37+SUM('Revenue &amp; Subscriptions'!$C$5:$C$28)</x:f>
        <x:v>0</x:v>
      </x:c>
      <x:c r="I5" s="36" t="inlineStr">
        <x:is>
          <x:t xml:space="preserve">Office</x:t>
        </x:is>
      </x:c>
      <x:c r="J5" s="39" t="inlineStr">
        <x:is>
          <x:t xml:space="preserve">NO</x:t>
        </x:is>
      </x:c>
    </x:row>
    <x:row r="6">
      <x:c r="A6" s="36" t="inlineStr">
        <x:is>
          <x:t xml:space="preserve">Planned ending op cash</x:t>
        </x:is>
      </x:c>
      <x:c r="B6" s="40" t="n">
        <x:f>INDEX('Cash &amp; Runway'!$Q$5:$Q$28,Assumptions!$B$8)</x:f>
        <x:v>2500</x:v>
      </x:c>
      <x:c r="E6" s="36" t="inlineStr">
        <x:is>
          <x:t xml:space="preserve">Active paid</x:t>
        </x:is>
      </x:c>
      <x:c r="F6" s="38" t="n">
        <x:f>INDEX('Revenue &amp; Subscriptions'!$H$5:$H$28,Assumptions!$B$8)</x:f>
        <x:v>0</x:v>
      </x:c>
      <x:c r="I6" s="36" t="inlineStr">
        <x:is>
          <x:t xml:space="preserve">Full-time employee</x:t>
        </x:is>
      </x:c>
      <x:c r="J6" s="39" t="inlineStr">
        <x:is>
          <x:t xml:space="preserve">NO</x:t>
        </x:is>
      </x:c>
    </x:row>
    <x:row r="7">
      <x:c r="A7" s="36" t="inlineStr">
        <x:is>
          <x:t xml:space="preserve">Actual ending op cash</x:t>
        </x:is>
      </x:c>
      <x:c r="B7" s="40" t="str">
        <x:f>INDEX('Cash &amp; Runway'!$W$5:$W$28,Assumptions!$B$8)</x:f>
      </x:c>
      <x:c r="E7" s="36" t="inlineStr">
        <x:is>
          <x:t xml:space="preserve">MRR</x:t>
        </x:is>
      </x:c>
      <x:c r="F7" s="41" t="n">
        <x:f>INDEX('Revenue &amp; Subscriptions'!$N$5:$N$28,Assumptions!$B$8)</x:f>
        <x:v>0</x:v>
      </x:c>
      <x:c r="I7" s="36" t="inlineStr">
        <x:is>
          <x:t xml:space="preserve">Active social channels</x:t>
        </x:is>
      </x:c>
      <x:c r="J7" s="39" t="inlineStr">
        <x:is>
          <x:t xml:space="preserve">2</x:t>
        </x:is>
      </x:c>
    </x:row>
    <x:row r="8">
      <x:c r="A8" s="36" t="inlineStr">
        <x:is>
          <x:t xml:space="preserve">Actual reserve</x:t>
        </x:is>
      </x:c>
      <x:c r="B8" s="40" t="str">
        <x:f>INDEX('Cash &amp; Runway'!$X$5:$X$28,Assumptions!$B$8)</x:f>
      </x:c>
      <x:c r="E8" s="36" t="inlineStr">
        <x:is>
          <x:t xml:space="preserve">Cumulative net accrued</x:t>
        </x:is>
      </x:c>
      <x:c r="F8" s="41" t="n">
        <x:f>SUM('Revenue &amp; Subscriptions'!$L$5:$L$28)</x:f>
        <x:v>0</x:v>
      </x:c>
      <x:c r="I8" s="36" t="inlineStr">
        <x:is>
          <x:t xml:space="preserve">Weekly content</x:t>
        </x:is>
      </x:c>
      <x:c r="J8" s="39" t="inlineStr">
        <x:is>
          <x:t xml:space="preserve">4 core posts</x:t>
        </x:is>
      </x:c>
    </x:row>
    <x:row r="9">
      <x:c r="A9" s="36" t="inlineStr">
        <x:is>
          <x:t xml:space="preserve">24-week founder funding</x:t>
        </x:is>
      </x:c>
      <x:c r="B9" s="40" t="n">
        <x:f>SUM('Cash &amp; Runway'!$D$5:$D$28)</x:f>
        <x:v>240000</x:v>
      </x:c>
      <x:c r="E9" s="36" t="inlineStr">
        <x:is>
          <x:t xml:space="preserve">Cumulative cash received</x:t>
        </x:is>
      </x:c>
      <x:c r="F9" s="41" t="n">
        <x:f>SUM('Revenue &amp; Subscriptions'!$M$5:$M$28)</x:f>
        <x:v>0</x:v>
      </x:c>
      <x:c r="I9" s="36" t="inlineStr">
        <x:is>
          <x:t xml:space="preserve">Paid ads</x:t>
        </x:is>
      </x:c>
      <x:c r="J9" s="39" t="inlineStr">
        <x:is>
          <x:t xml:space="preserve">Only after gate</x:t>
        </x:is>
      </x:c>
    </x:row>
    <x:row r="10">
      <x:c r="A10" s="36" t="inlineStr">
        <x:is>
          <x:t xml:space="preserve">24-week planned spend</x:t>
        </x:is>
      </x:c>
      <x:c r="B10" s="40" t="n">
        <x:f>SUM('Cash &amp; Runway'!$O$5:$O$28)</x:f>
        <x:v>121123.2</x:v>
      </x:c>
      <x:c r="E10" s="36" t="inlineStr">
        <x:is>
          <x:t xml:space="preserve">Current paid conversion</x:t>
        </x:is>
      </x:c>
      <x:c r="F10" s="42" t="n">
        <x:f>INDEX('Revenue &amp; Subscriptions'!$P$5:$P$28,Assumptions!$B$8)</x:f>
        <x:v>0</x:v>
      </x:c>
      <x:c r="I10" s="36" t="inlineStr">
        <x:is>
          <x:t xml:space="preserve">Micro-creators</x:t>
        </x:is>
      </x:c>
      <x:c r="J10" s="39" t="inlineStr">
        <x:is>
          <x:t xml:space="preserve">Tracked tests only</x:t>
        </x:is>
      </x:c>
    </x:row>
    <x:row r="11">
      <x:c r="A11" s="36" t="inlineStr">
        <x:is>
          <x:t xml:space="preserve">Replit monthly plan</x:t>
        </x:is>
      </x:c>
      <x:c r="B11" s="40" t="n">
        <x:f>Assumptions!$B$19</x:f>
        <x:v>2587.2000000000003</x:v>
      </x:c>
      <x:c r="E11" s="36" t="inlineStr">
        <x:is>
          <x:t xml:space="preserve">Core posts posted</x:t>
        </x:is>
      </x:c>
      <x:c r="F11" s="38" t="n">
        <x:f>COUNTIFS('Phase 1 Calendar'!$AF$5:$AF$300,"Core",'Phase 1 Calendar'!$W$5:$W$300,"Posted")</x:f>
        <x:v>0</x:v>
      </x:c>
      <x:c r="I11" s="36" t="inlineStr">
        <x:is>
          <x:t xml:space="preserve">Field expansion</x:t>
        </x:is>
      </x:c>
      <x:c r="J11" s="39" t="inlineStr">
        <x:is>
          <x:t xml:space="preserve">One corridor first</x:t>
        </x:is>
      </x:c>
    </x:row>
    <x:row r="12">
      <x:c r="A12" s="36" t="inlineStr">
        <x:is>
          <x:t xml:space="preserve">Fuel cost / km</x:t>
        </x:is>
      </x:c>
      <x:c r="B12" s="43" t="n">
        <x:f>Assumptions!$B$22</x:f>
        <x:v>17.833333333333332</x:v>
      </x:c>
      <x:c r="E12" s="36" t="inlineStr">
        <x:is>
          <x:t xml:space="preserve">Field km logged</x:t>
        </x:is>
      </x:c>
      <x:c r="F12" s="44" t="n">
        <x:f>SUM('Fuel &amp; Field Ops'!$H$11:$H$110)</x:f>
        <x:v>0</x:v>
      </x:c>
      <x:c r="I12" s="36" t="inlineStr">
        <x:is>
          <x:t xml:space="preserve">Weekly priority</x:t>
        </x:is>
      </x:c>
      <x:c r="J12" s="39" t="inlineStr">
        <x:is>
          <x:t xml:space="preserve">Reliability + payers</x:t>
        </x:is>
      </x:c>
    </x:row>
    <x:row r="13">
      <x:c r="A13" s="36" t="inlineStr">
        <x:is>
          <x:t xml:space="preserve">Planned field cost / week</x:t>
        </x:is>
      </x:c>
      <x:c r="B13" s="40" t="n">
        <x:f>Assumptions!$B$26</x:f>
        <x:v>2500</x:v>
      </x:c>
      <x:c r="E13" s="36" t="inlineStr">
        <x:is>
          <x:t xml:space="preserve">Verified records from trips</x:t>
        </x:is>
      </x:c>
      <x:c r="F13" s="38" t="n">
        <x:f>SUM('Fuel &amp; Field Ops'!$S$11:$S$110)</x:f>
        <x:v>0</x:v>
      </x:c>
      <x:c r="I13" s="36" t="inlineStr">
        <x:is>
          <x:t xml:space="preserve">Moat</x:t>
        </x:is>
      </x:c>
      <x:c r="J13" s="39" t="inlineStr">
        <x:is>
          <x:t xml:space="preserve">Trust + verified data</x:t>
        </x:is>
      </x:c>
    </x:row>
    <x:row r="14"/>
    <x:row r="15"/>
    <x:row r="16" ht="23" customHeight="1">
      <x:c r="A16" s="28" t="inlineStr">
        <x:is>
          <x:t xml:space="preserve">24-week planned spend by protected category</x:t>
        </x:is>
      </x:c>
      <x:c r="G16" s="32" t="inlineStr">
        <x:is>
          <x:t xml:space="preserve">Selected-week decision snapshot</x:t>
        </x:is>
      </x:c>
    </x:row>
    <x:row r="17" ht="38" customHeight="1">
      <x:c r="A17" s="29" t="inlineStr">
        <x:is>
          <x:t xml:space="preserve">Category</x:t>
        </x:is>
      </x:c>
      <x:c r="B17" s="29" t="inlineStr">
        <x:is>
          <x:t xml:space="preserve">Planned KES</x:t>
        </x:is>
      </x:c>
    </x:row>
    <x:row r="18">
      <x:c r="A18" s="30" t="inlineStr">
        <x:is>
          <x:t xml:space="preserve">Replit</x:t>
        </x:is>
      </x:c>
      <x:c r="B18" s="45" t="n">
        <x:f>SUM('Cash &amp; Runway'!F5:F28)</x:f>
        <x:v>15523.200000000003</x:v>
      </x:c>
      <x:c r="G18" s="36" t="inlineStr">
        <x:is>
          <x:t xml:space="preserve">Funding Friday</x:t>
        </x:is>
      </x:c>
      <x:c r="H18" s="46" t="n">
        <x:f>INDEX('Cash &amp; Runway'!$B$5:$B$28,Assumptions!$B$8)</x:f>
        <x:v>46248</x:v>
      </x:c>
    </x:row>
    <x:row r="19">
      <x:c r="A19" s="31" t="inlineStr">
        <x:is>
          <x:t xml:space="preserve">Fuel &amp; Field</x:t>
        </x:is>
      </x:c>
      <x:c r="B19" s="47" t="n">
        <x:f>SUM('Cash &amp; Runway'!G5:G28)</x:f>
        <x:v>60000</x:v>
      </x:c>
      <x:c r="G19" s="36" t="inlineStr">
        <x:is>
          <x:t xml:space="preserve">Planned spend</x:t>
        </x:is>
      </x:c>
      <x:c r="H19" s="48" t="n">
        <x:f>INDEX('Cash &amp; Runway'!$O$5:$O$28,Assumptions!$B$8)</x:f>
        <x:v>6987.200000000001</x:v>
      </x:c>
    </x:row>
    <x:row r="20">
      <x:c r="A20" s="30" t="inlineStr">
        <x:is>
          <x:t xml:space="preserve">Product/Data</x:t>
        </x:is>
      </x:c>
      <x:c r="B20" s="45" t="n">
        <x:f>SUM('Cash &amp; Runway'!H5:H28)</x:f>
        <x:v>18000</x:v>
      </x:c>
      <x:c r="G20" s="36" t="inlineStr">
        <x:is>
          <x:t xml:space="preserve">Subscription cash</x:t>
        </x:is>
      </x:c>
      <x:c r="H20" s="48" t="n">
        <x:f>INDEX('Revenue &amp; Subscriptions'!$M$5:$M$28,Assumptions!$B$8)</x:f>
        <x:v>0</x:v>
      </x:c>
    </x:row>
    <x:row r="21">
      <x:c r="A21" s="31" t="inlineStr">
        <x:is>
          <x:t xml:space="preserve">Content</x:t>
        </x:is>
      </x:c>
      <x:c r="B21" s="47" t="n">
        <x:f>SUM('Cash &amp; Runway'!I5:I28)</x:f>
        <x:v>18000</x:v>
      </x:c>
      <x:c r="G21" s="36" t="inlineStr">
        <x:is>
          <x:t xml:space="preserve">Core posts planned</x:t>
        </x:is>
      </x:c>
      <x:c r="H21" s="49" t="n">
        <x:f>COUNTIFS('Phase 1 Calendar'!$D$5:$D$300,Assumptions!$B$8,'Phase 1 Calendar'!$AF$5:$AF$300,"Core")</x:f>
        <x:v>4</x:v>
      </x:c>
    </x:row>
    <x:row r="22">
      <x:c r="A22" s="30" t="inlineStr">
        <x:is>
          <x:t xml:space="preserve">Admin/Support</x:t>
        </x:is>
      </x:c>
      <x:c r="B22" s="45" t="n">
        <x:f>SUM('Cash &amp; Runway'!J5:J28)</x:f>
        <x:v>9600</x:v>
      </x:c>
      <x:c r="G22" s="36" t="inlineStr">
        <x:is>
          <x:t xml:space="preserve">Field budget</x:t>
        </x:is>
      </x:c>
      <x:c r="H22" s="48" t="n">
        <x:f>INDEX('Cash &amp; Runway'!$G$5:$G$28,Assumptions!$B$8)</x:f>
        <x:v>2500</x:v>
      </x:c>
    </x:row>
    <x:row r="23">
      <x:c r="A23" s="31" t="inlineStr">
        <x:is>
          <x:t xml:space="preserve">Ads</x:t>
        </x:is>
      </x:c>
      <x:c r="B23" s="47" t="n">
        <x:f>SUM('Cash &amp; Runway'!K5:K28)</x:f>
        <x:v>0</x:v>
      </x:c>
      <x:c r="G23" s="36" t="inlineStr">
        <x:is>
          <x:t xml:space="preserve">Max ad test</x:t>
        </x:is>
      </x:c>
      <x:c r="H23" s="48" t="n">
        <x:f>Assumptions!$B$31</x:f>
        <x:v>1000</x:v>
      </x:c>
    </x:row>
    <x:row r="24">
      <x:c r="A24" s="30" t="inlineStr">
        <x:is>
          <x:t xml:space="preserve">Creators</x:t>
        </x:is>
      </x:c>
      <x:c r="B24" s="45" t="n">
        <x:f>SUM('Cash &amp; Runway'!L5:L28)</x:f>
        <x:v>0</x:v>
      </x:c>
      <x:c r="G24" s="36" t="inlineStr">
        <x:is>
          <x:t xml:space="preserve">Max creator test</x:t>
        </x:is>
      </x:c>
      <x:c r="H24" s="48" t="n">
        <x:f>Assumptions!$B$32</x:f>
        <x:v>2000</x:v>
      </x:c>
    </x:row>
    <x:row r="25">
      <x:c r="A25" s="31" t="inlineStr">
        <x:is>
          <x:t xml:space="preserve">Contractor</x:t>
        </x:is>
      </x:c>
      <x:c r="B25" s="47" t="n">
        <x:f>SUM('Cash &amp; Runway'!M5:M28)</x:f>
        <x:v>0</x:v>
      </x:c>
      <x:c r="G25" s="36" t="inlineStr">
        <x:is>
          <x:t xml:space="preserve">Founder hours cap</x:t>
        </x:is>
      </x:c>
      <x:c r="H25" s="50" t="n">
        <x:f>Assumptions!$B$48</x:f>
        <x:v>25</x:v>
      </x:c>
    </x:row>
    <x:row r="26">
      <x:c r="A26" s="30" t="inlineStr">
        <x:is>
          <x:t xml:space="preserve">One-time</x:t>
        </x:is>
      </x:c>
      <x:c r="B26" s="45" t="n">
        <x:f>SUM('Cash &amp; Runway'!N5:N28)</x:f>
        <x:v>0</x:v>
      </x:c>
      <x:c r="G26" s="36" t="inlineStr">
        <x:is>
          <x:t xml:space="preserve">Main decision</x:t>
        </x:is>
      </x:c>
      <x:c r="H26" s="51" t="inlineStr">
        <x:is>
          <x:t xml:space="preserve">Complete Weekly Command Center</x:t>
        </x:is>
      </x:c>
    </x:row>
  </x:sheetData>
  <x:mergeCells>
    <x:mergeCell ref="B11:D11"/>
    <x:mergeCell ref="J6:L6"/>
    <x:mergeCell ref="A16:F16"/>
    <x:mergeCell ref="H26:L26"/>
    <x:mergeCell ref="F5:H5"/>
    <x:mergeCell ref="H20:L20"/>
    <x:mergeCell ref="A4:D4"/>
    <x:mergeCell ref="B8:D8"/>
    <x:mergeCell ref="I4:L4"/>
    <x:mergeCell ref="F8:H8"/>
    <x:mergeCell ref="B13:D13"/>
    <x:mergeCell ref="J9:L9"/>
    <x:mergeCell ref="J11:L11"/>
    <x:mergeCell ref="B10:D10"/>
    <x:mergeCell ref="J7:L7"/>
    <x:mergeCell ref="A2:L2"/>
    <x:mergeCell ref="H25:L25"/>
    <x:mergeCell ref="H21:L21"/>
    <x:mergeCell ref="F13:H13"/>
    <x:mergeCell ref="B9:D9"/>
    <x:mergeCell ref="F9:H9"/>
    <x:mergeCell ref="J12:L12"/>
    <x:mergeCell ref="B6:D6"/>
    <x:mergeCell ref="B5:D5"/>
    <x:mergeCell ref="G16:L16"/>
    <x:mergeCell ref="H23:L23"/>
    <x:mergeCell ref="E4:H4"/>
    <x:mergeCell ref="J8:L8"/>
    <x:mergeCell ref="H19:L19"/>
    <x:mergeCell ref="B7:D7"/>
    <x:mergeCell ref="H22:L22"/>
    <x:mergeCell ref="F11:H11"/>
    <x:mergeCell ref="J5:L5"/>
    <x:mergeCell ref="F10:H10"/>
    <x:mergeCell ref="F6:H6"/>
    <x:mergeCell ref="J10:L10"/>
    <x:mergeCell ref="J13:L13"/>
    <x:mergeCell ref="A1:L1"/>
    <x:mergeCell ref="H24:L24"/>
    <x:mergeCell ref="H18:L18"/>
    <x:mergeCell ref="F12:H12"/>
    <x:mergeCell ref="F7:H7"/>
    <x:mergeCell ref="B12:D12"/>
  </x:mergeCells>
  <x:pageMargins left="0.7" right="0.7" top="0.75" bottom="0.75" header="0.3" footer="0.3"/>
  <x:drawing xmlns:r="http://schemas.openxmlformats.org/officeDocument/2006/relationships" r:id="R8a76bff27a68498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8" customWidth="1"/>
    <x:col min="3" max="3" width="18" customWidth="1"/>
    <x:col min="4" max="4" width="72" customWidth="1"/>
    <x:col min="5" max="5" width="4" customWidth="1"/>
    <x:col min="6" max="6" width="4" customWidth="1"/>
    <x:col min="7" max="7" width="4" customWidth="1"/>
    <x:col min="8" max="8" width="4" customWidth="1"/>
    <x:col min="9" max="9" width="4" customWidth="1"/>
    <x:col min="10" max="10" width="4" customWidth="1"/>
  </x:cols>
  <x:sheetData>
    <x:row r="1" ht="30" customHeight="1">
      <x:c r="A1" s="26" t="inlineStr">
        <x:is>
          <x:t xml:space="preserve">ASSUMPTIONS &amp; CONTROL</x:t>
        </x:is>
      </x:c>
    </x:row>
    <x:row r="2" ht="34" customHeight="1">
      <x:c r="A2" s="27" t="inlineStr">
        <x:is>
          <x:t xml:space="preserve">Blue cells are editable. Update these first; the cash, subscription, fuel, dashboard and weekly sheets will respond.</x:t>
        </x:is>
      </x:c>
    </x:row>
    <x:row r="3"/>
    <x:row r="4" ht="23" customHeight="1">
      <x:c r="A4" s="28" t="inlineStr">
        <x:is>
          <x:t xml:space="preserve">Founder cash &amp; control inputs</x:t>
        </x:is>
      </x:c>
    </x:row>
    <x:row r="5" ht="38" customHeight="1">
      <x:c r="A5" s="29" t="inlineStr">
        <x:is>
          <x:t xml:space="preserve">Assumption</x:t>
        </x:is>
      </x:c>
      <x:c r="B5" s="29" t="inlineStr">
        <x:is>
          <x:t xml:space="preserve">Value</x:t>
        </x:is>
      </x:c>
      <x:c r="C5" s="29" t="inlineStr">
        <x:is>
          <x:t xml:space="preserve">Unit</x:t>
        </x:is>
      </x:c>
      <x:c r="D5" s="29" t="inlineStr">
        <x:is>
          <x:t xml:space="preserve">Reason / operating rule</x:t>
        </x:is>
      </x:c>
    </x:row>
    <x:row r="6">
      <x:c r="A6" s="30" t="inlineStr">
        <x:is>
          <x:t xml:space="preserve">Weekly founder funding</x:t>
        </x:is>
      </x:c>
      <x:c r="B6" s="52" t="n">
        <x:v>10000</x:v>
      </x:c>
      <x:c r="C6" s="30" t="inlineStr">
        <x:is>
          <x:t xml:space="preserve">KES / Friday</x:t>
        </x:is>
      </x:c>
      <x:c r="D6" s="30" t="inlineStr">
        <x:is>
          <x:t xml:space="preserve">The founder contribution available every Friday.</x:t>
        </x:is>
      </x:c>
    </x:row>
    <x:row r="7">
      <x:c r="A7" s="31" t="inlineStr">
        <x:is>
          <x:t xml:space="preserve">First funding Friday</x:t>
        </x:is>
      </x:c>
      <x:c r="B7" s="53" t="n">
        <x:v>46248</x:v>
      </x:c>
      <x:c r="C7" s="31" t="inlineStr">
        <x:is>
          <x:t xml:space="preserve">Date</x:t>
        </x:is>
      </x:c>
      <x:c r="D7" s="31" t="inlineStr">
        <x:is>
          <x:t xml:space="preserve">The first operating week in this workbook starts on Friday, 14 August 2026.</x:t>
        </x:is>
      </x:c>
    </x:row>
    <x:row r="8">
      <x:c r="A8" s="30" t="inlineStr">
        <x:is>
          <x:t xml:space="preserve">Current operating week</x:t>
        </x:is>
      </x:c>
      <x:c r="B8" s="54" t="n">
        <x:v>1</x:v>
      </x:c>
      <x:c r="C8" s="30" t="inlineStr">
        <x:is>
          <x:t xml:space="preserve">Week 1–24</x:t>
        </x:is>
      </x:c>
      <x:c r="D8" s="30" t="inlineStr">
        <x:is>
          <x:t xml:space="preserve">Update this every Friday; dashboards and command center use it.</x:t>
        </x:is>
      </x:c>
    </x:row>
    <x:row r="9">
      <x:c r="A9" s="31" t="inlineStr">
        <x:is>
          <x:t xml:space="preserve">Opening operating cash</x:t>
        </x:is>
      </x:c>
      <x:c r="B9" s="52" t="n">
        <x:v>0</x:v>
      </x:c>
      <x:c r="C9" s="31" t="inlineStr">
        <x:is>
          <x:t xml:space="preserve">KES</x:t>
        </x:is>
      </x:c>
      <x:c r="D9" s="31" t="inlineStr">
        <x:is>
          <x:t xml:space="preserve">Business cash available before the first funding contribution.</x:t>
        </x:is>
      </x:c>
    </x:row>
    <x:row r="10">
      <x:c r="A10" s="30" t="inlineStr">
        <x:is>
          <x:t xml:space="preserve">Opening reserve cash</x:t>
        </x:is>
      </x:c>
      <x:c r="B10" s="52" t="n">
        <x:v>0</x:v>
      </x:c>
      <x:c r="C10" s="30" t="inlineStr">
        <x:is>
          <x:t xml:space="preserve">KES</x:t>
        </x:is>
      </x:c>
      <x:c r="D10" s="30" t="inlineStr">
        <x:is>
          <x:t xml:space="preserve">Cash already ring-fenced as business reserve.</x:t>
        </x:is>
      </x:c>
    </x:row>
    <x:row r="11">
      <x:c r="A11" s="31" t="inlineStr">
        <x:is>
          <x:t xml:space="preserve">Minimum operating cash floor</x:t>
        </x:is>
      </x:c>
      <x:c r="B11" s="52" t="n">
        <x:v>2500</x:v>
      </x:c>
      <x:c r="C11" s="31" t="inlineStr">
        <x:is>
          <x:t xml:space="preserve">KES</x:t>
        </x:is>
      </x:c>
      <x:c r="D11" s="31" t="inlineStr">
        <x:is>
          <x:t xml:space="preserve">Protect this amount from planned reserve transfers and experiments.</x:t>
        </x:is>
      </x:c>
    </x:row>
    <x:row r="12">
      <x:c r="A12" s="30" t="inlineStr">
        <x:is>
          <x:t xml:space="preserve">Growth-spend cash gate</x:t>
        </x:is>
      </x:c>
      <x:c r="B12" s="52" t="n">
        <x:v>10000</x:v>
      </x:c>
      <x:c r="C12" s="30" t="inlineStr">
        <x:is>
          <x:t xml:space="preserve">KES</x:t>
        </x:is>
      </x:c>
      <x:c r="D12" s="30" t="inlineStr">
        <x:is>
          <x:t xml:space="preserve">Do not pay for ads/creators if actual operating cash is below this.</x:t>
        </x:is>
      </x:c>
    </x:row>
    <x:row r="13">
      <x:c r="A13" s="31" t="inlineStr">
        <x:is>
          <x:t xml:space="preserve">Reserve target</x:t>
        </x:is>
      </x:c>
      <x:c r="B13" s="52" t="n">
        <x:v>40000</x:v>
      </x:c>
      <x:c r="C13" s="31" t="inlineStr">
        <x:is>
          <x:t xml:space="preserve">KES</x:t>
        </x:is>
      </x:c>
      <x:c r="D13" s="31" t="inlineStr">
        <x:is>
          <x:t xml:space="preserve">A first milestone equal to four founder funding contributions.</x:t>
        </x:is>
      </x:c>
    </x:row>
    <x:row r="14"/>
    <x:row r="15" ht="23" customHeight="1">
      <x:c r="A15" s="34" t="inlineStr">
        <x:is>
          <x:t xml:space="preserve">Hosting, fieldwork &amp; weekly operating inputs</x:t>
        </x:is>
      </x:c>
    </x:row>
    <x:row r="16" ht="38" customHeight="1">
      <x:c r="A16" s="33" t="inlineStr">
        <x:is>
          <x:t xml:space="preserve">Assumption</x:t>
        </x:is>
      </x:c>
      <x:c r="B16" s="33" t="inlineStr">
        <x:is>
          <x:t xml:space="preserve">Value</x:t>
        </x:is>
      </x:c>
      <x:c r="C16" s="33" t="inlineStr">
        <x:is>
          <x:t xml:space="preserve">Unit</x:t>
        </x:is>
      </x:c>
      <x:c r="D16" s="33" t="inlineStr">
        <x:is>
          <x:t xml:space="preserve">Reason / operating rule</x:t>
        </x:is>
      </x:c>
    </x:row>
    <x:row r="17">
      <x:c r="A17" s="31" t="inlineStr">
        <x:is>
          <x:t xml:space="preserve">Replit monthly fee</x:t>
        </x:is>
      </x:c>
      <x:c r="B17" s="55" t="n">
        <x:v>20</x:v>
      </x:c>
      <x:c r="C17" s="31" t="inlineStr">
        <x:is>
          <x:t xml:space="preserve">USD / month</x:t>
        </x:is>
      </x:c>
      <x:c r="D17" s="31" t="inlineStr">
        <x:is>
          <x:t xml:space="preserve">Required recurring hosting cost; pay before optional growth spend.</x:t>
        </x:is>
      </x:c>
    </x:row>
    <x:row r="18">
      <x:c r="A18" s="30" t="inlineStr">
        <x:is>
          <x:t xml:space="preserve">USD/KES planning rate</x:t>
        </x:is>
      </x:c>
      <x:c r="B18" s="56" t="n">
        <x:v>129.36</x:v>
      </x:c>
      <x:c r="C18" s="30" t="inlineStr">
        <x:is>
          <x:t xml:space="preserve">KES per USD</x:t>
        </x:is>
      </x:c>
      <x:c r="D18" s="30" t="inlineStr">
        <x:is>
          <x:t xml:space="preserve">Editable planning rate; replace with the actual card/bank conversion used.</x:t>
        </x:is>
      </x:c>
    </x:row>
    <x:row r="19">
      <x:c r="A19" s="31" t="inlineStr">
        <x:is>
          <x:t xml:space="preserve">Replit monthly planning cost</x:t>
        </x:is>
      </x:c>
      <x:c r="B19" s="47" t="n">
        <x:f>B17*B18</x:f>
        <x:v>2587.2000000000003</x:v>
      </x:c>
      <x:c r="C19" s="31" t="inlineStr">
        <x:is>
          <x:t xml:space="preserve">KES / month</x:t>
        </x:is>
      </x:c>
      <x:c r="D19" s="31" t="inlineStr">
        <x:is>
          <x:t xml:space="preserve">Formula converts the monthly US-dollar fee into a KES planning amount.</x:t>
        </x:is>
      </x:c>
    </x:row>
    <x:row r="20">
      <x:c r="A20" s="30" t="inlineStr">
        <x:is>
          <x:t xml:space="preserve">Fuel price</x:t>
        </x:is>
      </x:c>
      <x:c r="B20" s="52" t="n">
        <x:v>214</x:v>
      </x:c>
      <x:c r="C20" s="30" t="inlineStr">
        <x:is>
          <x:t xml:space="preserve">KES / litre</x:t>
        </x:is>
      </x:c>
      <x:c r="D20" s="30" t="inlineStr">
        <x:is>
          <x:t xml:space="preserve">Current founder input.</x:t>
        </x:is>
      </x:c>
    </x:row>
    <x:row r="21">
      <x:c r="A21" s="31" t="inlineStr">
        <x:is>
          <x:t xml:space="preserve">Vehicle efficiency</x:t>
        </x:is>
      </x:c>
      <x:c r="B21" s="56" t="n">
        <x:v>12</x:v>
      </x:c>
      <x:c r="C21" s="31" t="inlineStr">
        <x:is>
          <x:t xml:space="preserve">km / litre</x:t>
        </x:is>
      </x:c>
      <x:c r="D21" s="31" t="inlineStr">
        <x:is>
          <x:t xml:space="preserve">Current founder input.</x:t>
        </x:is>
      </x:c>
    </x:row>
    <x:row r="22">
      <x:c r="A22" s="30" t="inlineStr">
        <x:is>
          <x:t xml:space="preserve">Fuel cost per kilometre</x:t>
        </x:is>
      </x:c>
      <x:c r="B22" s="57" t="n">
        <x:f>B20/B21</x:f>
        <x:v>17.833333333333332</x:v>
      </x:c>
      <x:c r="C22" s="30" t="inlineStr">
        <x:is>
          <x:t xml:space="preserve">KES / km</x:t>
        </x:is>
      </x:c>
      <x:c r="D22" s="30" t="inlineStr">
        <x:is>
          <x:t xml:space="preserve">Formula: fuel price divided by vehicle efficiency.</x:t>
        </x:is>
      </x:c>
    </x:row>
    <x:row r="23">
      <x:c r="A23" s="31" t="inlineStr">
        <x:is>
          <x:t xml:space="preserve">Planned field kilometres</x:t>
        </x:is>
      </x:c>
      <x:c r="B23" s="58" t="n">
        <x:v>120</x:v>
      </x:c>
      <x:c r="C23" s="31" t="inlineStr">
        <x:is>
          <x:t xml:space="preserve">km / week</x:t>
        </x:is>
      </x:c>
      <x:c r="D23" s="31" t="inlineStr">
        <x:is>
          <x:t xml:space="preserve">One focused corridor/content/verification trip, not random driving.</x:t>
        </x:is>
      </x:c>
    </x:row>
    <x:row r="24">
      <x:c r="A24" s="30" t="inlineStr">
        <x:is>
          <x:t xml:space="preserve">Planned field fuel cost</x:t>
        </x:is>
      </x:c>
      <x:c r="B24" s="45" t="n">
        <x:f>B22*B23</x:f>
        <x:v>2140</x:v>
      </x:c>
      <x:c r="C24" s="30" t="inlineStr">
        <x:is>
          <x:t xml:space="preserve">KES / week</x:t>
        </x:is>
      </x:c>
      <x:c r="D24" s="30" t="inlineStr">
        <x:is>
          <x:t xml:space="preserve">Formula using cost per kilometre and planned kilometres.</x:t>
        </x:is>
      </x:c>
    </x:row>
    <x:row r="25">
      <x:c r="A25" s="31" t="inlineStr">
        <x:is>
          <x:t xml:space="preserve">Parking/tolls/field contingency</x:t>
        </x:is>
      </x:c>
      <x:c r="B25" s="52" t="n">
        <x:v>360</x:v>
      </x:c>
      <x:c r="C25" s="31" t="inlineStr">
        <x:is>
          <x:t xml:space="preserve">KES / week</x:t>
        </x:is>
      </x:c>
      <x:c r="D25" s="31" t="inlineStr">
        <x:is>
          <x:t xml:space="preserve">Keeps the field envelope realistic without hiding non-fuel trip costs.</x:t>
        </x:is>
      </x:c>
    </x:row>
    <x:row r="26">
      <x:c r="A26" s="30" t="inlineStr">
        <x:is>
          <x:t xml:space="preserve">Total field operations budget</x:t>
        </x:is>
      </x:c>
      <x:c r="B26" s="45" t="n">
        <x:f>B24+B25</x:f>
        <x:v>2500</x:v>
      </x:c>
      <x:c r="C26" s="30" t="inlineStr">
        <x:is>
          <x:t xml:space="preserve">KES / week</x:t>
        </x:is>
      </x:c>
      <x:c r="D26" s="30" t="inlineStr">
        <x:is>
          <x:t xml:space="preserve">Fuel plus field contingency.</x:t>
        </x:is>
      </x:c>
    </x:row>
    <x:row r="27">
      <x:c r="A27" s="31" t="inlineStr">
        <x:is>
          <x:t xml:space="preserve">Product/data tools budget</x:t>
        </x:is>
      </x:c>
      <x:c r="B27" s="52" t="n">
        <x:v>750</x:v>
      </x:c>
      <x:c r="C27" s="31" t="inlineStr">
        <x:is>
          <x:t xml:space="preserve">KES / week</x:t>
        </x:is>
      </x:c>
      <x:c r="D27" s="31" t="inlineStr">
        <x:is>
          <x:t xml:space="preserve">Small repairs, data, testing and necessary app operations.</x:t>
        </x:is>
      </x:c>
    </x:row>
    <x:row r="28">
      <x:c r="A28" s="30" t="inlineStr">
        <x:is>
          <x:t xml:space="preserve">Content production budget</x:t>
        </x:is>
      </x:c>
      <x:c r="B28" s="52" t="n">
        <x:v>750</x:v>
      </x:c>
      <x:c r="C28" s="30" t="inlineStr">
        <x:is>
          <x:t xml:space="preserve">KES / week</x:t>
        </x:is>
      </x:c>
      <x:c r="D28" s="30" t="inlineStr">
        <x:is>
          <x:t xml:space="preserve">Low-cost props, captions/data, or essential production; phone-first by default.</x:t>
        </x:is>
      </x:c>
    </x:row>
    <x:row r="29">
      <x:c r="A29" s="31" t="inlineStr">
        <x:is>
          <x:t xml:space="preserve">Admin/support budget</x:t>
        </x:is>
      </x:c>
      <x:c r="B29" s="52" t="n">
        <x:v>400</x:v>
      </x:c>
      <x:c r="C29" s="31" t="inlineStr">
        <x:is>
          <x:t xml:space="preserve">KES / week</x:t>
        </x:is>
      </x:c>
      <x:c r="D29" s="31" t="inlineStr">
        <x:is>
          <x:t xml:space="preserve">Support communication, printing, small admin and transaction costs.</x:t>
        </x:is>
      </x:c>
    </x:row>
    <x:row r="30">
      <x:c r="A30" s="30" t="inlineStr">
        <x:is>
          <x:t xml:space="preserve">Reserve transfer target</x:t>
        </x:is>
      </x:c>
      <x:c r="B30" s="52" t="n">
        <x:v>1500</x:v>
      </x:c>
      <x:c r="C30" s="30" t="inlineStr">
        <x:is>
          <x:t xml:space="preserve">KES / week</x:t>
        </x:is>
      </x:c>
      <x:c r="D30" s="30" t="inlineStr">
        <x:is>
          <x:t xml:space="preserve">Transfer only after protected operating costs and cash floor.</x:t>
        </x:is>
      </x:c>
    </x:row>
    <x:row r="31">
      <x:c r="A31" s="31" t="inlineStr">
        <x:is>
          <x:t xml:space="preserve">Ads test cap</x:t>
        </x:is>
      </x:c>
      <x:c r="B31" s="52" t="n">
        <x:v>1000</x:v>
      </x:c>
      <x:c r="C31" s="31" t="inlineStr">
        <x:is>
          <x:t xml:space="preserve">KES / approved test</x:t>
        </x:is>
      </x:c>
      <x:c r="D31" s="31" t="inlineStr">
        <x:is>
          <x:t xml:space="preserve">Only after the ads gate passes; one controlled test at a time.</x:t>
        </x:is>
      </x:c>
    </x:row>
    <x:row r="32">
      <x:c r="A32" s="30" t="inlineStr">
        <x:is>
          <x:t xml:space="preserve">Micro-creator test cap</x:t>
        </x:is>
      </x:c>
      <x:c r="B32" s="52" t="n">
        <x:v>2000</x:v>
      </x:c>
      <x:c r="C32" s="30" t="inlineStr">
        <x:is>
          <x:t xml:space="preserve">KES / approved test</x:t>
        </x:is>
      </x:c>
      <x:c r="D32" s="30" t="inlineStr">
        <x:is>
          <x:t xml:space="preserve">Only with a code/link and paid-subscriber measurement.</x:t>
        </x:is>
      </x:c>
    </x:row>
    <x:row r="33">
      <x:c r="A33" s="31" t="inlineStr">
        <x:is>
          <x:t xml:space="preserve">Contractor output cap</x:t>
        </x:is>
      </x:c>
      <x:c r="B33" s="52" t="n">
        <x:v>2000</x:v>
      </x:c>
      <x:c r="C33" s="31" t="inlineStr">
        <x:is>
          <x:t xml:space="preserve">KES / approved task</x:t>
        </x:is>
      </x:c>
      <x:c r="D33" s="31" t="inlineStr">
        <x:is>
          <x:t xml:space="preserve">Pay per documented deliverable, not an open-ended role.</x:t>
        </x:is>
      </x:c>
    </x:row>
    <x:row r="34"/>
    <x:row r="35" ht="23" customHeight="1">
      <x:c r="A35" s="32" t="inlineStr">
        <x:is>
          <x:t xml:space="preserve">Live app, subscription &amp; founder capacity inputs</x:t>
        </x:is>
      </x:c>
    </x:row>
    <x:row r="36" ht="38" customHeight="1">
      <x:c r="A36" s="33" t="inlineStr">
        <x:is>
          <x:t xml:space="preserve">Assumption</x:t>
        </x:is>
      </x:c>
      <x:c r="B36" s="33" t="inlineStr">
        <x:is>
          <x:t xml:space="preserve">Value</x:t>
        </x:is>
      </x:c>
      <x:c r="C36" s="33" t="inlineStr">
        <x:is>
          <x:t xml:space="preserve">Unit</x:t>
        </x:is>
      </x:c>
      <x:c r="D36" s="33" t="inlineStr">
        <x:is>
          <x:t xml:space="preserve">Reason / operating rule</x:t>
        </x:is>
      </x:c>
    </x:row>
    <x:row r="37">
      <x:c r="A37" s="31" t="inlineStr">
        <x:is>
          <x:t xml:space="preserve">Baseline total downloads</x:t>
        </x:is>
      </x:c>
      <x:c r="B37" s="58" t="n">
        <x:v>0</x:v>
      </x:c>
      <x:c r="C37" s="31" t="inlineStr">
        <x:is>
          <x:t xml:space="preserve">Downloads</x:t>
        </x:is>
      </x:c>
      <x:c r="D37" s="31" t="inlineStr">
        <x:is>
          <x:t xml:space="preserve">Enter the store total as at 14 Aug 2026; weekly rows track growth after this baseline.</x:t>
        </x:is>
      </x:c>
    </x:row>
    <x:row r="38">
      <x:c r="A38" s="30" t="inlineStr">
        <x:is>
          <x:t xml:space="preserve">Baseline active paid subscribers</x:t>
        </x:is>
      </x:c>
      <x:c r="B38" s="58" t="n">
        <x:v>0</x:v>
      </x:c>
      <x:c r="C38" s="30" t="inlineStr">
        <x:is>
          <x:t xml:space="preserve">Subscribers</x:t>
        </x:is>
      </x:c>
      <x:c r="D38" s="30" t="inlineStr">
        <x:is>
          <x:t xml:space="preserve">Enter active paying users as at 14 Aug 2026.</x:t>
        </x:is>
      </x:c>
    </x:row>
    <x:row r="39">
      <x:c r="A39" s="31" t="inlineStr">
        <x:is>
          <x:t xml:space="preserve">Baseline MRR</x:t>
        </x:is>
      </x:c>
      <x:c r="B39" s="52" t="n">
        <x:v>0</x:v>
      </x:c>
      <x:c r="C39" s="31" t="inlineStr">
        <x:is>
          <x:t xml:space="preserve">KES / month</x:t>
        </x:is>
      </x:c>
      <x:c r="D39" s="31" t="inlineStr">
        <x:is>
          <x:t xml:space="preserve">Enter current gross monthly recurring revenue if known.</x:t>
        </x:is>
      </x:c>
    </x:row>
    <x:row r="40">
      <x:c r="A40" s="30" t="inlineStr">
        <x:is>
          <x:t xml:space="preserve">Expected weekly subscription cash</x:t>
        </x:is>
      </x:c>
      <x:c r="B40" s="52" t="n">
        <x:v>0</x:v>
      </x:c>
      <x:c r="C40" s="30" t="inlineStr">
        <x:is>
          <x:t xml:space="preserve">KES / week</x:t>
        </x:is>
      </x:c>
      <x:c r="D40" s="30" t="inlineStr">
        <x:is>
          <x:t xml:space="preserve">Conservative cash assumption until store payout timing is understood.</x:t>
        </x:is>
      </x:c>
    </x:row>
    <x:row r="41">
      <x:c r="A41" s="31" t="inlineStr">
        <x:is>
          <x:t xml:space="preserve">Current subscription price</x:t>
        </x:is>
      </x:c>
      <x:c r="B41" s="52" t="n">
        <x:v>0</x:v>
      </x:c>
      <x:c r="C41" s="31" t="inlineStr">
        <x:is>
          <x:t xml:space="preserve">KES / month</x:t>
        </x:is>
      </x:c>
      <x:c r="D41" s="31" t="inlineStr">
        <x:is>
          <x:t xml:space="preserve">Enter the main monthly price; use actual store price.</x:t>
        </x:is>
      </x:c>
    </x:row>
    <x:row r="42">
      <x:c r="A42" s="30" t="inlineStr">
        <x:is>
          <x:t xml:space="preserve">Planning net payout rate</x:t>
        </x:is>
      </x:c>
      <x:c r="B42" s="59" t="n">
        <x:v>0.85</x:v>
      </x:c>
      <x:c r="C42" s="30" t="inlineStr">
        <x:is>
          <x:t xml:space="preserve">% of gross</x:t>
        </x:is>
      </x:c>
      <x:c r="D42" s="30" t="inlineStr">
        <x:is>
          <x:t xml:space="preserve">Editable planning rate; store taxes/fees and payout timing vary.</x:t>
        </x:is>
      </x:c>
    </x:row>
    <x:row r="43">
      <x:c r="A43" s="31" t="inlineStr">
        <x:is>
          <x:t xml:space="preserve">Activation gate</x:t>
        </x:is>
      </x:c>
      <x:c r="B43" s="59" t="n">
        <x:v>0.4</x:v>
      </x:c>
      <x:c r="C43" s="31" t="inlineStr">
        <x:is>
          <x:t xml:space="preserve">%</x:t>
        </x:is>
      </x:c>
      <x:c r="D43" s="31" t="inlineStr">
        <x:is>
          <x:t xml:space="preserve">Share of new installs completing the key first-value action.</x:t>
        </x:is>
      </x:c>
    </x:row>
    <x:row r="44">
      <x:c r="A44" s="30" t="inlineStr">
        <x:is>
          <x:t xml:space="preserve">D7 retention gate</x:t>
        </x:is>
      </x:c>
      <x:c r="B44" s="59" t="n">
        <x:v>0.2</x:v>
      </x:c>
      <x:c r="C44" s="30" t="inlineStr">
        <x:is>
          <x:t xml:space="preserve">%</x:t>
        </x:is>
      </x:c>
      <x:c r="D44" s="30" t="inlineStr">
        <x:is>
          <x:t xml:space="preserve">Minimum early signal before scaling acquisition.</x:t>
        </x:is>
      </x:c>
    </x:row>
    <x:row r="45">
      <x:c r="A45" s="31" t="inlineStr">
        <x:is>
          <x:t xml:space="preserve">Paid conversion gate</x:t>
        </x:is>
      </x:c>
      <x:c r="B45" s="59" t="n">
        <x:v>0.03</x:v>
      </x:c>
      <x:c r="C45" s="31" t="inlineStr">
        <x:is>
          <x:t xml:space="preserve">%</x:t>
        </x:is>
      </x:c>
      <x:c r="D45" s="31" t="inlineStr">
        <x:is>
          <x:t xml:space="preserve">Starting decision threshold; replace with observed product economics.</x:t>
        </x:is>
      </x:c>
    </x:row>
    <x:row r="46">
      <x:c r="A46" s="30" t="inlineStr">
        <x:is>
          <x:t xml:space="preserve">Maximum CPI for first tests</x:t>
        </x:is>
      </x:c>
      <x:c r="B46" s="52" t="n">
        <x:v>300</x:v>
      </x:c>
      <x:c r="C46" s="30" t="inlineStr">
        <x:is>
          <x:t xml:space="preserve">KES / install</x:t>
        </x:is>
      </x:c>
      <x:c r="D46" s="30" t="inlineStr">
        <x:is>
          <x:t xml:space="preserve">A temporary cap, not a promise; actual CAC and retention matter more.</x:t>
        </x:is>
      </x:c>
    </x:row>
    <x:row r="47">
      <x:c r="A47" s="31" t="inlineStr">
        <x:is>
          <x:t xml:space="preserve">Maximum CAC payback</x:t>
        </x:is>
      </x:c>
      <x:c r="B47" s="58" t="n">
        <x:v>3</x:v>
      </x:c>
      <x:c r="C47" s="31" t="inlineStr">
        <x:is>
          <x:t xml:space="preserve">Months</x:t>
        </x:is>
      </x:c>
      <x:c r="D47" s="31" t="inlineStr">
        <x:is>
          <x:t xml:space="preserve">Do not scale paid acquisition that takes longer than this to recover.</x:t>
        </x:is>
      </x:c>
    </x:row>
    <x:row r="48">
      <x:c r="A48" s="30" t="inlineStr">
        <x:is>
          <x:t xml:space="preserve">Founder operating capacity</x:t>
        </x:is>
      </x:c>
      <x:c r="B48" s="58" t="n">
        <x:v>25</x:v>
      </x:c>
      <x:c r="C48" s="30" t="inlineStr">
        <x:is>
          <x:t xml:space="preserve">Hours / week</x:t>
        </x:is>
      </x:c>
      <x:c r="D48" s="30" t="inlineStr">
        <x:is>
          <x:t xml:space="preserve">Protect a realistic solo-founder limit.</x:t>
        </x:is>
      </x:c>
    </x:row>
    <x:row r="49">
      <x:c r="A49" s="31" t="inlineStr">
        <x:is>
          <x:t xml:space="preserve">Core content commitment</x:t>
        </x:is>
      </x:c>
      <x:c r="B49" s="58" t="n">
        <x:v>4</x:v>
      </x:c>
      <x:c r="C49" s="31" t="inlineStr">
        <x:is>
          <x:t xml:space="preserve">Posts / week</x:t>
        </x:is>
      </x:c>
      <x:c r="D49" s="31" t="inlineStr">
        <x:is>
          <x:t xml:space="preserve">Four core posts; other calendar ideas are optional or repurposed.</x:t>
        </x:is>
      </x:c>
    </x:row>
    <x:row r="50">
      <x:c r="A50" s="30" t="inlineStr">
        <x:is>
          <x:t xml:space="preserve">Paying-user conversations</x:t>
        </x:is>
      </x:c>
      <x:c r="B50" s="58" t="n">
        <x:v>5</x:v>
      </x:c>
      <x:c r="C50" s="30" t="inlineStr">
        <x:is>
          <x:t xml:space="preserve">Conversations / week</x:t>
        </x:is>
      </x:c>
      <x:c r="D50" s="30" t="inlineStr">
        <x:is>
          <x:t xml:space="preserve">Prioritize users who pay, cancel, or almost pay.</x:t>
        </x:is>
      </x:c>
    </x:row>
    <x:row r="51">
      <x:c r="A51" s="31" t="inlineStr">
        <x:is>
          <x:t xml:space="preserve">Field verification trips</x:t>
        </x:is>
      </x:c>
      <x:c r="B51" s="58" t="n">
        <x:v>1</x:v>
      </x:c>
      <x:c r="C51" s="31" t="inlineStr">
        <x:is>
          <x:t xml:space="preserve">Trips / week</x:t>
        </x:is>
      </x:c>
      <x:c r="D51" s="31" t="inlineStr">
        <x:is>
          <x:t xml:space="preserve">One planned, multipurpose trip is enough at this stage.</x:t>
        </x:is>
      </x:c>
    </x:row>
    <x:row r="52">
      <x:c r="A52" s="30" t="inlineStr">
        <x:is>
          <x:t xml:space="preserve">Verified road records</x:t>
        </x:is>
      </x:c>
      <x:c r="B52" s="58" t="n">
        <x:v>10</x:v>
      </x:c>
      <x:c r="C52" s="30" t="inlineStr">
        <x:is>
          <x:t xml:space="preserve">Records / week</x:t>
        </x:is>
      </x:c>
      <x:c r="D52" s="30" t="inlineStr">
        <x:is>
          <x:t xml:space="preserve">Quality before national breadth.</x:t>
        </x:is>
      </x:c>
    </x:row>
    <x:row r="53"/>
    <x:row r="54"/>
    <x:row r="55" ht="23" customHeight="1">
      <x:c r="A55" s="35" t="inlineStr">
        <x:is>
          <x:t xml:space="preserve">First-funding allocation check — Friday, 14 August 2026</x:t>
        </x:is>
      </x:c>
    </x:row>
    <x:row r="56" ht="38" customHeight="1">
      <x:c r="A56" s="33" t="inlineStr">
        <x:is>
          <x:t xml:space="preserve">Priority</x:t>
        </x:is>
      </x:c>
      <x:c r="B56" s="33" t="inlineStr">
        <x:is>
          <x:t xml:space="preserve">Planned KES</x:t>
        </x:is>
      </x:c>
      <x:c r="C56" s="33" t="inlineStr">
        <x:is>
          <x:t xml:space="preserve">Rule / output</x:t>
        </x:is>
      </x:c>
    </x:row>
    <x:row r="57" ht="34" customHeight="1">
      <x:c r="A57" s="31" t="inlineStr">
        <x:is>
          <x:t xml:space="preserve">1. Replit hosting</x:t>
        </x:is>
      </x:c>
      <x:c r="B57" s="47" t="n">
        <x:f>B19</x:f>
        <x:v>2587.2000000000003</x:v>
      </x:c>
      <x:c r="C57" s="31" t="inlineStr">
        <x:is>
          <x:t xml:space="preserve">Protect uptime before spending on reach.</x:t>
        </x:is>
      </x:c>
    </x:row>
    <x:row r="58" ht="34" customHeight="1">
      <x:c r="A58" s="30" t="inlineStr">
        <x:is>
          <x:t xml:space="preserve">2. Fuel &amp; field operations</x:t>
        </x:is>
      </x:c>
      <x:c r="B58" s="45" t="n">
        <x:f>B26</x:f>
        <x:v>2500</x:v>
      </x:c>
      <x:c r="C58" s="30" t="inlineStr">
        <x:is>
          <x:t xml:space="preserve">One purposeful trip must create both verified road data and reusable content.</x:t>
        </x:is>
      </x:c>
    </x:row>
    <x:row r="59" ht="34" customHeight="1">
      <x:c r="A59" s="31" t="inlineStr">
        <x:is>
          <x:t xml:space="preserve">3. Product/data</x:t>
        </x:is>
      </x:c>
      <x:c r="B59" s="47" t="n">
        <x:f>B27</x:f>
        <x:v>750</x:v>
      </x:c>
      <x:c r="C59" s="31" t="inlineStr">
        <x:is>
          <x:t xml:space="preserve">Only reliability, subscription, analytics or first-value work.</x:t>
        </x:is>
      </x:c>
    </x:row>
    <x:row r="60" ht="34" customHeight="1">
      <x:c r="A60" s="30" t="inlineStr">
        <x:is>
          <x:t xml:space="preserve">4. Content production</x:t>
        </x:is>
      </x:c>
      <x:c r="B60" s="45" t="n">
        <x:f>B28</x:f>
        <x:v>750</x:v>
      </x:c>
      <x:c r="C60" s="30" t="inlineStr">
        <x:is>
          <x:t xml:space="preserve">Phone-first; spend only where it improves output or trust.</x:t>
        </x:is>
      </x:c>
    </x:row>
    <x:row r="61" ht="34" customHeight="1">
      <x:c r="A61" s="31" t="inlineStr">
        <x:is>
          <x:t xml:space="preserve">5. Admin/support</x:t>
        </x:is>
      </x:c>
      <x:c r="B61" s="47" t="n">
        <x:f>B29</x:f>
        <x:v>400</x:v>
      </x:c>
      <x:c r="C61" s="31" t="inlineStr">
        <x:is>
          <x:t xml:space="preserve">Keep support and records functional.</x:t>
        </x:is>
      </x:c>
    </x:row>
    <x:row r="62" ht="34" customHeight="1">
      <x:c r="A62" s="60" t="inlineStr">
        <x:is>
          <x:t xml:space="preserve">Total protected spend</x:t>
        </x:is>
      </x:c>
      <x:c r="B62" s="61" t="n">
        <x:f>SUM(B57:B61)</x:f>
        <x:v>6987.200000000001</x:v>
      </x:c>
      <x:c r="C62" s="62" t="inlineStr">
        <x:is>
          <x:t xml:space="preserve">No ads, creators, office or salary in the first allocation.</x:t>
        </x:is>
      </x:c>
    </x:row>
    <x:row r="63" ht="34" customHeight="1">
      <x:c r="A63" s="63" t="inlineStr">
        <x:is>
          <x:t xml:space="preserve">Available from first funding</x:t>
        </x:is>
      </x:c>
      <x:c r="B63" s="64" t="n">
        <x:f>B6</x:f>
        <x:v>10000</x:v>
      </x:c>
      <x:c r="C63" s="65" t="inlineStr">
        <x:is>
          <x:t xml:space="preserve">Founder funding only; subscription cash remains upside until confirmed.</x:t>
        </x:is>
      </x:c>
    </x:row>
    <x:row r="64" ht="34" customHeight="1">
      <x:c r="A64" s="60" t="inlineStr">
        <x:is>
          <x:t xml:space="preserve">Possible reserve transfer</x:t>
        </x:is>
      </x:c>
      <x:c r="B64" s="61" t="n">
        <x:f>MAX(0,MIN(B30,B63-B62-B11))</x:f>
        <x:v>512.7999999999993</x:v>
      </x:c>
      <x:c r="C64" s="62" t="inlineStr">
        <x:is>
          <x:t xml:space="preserve">Formula protects the operating cash floor.</x:t>
        </x:is>
      </x:c>
    </x:row>
    <x:row r="65" ht="34" customHeight="1">
      <x:c r="A65" s="63" t="inlineStr">
        <x:is>
          <x:t xml:space="preserve">Ending operating cash</x:t>
        </x:is>
      </x:c>
      <x:c r="B65" s="64" t="n">
        <x:f>B63-B62-B64</x:f>
        <x:v>2500</x:v>
      </x:c>
      <x:c r="C65" s="65" t="inlineStr">
        <x:is>
          <x:t xml:space="preserve">Amount left after protected spend and reserve transfer.</x:t>
        </x:is>
      </x:c>
    </x:row>
  </x:sheetData>
  <x:mergeCells>
    <x:mergeCell ref="A1:J1"/>
    <x:mergeCell ref="A35:D35"/>
    <x:mergeCell ref="A4:D4"/>
    <x:mergeCell ref="A15:D15"/>
    <x:mergeCell ref="A55:J55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34" customWidth="1"/>
    <x:col min="3" max="3" width="18" customWidth="1"/>
    <x:col min="4" max="4" width="13" customWidth="1"/>
    <x:col min="5" max="5" width="14" customWidth="1"/>
    <x:col min="6" max="6" width="35" customWidth="1"/>
    <x:col min="7" max="7" width="35" customWidth="1"/>
    <x:col min="8" max="8" width="11" customWidth="1"/>
    <x:col min="9" max="9" width="12" customWidth="1"/>
    <x:col min="10" max="10" width="14" customWidth="1"/>
    <x:col min="11" max="11" width="23" customWidth="1"/>
    <x:col min="12" max="12" width="31" customWidth="1"/>
  </x:cols>
  <x:sheetData>
    <x:row r="1" ht="30" customHeight="1">
      <x:c r="A1" s="26" t="inlineStr">
        <x:is>
          <x:t xml:space="preserve">WEEKLY COMMAND CENTER</x:t>
        </x:is>
      </x:c>
    </x:row>
    <x:row r="2" ht="34" customHeight="1">
      <x:c r="A2" s="27" t="inlineStr">
        <x:is>
          <x:t xml:space="preserve">Open this first every Friday. One week, one cash decision, one product priority, one field sprint, four core posts and one measurable growth experiment.</x:t>
        </x:is>
      </x:c>
    </x:row>
    <x:row r="3"/>
    <x:row r="4" ht="23" customHeight="1">
      <x:c r="A4" s="34" t="inlineStr">
        <x:is>
          <x:t xml:space="preserve">Selected week — cash</x:t>
        </x:is>
      </x:c>
      <x:c r="F4" s="32" t="inlineStr">
        <x:is>
          <x:t xml:space="preserve">Selected week — live app</x:t>
        </x:is>
      </x:c>
      <x:c r="K4" s="35" t="inlineStr">
        <x:is>
          <x:t xml:space="preserve">Operating guardrails</x:t>
        </x:is>
      </x:c>
    </x:row>
    <x:row r="5">
      <x:c r="A5" s="36" t="inlineStr">
        <x:is>
          <x:t xml:space="preserve">Operating week</x:t>
        </x:is>
      </x:c>
      <x:c r="B5" s="66" t="n">
        <x:f>Assumptions!$B$8</x:f>
        <x:v>1</x:v>
      </x:c>
      <x:c r="F5" s="36" t="inlineStr">
        <x:is>
          <x:t xml:space="preserve">New downloads</x:t>
        </x:is>
      </x:c>
      <x:c r="G5" s="67" t="n">
        <x:f>INDEX('Revenue &amp; Subscriptions'!$C$5:$C$28,Assumptions!$B$8)</x:f>
        <x:v>0</x:v>
      </x:c>
      <x:c r="K5" s="36" t="inlineStr">
        <x:is>
          <x:t xml:space="preserve">Office</x:t>
        </x:is>
      </x:c>
      <x:c r="L5" s="68" t="inlineStr">
        <x:is>
          <x:t xml:space="preserve">NO</x:t>
        </x:is>
      </x:c>
    </x:row>
    <x:row r="6">
      <x:c r="A6" s="36" t="inlineStr">
        <x:is>
          <x:t xml:space="preserve">Funding Friday</x:t>
        </x:is>
      </x:c>
      <x:c r="B6" s="69" t="n">
        <x:f>INDEX('Cash &amp; Runway'!$B$5:$B$28,Assumptions!$B$8)</x:f>
        <x:v>46248</x:v>
      </x:c>
      <x:c r="F6" s="36" t="inlineStr">
        <x:is>
          <x:t xml:space="preserve">New paid</x:t>
        </x:is>
      </x:c>
      <x:c r="G6" s="67" t="n">
        <x:f>INDEX('Revenue &amp; Subscriptions'!$E$5:$E$28,Assumptions!$B$8)</x:f>
        <x:v>0</x:v>
      </x:c>
      <x:c r="K6" s="36" t="inlineStr">
        <x:is>
          <x:t xml:space="preserve">Full-time hire</x:t>
        </x:is>
      </x:c>
      <x:c r="L6" s="68" t="inlineStr">
        <x:is>
          <x:t xml:space="preserve">NO</x:t>
        </x:is>
      </x:c>
    </x:row>
    <x:row r="7">
      <x:c r="A7" s="36" t="inlineStr">
        <x:is>
          <x:t xml:space="preserve">Planned founder funding</x:t>
        </x:is>
      </x:c>
      <x:c r="B7" s="70" t="n">
        <x:f>INDEX('Cash &amp; Runway'!$D$5:$D$28,Assumptions!$B$8)</x:f>
        <x:v>10000</x:v>
      </x:c>
      <x:c r="F7" s="36" t="inlineStr">
        <x:is>
          <x:t xml:space="preserve">Active paid</x:t>
        </x:is>
      </x:c>
      <x:c r="G7" s="67" t="n">
        <x:f>INDEX('Revenue &amp; Subscriptions'!$H$5:$H$28,Assumptions!$B$8)</x:f>
        <x:v>0</x:v>
      </x:c>
      <x:c r="K7" s="36" t="inlineStr">
        <x:is>
          <x:t xml:space="preserve">Core channels</x:t>
        </x:is>
      </x:c>
      <x:c r="L7" s="68" t="inlineStr">
        <x:is>
          <x:t xml:space="preserve">TikTok + Instagram</x:t>
        </x:is>
      </x:c>
    </x:row>
    <x:row r="8">
      <x:c r="A8" s="36" t="inlineStr">
        <x:is>
          <x:t xml:space="preserve">Planned spend</x:t>
        </x:is>
      </x:c>
      <x:c r="B8" s="70" t="n">
        <x:f>INDEX('Cash &amp; Runway'!$O$5:$O$28,Assumptions!$B$8)</x:f>
        <x:v>6987.200000000001</x:v>
      </x:c>
      <x:c r="F8" s="36" t="inlineStr">
        <x:is>
          <x:t xml:space="preserve">Subscription cash</x:t>
        </x:is>
      </x:c>
      <x:c r="G8" s="71" t="n">
        <x:f>INDEX('Revenue &amp; Subscriptions'!$M$5:$M$28,Assumptions!$B$8)</x:f>
        <x:v>0</x:v>
      </x:c>
      <x:c r="K8" s="36" t="inlineStr">
        <x:is>
          <x:t xml:space="preserve">Ads</x:t>
        </x:is>
      </x:c>
      <x:c r="L8" s="68" t="inlineStr">
        <x:is>
          <x:t xml:space="preserve">Gate-controlled</x:t>
        </x:is>
      </x:c>
    </x:row>
    <x:row r="9">
      <x:c r="A9" s="36" t="inlineStr">
        <x:is>
          <x:t xml:space="preserve">Planned reserve transfer</x:t>
        </x:is>
      </x:c>
      <x:c r="B9" s="70" t="n">
        <x:f>INDEX('Cash &amp; Runway'!$P$5:$P$28,Assumptions!$B$8)</x:f>
        <x:v>512.7999999999993</x:v>
      </x:c>
      <x:c r="F9" s="36" t="inlineStr">
        <x:is>
          <x:t xml:space="preserve">MRR</x:t>
        </x:is>
      </x:c>
      <x:c r="G9" s="71" t="n">
        <x:f>INDEX('Revenue &amp; Subscriptions'!$N$5:$N$28,Assumptions!$B$8)</x:f>
        <x:v>0</x:v>
      </x:c>
      <x:c r="K9" s="36" t="inlineStr">
        <x:is>
          <x:t xml:space="preserve">Creators</x:t>
        </x:is>
      </x:c>
      <x:c r="L9" s="68" t="inlineStr">
        <x:is>
          <x:t xml:space="preserve">Tracked only</x:t>
        </x:is>
      </x:c>
    </x:row>
    <x:row r="10">
      <x:c r="A10" s="36" t="inlineStr">
        <x:is>
          <x:t xml:space="preserve">Planned ending op cash</x:t>
        </x:is>
      </x:c>
      <x:c r="B10" s="70" t="n">
        <x:f>INDEX('Cash &amp; Runway'!$Q$5:$Q$28,Assumptions!$B$8)</x:f>
        <x:v>2500</x:v>
      </x:c>
      <x:c r="F10" s="36" t="inlineStr">
        <x:is>
          <x:t xml:space="preserve">Core posts planned</x:t>
        </x:is>
      </x:c>
      <x:c r="G10" s="67" t="n">
        <x:f>COUNTIFS('Phase 1 Calendar'!$D$5:$D$300,Assumptions!$B$8,'Phase 1 Calendar'!$AF$5:$AF$300,"Core")</x:f>
        <x:v>4</x:v>
      </x:c>
      <x:c r="K10" s="36" t="inlineStr">
        <x:is>
          <x:t xml:space="preserve">Priority</x:t>
        </x:is>
      </x:c>
      <x:c r="L10" s="68" t="inlineStr">
        <x:is>
          <x:t xml:space="preserve">Reliability + paying users</x:t>
        </x:is>
      </x:c>
    </x:row>
    <x:row r="11">
      <x:c r="A11" s="36" t="inlineStr">
        <x:is>
          <x:t xml:space="preserve">Actual ending op cash</x:t>
        </x:is>
      </x:c>
      <x:c r="B11" s="70" t="str">
        <x:f>INDEX('Cash &amp; Runway'!$W$5:$W$28,Assumptions!$B$8)</x:f>
      </x:c>
      <x:c r="F11" s="36" t="inlineStr">
        <x:is>
          <x:t xml:space="preserve">Core posts posted</x:t>
        </x:is>
      </x:c>
      <x:c r="G11" s="67" t="n">
        <x:f>COUNTIFS('Phase 1 Calendar'!$D$5:$D$300,Assumptions!$B$8,'Phase 1 Calendar'!$AF$5:$AF$300,"Core",'Phase 1 Calendar'!$W$5:$W$300,"Posted")</x:f>
        <x:v>0</x:v>
      </x:c>
      <x:c r="K11" s="36" t="inlineStr">
        <x:is>
          <x:t xml:space="preserve">Fieldwork</x:t>
        </x:is>
      </x:c>
      <x:c r="L11" s="68" t="inlineStr">
        <x:is>
          <x:t xml:space="preserve">One multipurpose trip</x:t>
        </x:is>
      </x:c>
    </x:row>
    <x:row r="12">
      <x:c r="A12" s="36" t="inlineStr">
        <x:is>
          <x:t xml:space="preserve">Replit due</x:t>
        </x:is>
      </x:c>
      <x:c r="B12" s="70" t="n">
        <x:f>INDEX('Cash &amp; Runway'!$F$5:$F$28,Assumptions!$B$8)</x:f>
        <x:v>2587.2000000000003</x:v>
      </x:c>
      <x:c r="F12" s="36" t="inlineStr">
        <x:is>
          <x:t xml:space="preserve">Field kilometres</x:t>
        </x:is>
      </x:c>
      <x:c r="G12" s="72" t="n">
        <x:f>SUMIFS('Fuel &amp; Field Ops'!$H$11:$H$110,'Fuel &amp; Field Ops'!$C$11:$C$110,Assumptions!$B$8)</x:f>
        <x:v>0</x:v>
      </x:c>
      <x:c r="K12" s="36" t="inlineStr">
        <x:is>
          <x:t xml:space="preserve">Content</x:t>
        </x:is>
      </x:c>
      <x:c r="L12" s="68" t="inlineStr">
        <x:is>
          <x:t xml:space="preserve">4 core posts</x:t>
        </x:is>
      </x:c>
    </x:row>
    <x:row r="13">
      <x:c r="A13" s="36" t="inlineStr">
        <x:is>
          <x:t xml:space="preserve">Field budget</x:t>
        </x:is>
      </x:c>
      <x:c r="B13" s="70" t="n">
        <x:f>INDEX('Cash &amp; Runway'!$G$5:$G$28,Assumptions!$B$8)</x:f>
        <x:v>2500</x:v>
      </x:c>
      <x:c r="F13" s="36" t="inlineStr">
        <x:is>
          <x:t xml:space="preserve">Verified records</x:t>
        </x:is>
      </x:c>
      <x:c r="G13" s="67" t="n">
        <x:f>SUMIFS('Fuel &amp; Field Ops'!$S$11:$S$110,'Fuel &amp; Field Ops'!$C$11:$C$110,Assumptions!$B$8)</x:f>
        <x:v>0</x:v>
      </x:c>
      <x:c r="K13" s="36" t="inlineStr">
        <x:is>
          <x:t xml:space="preserve">Expansion</x:t>
        </x:is>
      </x:c>
      <x:c r="L13" s="68" t="inlineStr">
        <x:is>
          <x:t xml:space="preserve">One corridor first</x:t>
        </x:is>
      </x:c>
    </x:row>
    <x:row r="14">
      <x:c r="A14" s="36" t="inlineStr">
        <x:is>
          <x:t xml:space="preserve">Fuel cost / km</x:t>
        </x:is>
      </x:c>
      <x:c r="B14" s="73" t="n">
        <x:f>Assumptions!$B$22</x:f>
        <x:v>17.833333333333332</x:v>
      </x:c>
      <x:c r="F14" s="36" t="inlineStr">
        <x:is>
          <x:t xml:space="preserve">Founder hours cap</x:t>
        </x:is>
      </x:c>
      <x:c r="G14" s="72" t="n">
        <x:f>Assumptions!$B$48</x:f>
        <x:v>25</x:v>
      </x:c>
      <x:c r="K14" s="36" t="inlineStr">
        <x:is>
          <x:t xml:space="preserve">Spend</x:t>
        </x:is>
      </x:c>
      <x:c r="L14" s="68" t="inlineStr">
        <x:is>
          <x:t xml:space="preserve">Log before/when paid</x:t>
        </x:is>
      </x:c>
    </x:row>
    <x:row r="15"/>
    <x:row r="16"/>
    <x:row r="17" ht="23" customHeight="1">
      <x:c r="A17" s="28" t="inlineStr">
        <x:is>
          <x:t xml:space="preserve">This week: required outputs and decisions</x:t>
        </x:is>
      </x:c>
    </x:row>
    <x:row r="18" ht="38" customHeight="1">
      <x:c r="A18" s="74" t="inlineStr">
        <x:is>
          <x:t xml:space="preserve">Area</x:t>
        </x:is>
      </x:c>
      <x:c r="B18" s="74" t="inlineStr">
        <x:is>
          <x:t xml:space="preserve">Minimum Output</x:t>
        </x:is>
      </x:c>
      <x:c r="C18" s="74" t="inlineStr">
        <x:is>
          <x:t xml:space="preserve">Target / Formula</x:t>
        </x:is>
      </x:c>
      <x:c r="D18" s="74" t="inlineStr">
        <x:is>
          <x:t xml:space="preserve">Actual</x:t>
        </x:is>
      </x:c>
      <x:c r="E18" s="74" t="inlineStr">
        <x:is>
          <x:t xml:space="preserve">Status</x:t>
        </x:is>
      </x:c>
      <x:c r="F18" s="74" t="inlineStr">
        <x:is>
          <x:t xml:space="preserve">Decision / Learning</x:t>
        </x:is>
      </x:c>
      <x:c r="G18" s="74" t="inlineStr">
        <x:is>
          <x:t xml:space="preserve">Next Action</x:t>
        </x:is>
      </x:c>
      <x:c r="H18" s="74" t="inlineStr">
        <x:is>
          <x:t xml:space="preserve">Owner</x:t>
        </x:is>
      </x:c>
      <x:c r="I18" s="74" t="inlineStr">
        <x:is>
          <x:t xml:space="preserve">Due</x:t>
        </x:is>
      </x:c>
      <x:c r="J18" s="74" t="inlineStr">
        <x:is>
          <x:t xml:space="preserve">Spend Cap KES</x:t>
        </x:is>
      </x:c>
      <x:c r="K18" s="74" t="inlineStr">
        <x:is>
          <x:t xml:space="preserve">Linked Sheet</x:t>
        </x:is>
      </x:c>
      <x:c r="L18" s="74" t="inlineStr">
        <x:is>
          <x:t xml:space="preserve">Notes</x:t>
        </x:is>
      </x:c>
    </x:row>
    <x:row r="19" ht="28" customHeight="1">
      <x:c r="A19" s="31" t="inlineStr">
        <x:is>
          <x:t xml:space="preserve">Cash</x:t>
        </x:is>
      </x:c>
      <x:c r="B19" s="31" t="inlineStr">
        <x:is>
          <x:t xml:space="preserve">Log funding, expenses and reserve transfer</x:t>
        </x:is>
      </x:c>
      <x:c r="C19" s="31" t="inlineStr">
        <x:is>
          <x:t xml:space="preserve">100% logged</x:t>
        </x:is>
      </x:c>
      <x:c r="D19" s="75" t="inlineStr">
        <x:is>
          <x:t xml:space="preserve"/>
        </x:is>
      </x:c>
      <x:c r="E19" s="75" t="inlineStr">
        <x:is>
          <x:t xml:space="preserve">Not Started</x:t>
        </x:is>
      </x:c>
      <x:c r="F19" s="75" t="inlineStr">
        <x:is>
          <x:t xml:space="preserve"/>
        </x:is>
      </x:c>
      <x:c r="G19" s="75" t="inlineStr">
        <x:is>
          <x:t xml:space="preserve"/>
        </x:is>
      </x:c>
      <x:c r="H19" s="31" t="inlineStr">
        <x:is>
          <x:t xml:space="preserve">Founder</x:t>
        </x:is>
      </x:c>
      <x:c r="I19" s="31" t="inlineStr">
        <x:is>
          <x:t xml:space="preserve">Friday</x:t>
        </x:is>
      </x:c>
      <x:c r="J19" s="52" t="n">
        <x:v>0</x:v>
      </x:c>
      <x:c r="K19" s="31" t="inlineStr">
        <x:is>
          <x:t xml:space="preserve">Money Log</x:t>
        </x:is>
      </x:c>
      <x:c r="L19" s="31" t="inlineStr">
        <x:is>
          <x:t xml:space="preserve"/>
        </x:is>
      </x:c>
    </x:row>
    <x:row r="20" ht="28" customHeight="1">
      <x:c r="A20" s="30" t="inlineStr">
        <x:is>
          <x:t xml:space="preserve">Hosting</x:t>
        </x:is>
      </x:c>
      <x:c r="B20" s="30" t="inlineStr">
        <x:is>
          <x:t xml:space="preserve">Pay/confirm Replit when due</x:t>
        </x:is>
      </x:c>
      <x:c r="C20" s="30" t="n">
        <x:f>INDEX('Cash &amp; Runway'!$F$5:$F$28,Assumptions!$B$8)</x:f>
        <x:v>2587.2000000000003</x:v>
      </x:c>
      <x:c r="D20" s="76" t="inlineStr">
        <x:is>
          <x:t xml:space="preserve"/>
        </x:is>
      </x:c>
      <x:c r="E20" s="76" t="inlineStr">
        <x:is>
          <x:t xml:space="preserve">Not Started</x:t>
        </x:is>
      </x:c>
      <x:c r="F20" s="76" t="inlineStr">
        <x:is>
          <x:t xml:space="preserve"/>
        </x:is>
      </x:c>
      <x:c r="G20" s="76" t="inlineStr">
        <x:is>
          <x:t xml:space="preserve"/>
        </x:is>
      </x:c>
      <x:c r="H20" s="30" t="inlineStr">
        <x:is>
          <x:t xml:space="preserve">Founder</x:t>
        </x:is>
      </x:c>
      <x:c r="I20" s="30" t="inlineStr">
        <x:is>
          <x:t xml:space="preserve">Friday</x:t>
        </x:is>
      </x:c>
      <x:c r="J20" s="45" t="n">
        <x:f>INDEX('Cash &amp; Runway'!$F$5:$F$28,Assumptions!$B$8)</x:f>
        <x:v>2587.2000000000003</x:v>
      </x:c>
      <x:c r="K20" s="30" t="inlineStr">
        <x:is>
          <x:t xml:space="preserve">Cash &amp; Runway</x:t>
        </x:is>
      </x:c>
      <x:c r="L20" s="30" t="inlineStr">
        <x:is>
          <x:t xml:space="preserve"/>
        </x:is>
      </x:c>
    </x:row>
    <x:row r="21" ht="28" customHeight="1">
      <x:c r="A21" s="31" t="inlineStr">
        <x:is>
          <x:t xml:space="preserve">Product</x:t>
        </x:is>
      </x:c>
      <x:c r="B21" s="31" t="inlineStr">
        <x:is>
          <x:t xml:space="preserve">Resolve one highest-impact live issue</x:t>
        </x:is>
      </x:c>
      <x:c r="C21" s="31" t="inlineStr">
        <x:is>
          <x:t xml:space="preserve">1 issue</x:t>
        </x:is>
      </x:c>
      <x:c r="D21" s="75" t="inlineStr">
        <x:is>
          <x:t xml:space="preserve"/>
        </x:is>
      </x:c>
      <x:c r="E21" s="75" t="inlineStr">
        <x:is>
          <x:t xml:space="preserve">Not Started</x:t>
        </x:is>
      </x:c>
      <x:c r="F21" s="75" t="inlineStr">
        <x:is>
          <x:t xml:space="preserve"/>
        </x:is>
      </x:c>
      <x:c r="G21" s="75" t="inlineStr">
        <x:is>
          <x:t xml:space="preserve"/>
        </x:is>
      </x:c>
      <x:c r="H21" s="31" t="inlineStr">
        <x:is>
          <x:t xml:space="preserve">Founder</x:t>
        </x:is>
      </x:c>
      <x:c r="I21" s="31" t="inlineStr">
        <x:is>
          <x:t xml:space="preserve">Thursday</x:t>
        </x:is>
      </x:c>
      <x:c r="J21" s="47" t="n">
        <x:f>Assumptions!$B$27</x:f>
        <x:v>750</x:v>
      </x:c>
      <x:c r="K21" s="31" t="inlineStr">
        <x:is>
          <x:t xml:space="preserve">Product Backlog</x:t>
        </x:is>
      </x:c>
      <x:c r="L21" s="31" t="inlineStr">
        <x:is>
          <x:t xml:space="preserve"/>
        </x:is>
      </x:c>
    </x:row>
    <x:row r="22" ht="28" customHeight="1">
      <x:c r="A22" s="30" t="inlineStr">
        <x:is>
          <x:t xml:space="preserve">Paying users</x:t>
        </x:is>
      </x:c>
      <x:c r="B22" s="30" t="inlineStr">
        <x:is>
          <x:t xml:space="preserve">Speak to paying/cancelled/near-paying users</x:t>
        </x:is>
      </x:c>
      <x:c r="C22" s="30" t="n">
        <x:f>Assumptions!$B$50</x:f>
        <x:v>5</x:v>
      </x:c>
      <x:c r="D22" s="76" t="inlineStr">
        <x:is>
          <x:t xml:space="preserve"/>
        </x:is>
      </x:c>
      <x:c r="E22" s="76" t="inlineStr">
        <x:is>
          <x:t xml:space="preserve">Not Started</x:t>
        </x:is>
      </x:c>
      <x:c r="F22" s="76" t="inlineStr">
        <x:is>
          <x:t xml:space="preserve"/>
        </x:is>
      </x:c>
      <x:c r="G22" s="76" t="inlineStr">
        <x:is>
          <x:t xml:space="preserve"/>
        </x:is>
      </x:c>
      <x:c r="H22" s="30" t="inlineStr">
        <x:is>
          <x:t xml:space="preserve">Founder</x:t>
        </x:is>
      </x:c>
      <x:c r="I22" s="30" t="inlineStr">
        <x:is>
          <x:t xml:space="preserve">Thursday</x:t>
        </x:is>
      </x:c>
      <x:c r="J22" s="52" t="n">
        <x:v>0</x:v>
      </x:c>
      <x:c r="K22" s="30" t="inlineStr">
        <x:is>
          <x:t xml:space="preserve">User Research CRM</x:t>
        </x:is>
      </x:c>
      <x:c r="L22" s="30" t="inlineStr">
        <x:is>
          <x:t xml:space="preserve"/>
        </x:is>
      </x:c>
    </x:row>
    <x:row r="23" ht="28" customHeight="1">
      <x:c r="A23" s="31" t="inlineStr">
        <x:is>
          <x:t xml:space="preserve">Field data</x:t>
        </x:is>
      </x:c>
      <x:c r="B23" s="31" t="inlineStr">
        <x:is>
          <x:t xml:space="preserve">One multipurpose trip + verified records</x:t>
        </x:is>
      </x:c>
      <x:c r="C23" s="31" t="n">
        <x:f>Assumptions!$B$52</x:f>
        <x:v>10</x:v>
      </x:c>
      <x:c r="D23" s="75" t="inlineStr">
        <x:is>
          <x:t xml:space="preserve"/>
        </x:is>
      </x:c>
      <x:c r="E23" s="75" t="inlineStr">
        <x:is>
          <x:t xml:space="preserve">Not Started</x:t>
        </x:is>
      </x:c>
      <x:c r="F23" s="75" t="inlineStr">
        <x:is>
          <x:t xml:space="preserve"/>
        </x:is>
      </x:c>
      <x:c r="G23" s="75" t="inlineStr">
        <x:is>
          <x:t xml:space="preserve"/>
        </x:is>
      </x:c>
      <x:c r="H23" s="31" t="inlineStr">
        <x:is>
          <x:t xml:space="preserve">Founder</x:t>
        </x:is>
      </x:c>
      <x:c r="I23" s="31" t="inlineStr">
        <x:is>
          <x:t xml:space="preserve">Wednesday</x:t>
        </x:is>
      </x:c>
      <x:c r="J23" s="47" t="n">
        <x:f>Assumptions!$B$26</x:f>
        <x:v>2500</x:v>
      </x:c>
      <x:c r="K23" s="31" t="inlineStr">
        <x:is>
          <x:t xml:space="preserve">Fuel &amp; Field Ops</x:t>
        </x:is>
      </x:c>
      <x:c r="L23" s="31" t="inlineStr">
        <x:is>
          <x:t xml:space="preserve"/>
        </x:is>
      </x:c>
    </x:row>
    <x:row r="24" ht="28" customHeight="1">
      <x:c r="A24" s="30" t="inlineStr">
        <x:is>
          <x:t xml:space="preserve">Content</x:t>
        </x:is>
      </x:c>
      <x:c r="B24" s="30" t="inlineStr">
        <x:is>
          <x:t xml:space="preserve">Publish four core posts</x:t>
        </x:is>
      </x:c>
      <x:c r="C24" s="30" t="n">
        <x:f>Assumptions!$B$49</x:f>
        <x:v>4</x:v>
      </x:c>
      <x:c r="D24" s="76" t="inlineStr">
        <x:is>
          <x:t xml:space="preserve"/>
        </x:is>
      </x:c>
      <x:c r="E24" s="76" t="inlineStr">
        <x:is>
          <x:t xml:space="preserve">Not Started</x:t>
        </x:is>
      </x:c>
      <x:c r="F24" s="76" t="inlineStr">
        <x:is>
          <x:t xml:space="preserve"/>
        </x:is>
      </x:c>
      <x:c r="G24" s="76" t="inlineStr">
        <x:is>
          <x:t xml:space="preserve"/>
        </x:is>
      </x:c>
      <x:c r="H24" s="30" t="inlineStr">
        <x:is>
          <x:t xml:space="preserve">Founder</x:t>
        </x:is>
      </x:c>
      <x:c r="I24" s="30" t="inlineStr">
        <x:is>
          <x:t xml:space="preserve">Sunday</x:t>
        </x:is>
      </x:c>
      <x:c r="J24" s="45" t="n">
        <x:f>Assumptions!$B$28</x:f>
        <x:v>750</x:v>
      </x:c>
      <x:c r="K24" s="30" t="inlineStr">
        <x:is>
          <x:t xml:space="preserve">Production Tracker</x:t>
        </x:is>
      </x:c>
      <x:c r="L24" s="30" t="inlineStr">
        <x:is>
          <x:t xml:space="preserve"/>
        </x:is>
      </x:c>
    </x:row>
    <x:row r="25" ht="28" customHeight="1">
      <x:c r="A25" s="31" t="inlineStr">
        <x:is>
          <x:t xml:space="preserve">Growth</x:t>
        </x:is>
      </x:c>
      <x:c r="B25" s="31" t="inlineStr">
        <x:is>
          <x:t xml:space="preserve">Run one experiment only</x:t>
        </x:is>
      </x:c>
      <x:c r="C25" s="31" t="inlineStr">
        <x:is>
          <x:t xml:space="preserve">1 experiment</x:t>
        </x:is>
      </x:c>
      <x:c r="D25" s="75" t="inlineStr">
        <x:is>
          <x:t xml:space="preserve"/>
        </x:is>
      </x:c>
      <x:c r="E25" s="75" t="inlineStr">
        <x:is>
          <x:t xml:space="preserve">Not Started</x:t>
        </x:is>
      </x:c>
      <x:c r="F25" s="75" t="inlineStr">
        <x:is>
          <x:t xml:space="preserve"/>
        </x:is>
      </x:c>
      <x:c r="G25" s="75" t="inlineStr">
        <x:is>
          <x:t xml:space="preserve"/>
        </x:is>
      </x:c>
      <x:c r="H25" s="31" t="inlineStr">
        <x:is>
          <x:t xml:space="preserve">Founder</x:t>
        </x:is>
      </x:c>
      <x:c r="I25" s="31" t="inlineStr">
        <x:is>
          <x:t xml:space="preserve">Thursday</x:t>
        </x:is>
      </x:c>
      <x:c r="J25" s="47" t="n">
        <x:f>Assumptions!$B$31</x:f>
        <x:v>1000</x:v>
      </x:c>
      <x:c r="K25" s="31" t="inlineStr">
        <x:is>
          <x:t xml:space="preserve">Growth Experiments</x:t>
        </x:is>
      </x:c>
      <x:c r="L25" s="31" t="inlineStr">
        <x:is>
          <x:t xml:space="preserve"/>
        </x:is>
      </x:c>
    </x:row>
    <x:row r="26" ht="28" customHeight="1">
      <x:c r="A26" s="30" t="inlineStr">
        <x:is>
          <x:t xml:space="preserve">Revenue</x:t>
        </x:is>
      </x:c>
      <x:c r="B26" s="30" t="inlineStr">
        <x:is>
          <x:t xml:space="preserve">Reconcile sales, fees, refunds and cash</x:t>
        </x:is>
      </x:c>
      <x:c r="C26" s="30" t="inlineStr">
        <x:is>
          <x:t xml:space="preserve">1 weekly row</x:t>
        </x:is>
      </x:c>
      <x:c r="D26" s="76" t="inlineStr">
        <x:is>
          <x:t xml:space="preserve"/>
        </x:is>
      </x:c>
      <x:c r="E26" s="76" t="inlineStr">
        <x:is>
          <x:t xml:space="preserve">Not Started</x:t>
        </x:is>
      </x:c>
      <x:c r="F26" s="76" t="inlineStr">
        <x:is>
          <x:t xml:space="preserve"/>
        </x:is>
      </x:c>
      <x:c r="G26" s="76" t="inlineStr">
        <x:is>
          <x:t xml:space="preserve"/>
        </x:is>
      </x:c>
      <x:c r="H26" s="30" t="inlineStr">
        <x:is>
          <x:t xml:space="preserve">Founder</x:t>
        </x:is>
      </x:c>
      <x:c r="I26" s="30" t="inlineStr">
        <x:is>
          <x:t xml:space="preserve">Friday</x:t>
        </x:is>
      </x:c>
      <x:c r="J26" s="52" t="n">
        <x:v>0</x:v>
      </x:c>
      <x:c r="K26" s="30" t="inlineStr">
        <x:is>
          <x:t xml:space="preserve">Revenue &amp; Subscriptions</x:t>
        </x:is>
      </x:c>
      <x:c r="L26" s="30" t="inlineStr">
        <x:is>
          <x:t xml:space="preserve"/>
        </x:is>
      </x:c>
    </x:row>
    <x:row r="27" ht="28" customHeight="1">
      <x:c r="A27" s="31" t="inlineStr">
        <x:is>
          <x:t xml:space="preserve">Partnerships</x:t>
        </x:is>
      </x:c>
      <x:c r="B27" s="31" t="inlineStr">
        <x:is>
          <x:t xml:space="preserve">Advance one best-fit relationship</x:t>
        </x:is>
      </x:c>
      <x:c r="C27" s="31" t="inlineStr">
        <x:is>
          <x:t xml:space="preserve">1 next step</x:t>
        </x:is>
      </x:c>
      <x:c r="D27" s="75" t="inlineStr">
        <x:is>
          <x:t xml:space="preserve"/>
        </x:is>
      </x:c>
      <x:c r="E27" s="75" t="inlineStr">
        <x:is>
          <x:t xml:space="preserve">Not Started</x:t>
        </x:is>
      </x:c>
      <x:c r="F27" s="75" t="inlineStr">
        <x:is>
          <x:t xml:space="preserve"/>
        </x:is>
      </x:c>
      <x:c r="G27" s="75" t="inlineStr">
        <x:is>
          <x:t xml:space="preserve"/>
        </x:is>
      </x:c>
      <x:c r="H27" s="31" t="inlineStr">
        <x:is>
          <x:t xml:space="preserve">Founder</x:t>
        </x:is>
      </x:c>
      <x:c r="I27" s="31" t="inlineStr">
        <x:is>
          <x:t xml:space="preserve">Friday</x:t>
        </x:is>
      </x:c>
      <x:c r="J27" s="52" t="n">
        <x:v>500</x:v>
      </x:c>
      <x:c r="K27" s="31" t="inlineStr">
        <x:is>
          <x:t xml:space="preserve">Partnership CRM</x:t>
        </x:is>
      </x:c>
      <x:c r="L27" s="31" t="inlineStr">
        <x:is>
          <x:t xml:space="preserve"/>
        </x:is>
      </x:c>
    </x:row>
  </x:sheetData>
  <x:mergeCells>
    <x:mergeCell ref="B11:D11"/>
    <x:mergeCell ref="B14:D14"/>
    <x:mergeCell ref="G10:I10"/>
    <x:mergeCell ref="G6:I6"/>
    <x:mergeCell ref="G13:I13"/>
    <x:mergeCell ref="A4:D4"/>
    <x:mergeCell ref="B8:D8"/>
    <x:mergeCell ref="B13:D13"/>
    <x:mergeCell ref="K4:L4"/>
    <x:mergeCell ref="B10:D10"/>
    <x:mergeCell ref="A2:L2"/>
    <x:mergeCell ref="G14:I14"/>
    <x:mergeCell ref="G5:I5"/>
    <x:mergeCell ref="F4:I4"/>
    <x:mergeCell ref="B9:D9"/>
    <x:mergeCell ref="A17:L17"/>
    <x:mergeCell ref="B6:D6"/>
    <x:mergeCell ref="B5:D5"/>
    <x:mergeCell ref="G9:I9"/>
    <x:mergeCell ref="G12:I12"/>
    <x:mergeCell ref="B7:D7"/>
    <x:mergeCell ref="G11:I11"/>
    <x:mergeCell ref="A1:L1"/>
    <x:mergeCell ref="G8:I8"/>
    <x:mergeCell ref="B12:D12"/>
    <x:mergeCell ref="G7:I7"/>
  </x:mergeCells>
  <x:dataValidations count="1">
    <x:dataValidation type="list" allowBlank="1" showDropDown="0" showInputMessage="0" showErrorMessage="0" errorTitle="Invalid value" error="Choose a value from the dropdown." sqref="E19:E27">
      <x:formula1>"Not Started,In Progress,Done,Blocked,Skipped"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14" customWidth="1"/>
    <x:col min="3" max="3" width="28" customWidth="1"/>
    <x:col min="4" max="4" width="16" customWidth="1"/>
    <x:col min="5" max="5" width="17" customWidth="1"/>
    <x:col min="6" max="6" width="12" customWidth="1"/>
    <x:col min="7" max="7" width="13" customWidth="1"/>
    <x:col min="8" max="8" width="13" customWidth="1"/>
    <x:col min="9" max="9" width="12" customWidth="1"/>
    <x:col min="10" max="10" width="14" customWidth="1"/>
    <x:col min="11" max="11" width="10" customWidth="1"/>
    <x:col min="12" max="12" width="10" customWidth="1"/>
    <x:col min="13" max="13" width="11" customWidth="1"/>
    <x:col min="14" max="14" width="17" customWidth="1"/>
    <x:col min="15" max="15" width="16" customWidth="1"/>
    <x:col min="16" max="16" width="17" customWidth="1"/>
    <x:col min="17" max="17" width="18" customWidth="1"/>
    <x:col min="18" max="18" width="15" customWidth="1"/>
    <x:col min="19" max="19" width="16" customWidth="1"/>
    <x:col min="20" max="20" width="18" customWidth="1"/>
    <x:col min="21" max="21" width="18" customWidth="1"/>
    <x:col min="22" max="22" width="17" customWidth="1"/>
    <x:col min="23" max="23" width="18" customWidth="1"/>
    <x:col min="24" max="24" width="15" customWidth="1"/>
    <x:col min="25" max="25" width="17" customWidth="1"/>
    <x:col min="26" max="26" width="42" customWidth="1"/>
  </x:cols>
  <x:sheetData>
    <x:row r="1" ht="30" customHeight="1">
      <x:c r="A1" s="26" t="inlineStr">
        <x:is>
          <x:t xml:space="preserve">CASH &amp; RUNWAY — 24-WEEK CONTROL</x:t>
        </x:is>
      </x:c>
    </x:row>
    <x:row r="2" ht="34" customHeight="1">
      <x:c r="A2" s="27" t="inlineStr">
        <x:is>
          <x:t xml:space="preserve">Planned cash protects Replit, fieldwork, product, content and support. Actual cash is pulled from Money Log; keep planned and actual separate.</x:t>
        </x:is>
      </x:c>
    </x:row>
    <x:row r="3"/>
    <x:row r="4" ht="38" customHeight="1">
      <x:c r="A4" s="77" t="inlineStr">
        <x:is>
          <x:t xml:space="preserve">Week</x:t>
        </x:is>
      </x:c>
      <x:c r="B4" s="77" t="inlineStr">
        <x:is>
          <x:t xml:space="preserve">Funding Friday</x:t>
        </x:is>
      </x:c>
      <x:c r="C4" s="77" t="inlineStr">
        <x:is>
          <x:t xml:space="preserve">Phase</x:t>
        </x:is>
      </x:c>
      <x:c r="D4" s="77" t="inlineStr">
        <x:is>
          <x:t xml:space="preserve">Planned Founder Funding</x:t>
        </x:is>
      </x:c>
      <x:c r="E4" s="77" t="inlineStr">
        <x:is>
          <x:t xml:space="preserve">Planned Subscription Cash</x:t>
        </x:is>
      </x:c>
      <x:c r="F4" s="77" t="inlineStr">
        <x:is>
          <x:t xml:space="preserve">Replit</x:t>
        </x:is>
      </x:c>
      <x:c r="G4" s="77" t="inlineStr">
        <x:is>
          <x:t xml:space="preserve">Fuel &amp; Field</x:t>
        </x:is>
      </x:c>
      <x:c r="H4" s="77" t="inlineStr">
        <x:is>
          <x:t xml:space="preserve">Product / Data</x:t>
        </x:is>
      </x:c>
      <x:c r="I4" s="77" t="inlineStr">
        <x:is>
          <x:t xml:space="preserve">Content</x:t>
        </x:is>
      </x:c>
      <x:c r="J4" s="77" t="inlineStr">
        <x:is>
          <x:t xml:space="preserve">Admin / Support</x:t>
        </x:is>
      </x:c>
      <x:c r="K4" s="77" t="inlineStr">
        <x:is>
          <x:t xml:space="preserve">Ads</x:t>
        </x:is>
      </x:c>
      <x:c r="L4" s="77" t="inlineStr">
        <x:is>
          <x:t xml:space="preserve">Creators</x:t>
        </x:is>
      </x:c>
      <x:c r="M4" s="77" t="inlineStr">
        <x:is>
          <x:t xml:space="preserve">Contractor</x:t>
        </x:is>
      </x:c>
      <x:c r="N4" s="77" t="inlineStr">
        <x:is>
          <x:t xml:space="preserve">One-time / Compliance</x:t>
        </x:is>
      </x:c>
      <x:c r="O4" s="77" t="inlineStr">
        <x:is>
          <x:t xml:space="preserve">Total Planned Spend</x:t>
        </x:is>
      </x:c>
      <x:c r="P4" s="77" t="inlineStr">
        <x:is>
          <x:t xml:space="preserve">Planned Reserve Transfer</x:t>
        </x:is>
      </x:c>
      <x:c r="Q4" s="77" t="inlineStr">
        <x:is>
          <x:t xml:space="preserve">Planned Ending Operating Cash</x:t>
        </x:is>
      </x:c>
      <x:c r="R4" s="77" t="inlineStr">
        <x:is>
          <x:t xml:space="preserve">Planned Reserve</x:t>
        </x:is>
      </x:c>
      <x:c r="S4" s="77" t="inlineStr">
        <x:is>
          <x:t xml:space="preserve">Actual Founder Funding</x:t>
        </x:is>
      </x:c>
      <x:c r="T4" s="77" t="inlineStr">
        <x:is>
          <x:t xml:space="preserve">Actual Revenue / Refund In</x:t>
        </x:is>
      </x:c>
      <x:c r="U4" s="77" t="inlineStr">
        <x:is>
          <x:t xml:space="preserve">Actual Expenses / Refund Out</x:t>
        </x:is>
      </x:c>
      <x:c r="V4" s="77" t="inlineStr">
        <x:is>
          <x:t xml:space="preserve">Actual Reserve Transfer</x:t>
        </x:is>
      </x:c>
      <x:c r="W4" s="77" t="inlineStr">
        <x:is>
          <x:t xml:space="preserve">Actual Ending Operating Cash</x:t>
        </x:is>
      </x:c>
      <x:c r="X4" s="77" t="inlineStr">
        <x:is>
          <x:t xml:space="preserve">Actual Reserve</x:t>
        </x:is>
      </x:c>
      <x:c r="Y4" s="77" t="inlineStr">
        <x:is>
          <x:t xml:space="preserve">Actual vs Planned Cash</x:t>
        </x:is>
      </x:c>
      <x:c r="Z4" s="77" t="inlineStr">
        <x:is>
          <x:t xml:space="preserve">Friday Decision / Notes</x:t>
        </x:is>
      </x:c>
    </x:row>
    <x:row r="5">
      <x:c r="A5" s="31" t="n">
        <x:v>1</x:v>
      </x:c>
      <x:c r="B5" s="78" t="n">
        <x:v>46248</x:v>
      </x:c>
      <x:c r="C5" s="31" t="inlineStr">
        <x:is>
          <x:t xml:space="preserve">1. Stabilize Live App</x:t>
        </x:is>
      </x:c>
      <x:c r="D5" s="47" t="n">
        <x:f>Assumptions!$B$6</x:f>
        <x:v>10000</x:v>
      </x:c>
      <x:c r="E5" s="47" t="n">
        <x:f>IF('Revenue &amp; Subscriptions'!M5=0,Assumptions!$B$40,'Revenue &amp; Subscriptions'!M5)</x:f>
        <x:v>0</x:v>
      </x:c>
      <x:c r="F5" s="47" t="n">
        <x:f>IF(MOD(A5-1,4)=0,Assumptions!$B$19,0)</x:f>
        <x:v>2587.2000000000003</x:v>
      </x:c>
      <x:c r="G5" s="47" t="n">
        <x:f>Assumptions!$B$26</x:f>
        <x:v>2500</x:v>
      </x:c>
      <x:c r="H5" s="47" t="n">
        <x:f>Assumptions!$B$27</x:f>
        <x:v>750</x:v>
      </x:c>
      <x:c r="I5" s="47" t="n">
        <x:f>Assumptions!$B$28</x:f>
        <x:v>750</x:v>
      </x:c>
      <x:c r="J5" s="47" t="n">
        <x:f>Assumptions!$B$29</x:f>
        <x:v>400</x:v>
      </x:c>
      <x:c r="K5" s="52" t="n">
        <x:v>0</x:v>
      </x:c>
      <x:c r="L5" s="52" t="n">
        <x:v>0</x:v>
      </x:c>
      <x:c r="M5" s="52" t="n">
        <x:v>0</x:v>
      </x:c>
      <x:c r="N5" s="52" t="n">
        <x:v>0</x:v>
      </x:c>
      <x:c r="O5" s="47" t="n">
        <x:f>SUM(F5:N5)</x:f>
        <x:v>6987.200000000001</x:v>
      </x:c>
      <x:c r="P5" s="47" t="n">
        <x:f>MAX(0,MIN(Assumptions!$B$30,Assumptions!$B$9+D5+E5-O5-Assumptions!$B$11))</x:f>
        <x:v>512.7999999999993</x:v>
      </x:c>
      <x:c r="Q5" s="47" t="n">
        <x:f>Assumptions!$B$9+D5+E5-O5-P5</x:f>
        <x:v>2500</x:v>
      </x:c>
      <x:c r="R5" s="47" t="n">
        <x:f>Assumptions!$B$10+P5</x:f>
        <x:v>512.7999999999993</x:v>
      </x:c>
      <x:c r="S5" s="47" t="n">
        <x:f>SUMIFS('Money Log'!$G$5:$G$204,'Money Log'!$C$5:$C$204,A5,'Money Log'!$D$5:$D$204,"Founder Funding")</x:f>
        <x:v>0</x:v>
      </x:c>
      <x:c r="T5" s="47" t="n">
        <x:f>SUMIFS('Money Log'!$G$5:$G$204,'Money Log'!$C$5:$C$204,A5,'Money Log'!$D$5:$D$204,"Subscription Payout")+SUMIFS('Money Log'!$G$5:$G$204,'Money Log'!$C$5:$C$204,A5,'Money Log'!$D$5:$D$204,"Other Revenue")+SUMIFS('Money Log'!$G$5:$G$204,'Money Log'!$C$5:$C$204,A5,'Money Log'!$D$5:$D$204,"Refund In")</x:f>
        <x:v>0</x:v>
      </x:c>
      <x:c r="U5" s="47" t="n">
        <x:f>SUMIFS('Money Log'!$G$5:$G$204,'Money Log'!$C$5:$C$204,A5,'Money Log'!$D$5:$D$204,"Expense")+SUMIFS('Money Log'!$G$5:$G$204,'Money Log'!$C$5:$C$204,A5,'Money Log'!$D$5:$D$204,"Refund Out")</x:f>
        <x:v>0</x:v>
      </x:c>
      <x:c r="V5" s="47" t="n">
        <x:f>SUMIFS('Money Log'!$G$5:$G$204,'Money Log'!$C$5:$C$204,A5,'Money Log'!$D$5:$D$204,"Reserve Transfer")</x:f>
        <x:v>0</x:v>
      </x:c>
      <x:c r="W5" s="47" t="str">
        <x:f>IF(SUM(S5:V5)=0,"",Assumptions!$B$9+S5+T5-U5-V5)</x:f>
      </x:c>
      <x:c r="X5" s="47" t="str">
        <x:f>IF(W5="","",Assumptions!$B$10+V5)</x:f>
      </x:c>
      <x:c r="Y5" s="47" t="str">
        <x:f>IF(W5="","",W5-Q5)</x:f>
      </x:c>
      <x:c r="Z5" s="75" t="inlineStr">
        <x:is>
          <x:t xml:space="preserve"/>
        </x:is>
      </x:c>
    </x:row>
    <x:row r="6">
      <x:c r="A6" s="30" t="n">
        <x:v>2</x:v>
      </x:c>
      <x:c r="B6" s="79" t="n">
        <x:v>46255</x:v>
      </x:c>
      <x:c r="C6" s="30" t="inlineStr">
        <x:is>
          <x:t xml:space="preserve">1. Stabilize Live App</x:t>
        </x:is>
      </x:c>
      <x:c r="D6" s="45" t="n">
        <x:f>Assumptions!$B$6</x:f>
        <x:v>10000</x:v>
      </x:c>
      <x:c r="E6" s="45" t="n">
        <x:f>IF('Revenue &amp; Subscriptions'!M6=0,Assumptions!$B$40,'Revenue &amp; Subscriptions'!M6)</x:f>
        <x:v>0</x:v>
      </x:c>
      <x:c r="F6" s="45" t="n">
        <x:f>IF(MOD(A6-1,4)=0,Assumptions!$B$19,0)</x:f>
        <x:v>0</x:v>
      </x:c>
      <x:c r="G6" s="45" t="n">
        <x:f>Assumptions!$B$26</x:f>
        <x:v>2500</x:v>
      </x:c>
      <x:c r="H6" s="45" t="n">
        <x:f>Assumptions!$B$27</x:f>
        <x:v>750</x:v>
      </x:c>
      <x:c r="I6" s="45" t="n">
        <x:f>Assumptions!$B$28</x:f>
        <x:v>750</x:v>
      </x:c>
      <x:c r="J6" s="45" t="n">
        <x:f>Assumptions!$B$29</x:f>
        <x:v>400</x:v>
      </x:c>
      <x:c r="K6" s="52" t="n">
        <x:v>0</x:v>
      </x:c>
      <x:c r="L6" s="52" t="n">
        <x:v>0</x:v>
      </x:c>
      <x:c r="M6" s="52" t="n">
        <x:v>0</x:v>
      </x:c>
      <x:c r="N6" s="52" t="n">
        <x:v>0</x:v>
      </x:c>
      <x:c r="O6" s="45" t="n">
        <x:f>SUM(F6:N6)</x:f>
        <x:v>4400</x:v>
      </x:c>
      <x:c r="P6" s="45" t="n">
        <x:f>MAX(0,MIN(Assumptions!$B$30,Q5+D6+E6-O6-Assumptions!$B$11))</x:f>
        <x:v>1500</x:v>
      </x:c>
      <x:c r="Q6" s="45" t="n">
        <x:f>Q5+D6+E6-O6-P6</x:f>
        <x:v>6600</x:v>
      </x:c>
      <x:c r="R6" s="45" t="n">
        <x:f>R5+P6</x:f>
        <x:v>2012.7999999999993</x:v>
      </x:c>
      <x:c r="S6" s="45" t="n">
        <x:f>SUMIFS('Money Log'!$G$5:$G$204,'Money Log'!$C$5:$C$204,A6,'Money Log'!$D$5:$D$204,"Founder Funding")</x:f>
        <x:v>0</x:v>
      </x:c>
      <x:c r="T6" s="45" t="n">
        <x:f>SUMIFS('Money Log'!$G$5:$G$204,'Money Log'!$C$5:$C$204,A6,'Money Log'!$D$5:$D$204,"Subscription Payout")+SUMIFS('Money Log'!$G$5:$G$204,'Money Log'!$C$5:$C$204,A6,'Money Log'!$D$5:$D$204,"Other Revenue")+SUMIFS('Money Log'!$G$5:$G$204,'Money Log'!$C$5:$C$204,A6,'Money Log'!$D$5:$D$204,"Refund In")</x:f>
        <x:v>0</x:v>
      </x:c>
      <x:c r="U6" s="45" t="n">
        <x:f>SUMIFS('Money Log'!$G$5:$G$204,'Money Log'!$C$5:$C$204,A6,'Money Log'!$D$5:$D$204,"Expense")+SUMIFS('Money Log'!$G$5:$G$204,'Money Log'!$C$5:$C$204,A6,'Money Log'!$D$5:$D$204,"Refund Out")</x:f>
        <x:v>0</x:v>
      </x:c>
      <x:c r="V6" s="45" t="n">
        <x:f>SUMIFS('Money Log'!$G$5:$G$204,'Money Log'!$C$5:$C$204,A6,'Money Log'!$D$5:$D$204,"Reserve Transfer")</x:f>
        <x:v>0</x:v>
      </x:c>
      <x:c r="W6" s="45" t="str">
        <x:f>IF(AND(SUM(S6:V6)=0,W5=""),"",IF(W5="",Assumptions!$B$9,W5)+S6+T6-U6-V6)</x:f>
      </x:c>
      <x:c r="X6" s="45" t="str">
        <x:f>IF(W6="","",IF(X5="",Assumptions!$B$10,X5)+V6)</x:f>
      </x:c>
      <x:c r="Y6" s="45" t="str">
        <x:f>IF(W6="","",W6-Q6)</x:f>
      </x:c>
      <x:c r="Z6" s="76" t="inlineStr">
        <x:is>
          <x:t xml:space="preserve"/>
        </x:is>
      </x:c>
    </x:row>
    <x:row r="7">
      <x:c r="A7" s="31" t="n">
        <x:v>3</x:v>
      </x:c>
      <x:c r="B7" s="78" t="n">
        <x:v>46262</x:v>
      </x:c>
      <x:c r="C7" s="31" t="inlineStr">
        <x:is>
          <x:t xml:space="preserve">2. Retention &amp; Paying-User Proof</x:t>
        </x:is>
      </x:c>
      <x:c r="D7" s="47" t="n">
        <x:f>Assumptions!$B$6</x:f>
        <x:v>10000</x:v>
      </x:c>
      <x:c r="E7" s="47" t="n">
        <x:f>IF('Revenue &amp; Subscriptions'!M7=0,Assumptions!$B$40,'Revenue &amp; Subscriptions'!M7)</x:f>
        <x:v>0</x:v>
      </x:c>
      <x:c r="F7" s="47" t="n">
        <x:f>IF(MOD(A7-1,4)=0,Assumptions!$B$19,0)</x:f>
        <x:v>0</x:v>
      </x:c>
      <x:c r="G7" s="47" t="n">
        <x:f>Assumptions!$B$26</x:f>
        <x:v>2500</x:v>
      </x:c>
      <x:c r="H7" s="47" t="n">
        <x:f>Assumptions!$B$27</x:f>
        <x:v>750</x:v>
      </x:c>
      <x:c r="I7" s="47" t="n">
        <x:f>Assumptions!$B$28</x:f>
        <x:v>750</x:v>
      </x:c>
      <x:c r="J7" s="47" t="n">
        <x:f>Assumptions!$B$29</x:f>
        <x:v>400</x:v>
      </x:c>
      <x:c r="K7" s="52" t="n">
        <x:v>0</x:v>
      </x:c>
      <x:c r="L7" s="52" t="n">
        <x:v>0</x:v>
      </x:c>
      <x:c r="M7" s="52" t="n">
        <x:v>0</x:v>
      </x:c>
      <x:c r="N7" s="52" t="n">
        <x:v>0</x:v>
      </x:c>
      <x:c r="O7" s="47" t="n">
        <x:f>SUM(F7:N7)</x:f>
        <x:v>4400</x:v>
      </x:c>
      <x:c r="P7" s="47" t="n">
        <x:f>MAX(0,MIN(Assumptions!$B$30,Q6+D7+E7-O7-Assumptions!$B$11))</x:f>
        <x:v>1500</x:v>
      </x:c>
      <x:c r="Q7" s="47" t="n">
        <x:f>Q6+D7+E7-O7-P7</x:f>
        <x:v>10700</x:v>
      </x:c>
      <x:c r="R7" s="47" t="n">
        <x:f>R6+P7</x:f>
        <x:v>3512.7999999999993</x:v>
      </x:c>
      <x:c r="S7" s="47" t="n">
        <x:f>SUMIFS('Money Log'!$G$5:$G$204,'Money Log'!$C$5:$C$204,A7,'Money Log'!$D$5:$D$204,"Founder Funding")</x:f>
        <x:v>0</x:v>
      </x:c>
      <x:c r="T7" s="47" t="n">
        <x:f>SUMIFS('Money Log'!$G$5:$G$204,'Money Log'!$C$5:$C$204,A7,'Money Log'!$D$5:$D$204,"Subscription Payout")+SUMIFS('Money Log'!$G$5:$G$204,'Money Log'!$C$5:$C$204,A7,'Money Log'!$D$5:$D$204,"Other Revenue")+SUMIFS('Money Log'!$G$5:$G$204,'Money Log'!$C$5:$C$204,A7,'Money Log'!$D$5:$D$204,"Refund In")</x:f>
        <x:v>0</x:v>
      </x:c>
      <x:c r="U7" s="47" t="n">
        <x:f>SUMIFS('Money Log'!$G$5:$G$204,'Money Log'!$C$5:$C$204,A7,'Money Log'!$D$5:$D$204,"Expense")+SUMIFS('Money Log'!$G$5:$G$204,'Money Log'!$C$5:$C$204,A7,'Money Log'!$D$5:$D$204,"Refund Out")</x:f>
        <x:v>0</x:v>
      </x:c>
      <x:c r="V7" s="47" t="n">
        <x:f>SUMIFS('Money Log'!$G$5:$G$204,'Money Log'!$C$5:$C$204,A7,'Money Log'!$D$5:$D$204,"Reserve Transfer")</x:f>
        <x:v>0</x:v>
      </x:c>
      <x:c r="W7" s="47" t="str">
        <x:f>IF(AND(SUM(S7:V7)=0,W6=""),"",IF(W6="",Assumptions!$B$9,W6)+S7+T7-U7-V7)</x:f>
      </x:c>
      <x:c r="X7" s="47" t="str">
        <x:f>IF(W7="","",IF(X6="",Assumptions!$B$10,X6)+V7)</x:f>
      </x:c>
      <x:c r="Y7" s="47" t="str">
        <x:f>IF(W7="","",W7-Q7)</x:f>
      </x:c>
      <x:c r="Z7" s="75" t="inlineStr">
        <x:is>
          <x:t xml:space="preserve"/>
        </x:is>
      </x:c>
    </x:row>
    <x:row r="8">
      <x:c r="A8" s="30" t="n">
        <x:v>4</x:v>
      </x:c>
      <x:c r="B8" s="79" t="n">
        <x:v>46269</x:v>
      </x:c>
      <x:c r="C8" s="30" t="inlineStr">
        <x:is>
          <x:t xml:space="preserve">2. Retention &amp; Paying-User Proof</x:t>
        </x:is>
      </x:c>
      <x:c r="D8" s="45" t="n">
        <x:f>Assumptions!$B$6</x:f>
        <x:v>10000</x:v>
      </x:c>
      <x:c r="E8" s="45" t="n">
        <x:f>IF('Revenue &amp; Subscriptions'!M8=0,Assumptions!$B$40,'Revenue &amp; Subscriptions'!M8)</x:f>
        <x:v>0</x:v>
      </x:c>
      <x:c r="F8" s="45" t="n">
        <x:f>IF(MOD(A8-1,4)=0,Assumptions!$B$19,0)</x:f>
        <x:v>0</x:v>
      </x:c>
      <x:c r="G8" s="45" t="n">
        <x:f>Assumptions!$B$26</x:f>
        <x:v>2500</x:v>
      </x:c>
      <x:c r="H8" s="45" t="n">
        <x:f>Assumptions!$B$27</x:f>
        <x:v>750</x:v>
      </x:c>
      <x:c r="I8" s="45" t="n">
        <x:f>Assumptions!$B$28</x:f>
        <x:v>750</x:v>
      </x:c>
      <x:c r="J8" s="45" t="n">
        <x:f>Assumptions!$B$29</x:f>
        <x:v>400</x:v>
      </x:c>
      <x:c r="K8" s="52" t="n">
        <x:v>0</x:v>
      </x:c>
      <x:c r="L8" s="52" t="n">
        <x:v>0</x:v>
      </x:c>
      <x:c r="M8" s="52" t="n">
        <x:v>0</x:v>
      </x:c>
      <x:c r="N8" s="52" t="n">
        <x:v>0</x:v>
      </x:c>
      <x:c r="O8" s="45" t="n">
        <x:f>SUM(F8:N8)</x:f>
        <x:v>4400</x:v>
      </x:c>
      <x:c r="P8" s="45" t="n">
        <x:f>MAX(0,MIN(Assumptions!$B$30,Q7+D8+E8-O8-Assumptions!$B$11))</x:f>
        <x:v>1500</x:v>
      </x:c>
      <x:c r="Q8" s="45" t="n">
        <x:f>Q7+D8+E8-O8-P8</x:f>
        <x:v>14800</x:v>
      </x:c>
      <x:c r="R8" s="45" t="n">
        <x:f>R7+P8</x:f>
        <x:v>5012.799999999999</x:v>
      </x:c>
      <x:c r="S8" s="45" t="n">
        <x:f>SUMIFS('Money Log'!$G$5:$G$204,'Money Log'!$C$5:$C$204,A8,'Money Log'!$D$5:$D$204,"Founder Funding")</x:f>
        <x:v>0</x:v>
      </x:c>
      <x:c r="T8" s="45" t="n">
        <x:f>SUMIFS('Money Log'!$G$5:$G$204,'Money Log'!$C$5:$C$204,A8,'Money Log'!$D$5:$D$204,"Subscription Payout")+SUMIFS('Money Log'!$G$5:$G$204,'Money Log'!$C$5:$C$204,A8,'Money Log'!$D$5:$D$204,"Other Revenue")+SUMIFS('Money Log'!$G$5:$G$204,'Money Log'!$C$5:$C$204,A8,'Money Log'!$D$5:$D$204,"Refund In")</x:f>
        <x:v>0</x:v>
      </x:c>
      <x:c r="U8" s="45" t="n">
        <x:f>SUMIFS('Money Log'!$G$5:$G$204,'Money Log'!$C$5:$C$204,A8,'Money Log'!$D$5:$D$204,"Expense")+SUMIFS('Money Log'!$G$5:$G$204,'Money Log'!$C$5:$C$204,A8,'Money Log'!$D$5:$D$204,"Refund Out")</x:f>
        <x:v>0</x:v>
      </x:c>
      <x:c r="V8" s="45" t="n">
        <x:f>SUMIFS('Money Log'!$G$5:$G$204,'Money Log'!$C$5:$C$204,A8,'Money Log'!$D$5:$D$204,"Reserve Transfer")</x:f>
        <x:v>0</x:v>
      </x:c>
      <x:c r="W8" s="45" t="str">
        <x:f>IF(AND(SUM(S8:V8)=0,W7=""),"",IF(W7="",Assumptions!$B$9,W7)+S8+T8-U8-V8)</x:f>
      </x:c>
      <x:c r="X8" s="45" t="str">
        <x:f>IF(W8="","",IF(X7="",Assumptions!$B$10,X7)+V8)</x:f>
      </x:c>
      <x:c r="Y8" s="45" t="str">
        <x:f>IF(W8="","",W8-Q8)</x:f>
      </x:c>
      <x:c r="Z8" s="76" t="inlineStr">
        <x:is>
          <x:t xml:space="preserve"/>
        </x:is>
      </x:c>
    </x:row>
    <x:row r="9">
      <x:c r="A9" s="31" t="n">
        <x:v>5</x:v>
      </x:c>
      <x:c r="B9" s="78" t="n">
        <x:v>46276</x:v>
      </x:c>
      <x:c r="C9" s="31" t="inlineStr">
        <x:is>
          <x:t xml:space="preserve">2. Retention &amp; Paying-User Proof</x:t>
        </x:is>
      </x:c>
      <x:c r="D9" s="47" t="n">
        <x:f>Assumptions!$B$6</x:f>
        <x:v>10000</x:v>
      </x:c>
      <x:c r="E9" s="47" t="n">
        <x:f>IF('Revenue &amp; Subscriptions'!M9=0,Assumptions!$B$40,'Revenue &amp; Subscriptions'!M9)</x:f>
        <x:v>0</x:v>
      </x:c>
      <x:c r="F9" s="47" t="n">
        <x:f>IF(MOD(A9-1,4)=0,Assumptions!$B$19,0)</x:f>
        <x:v>2587.2000000000003</x:v>
      </x:c>
      <x:c r="G9" s="47" t="n">
        <x:f>Assumptions!$B$26</x:f>
        <x:v>2500</x:v>
      </x:c>
      <x:c r="H9" s="47" t="n">
        <x:f>Assumptions!$B$27</x:f>
        <x:v>750</x:v>
      </x:c>
      <x:c r="I9" s="47" t="n">
        <x:f>Assumptions!$B$28</x:f>
        <x:v>750</x:v>
      </x:c>
      <x:c r="J9" s="47" t="n">
        <x:f>Assumptions!$B$29</x:f>
        <x:v>400</x:v>
      </x:c>
      <x:c r="K9" s="52" t="n">
        <x:v>0</x:v>
      </x:c>
      <x:c r="L9" s="52" t="n">
        <x:v>0</x:v>
      </x:c>
      <x:c r="M9" s="52" t="n">
        <x:v>0</x:v>
      </x:c>
      <x:c r="N9" s="52" t="n">
        <x:v>0</x:v>
      </x:c>
      <x:c r="O9" s="47" t="n">
        <x:f>SUM(F9:N9)</x:f>
        <x:v>6987.200000000001</x:v>
      </x:c>
      <x:c r="P9" s="47" t="n">
        <x:f>MAX(0,MIN(Assumptions!$B$30,Q8+D9+E9-O9-Assumptions!$B$11))</x:f>
        <x:v>1500</x:v>
      </x:c>
      <x:c r="Q9" s="47" t="n">
        <x:f>Q8+D9+E9-O9-P9</x:f>
        <x:v>16312.8</x:v>
      </x:c>
      <x:c r="R9" s="47" t="n">
        <x:f>R8+P9</x:f>
        <x:v>6512.799999999999</x:v>
      </x:c>
      <x:c r="S9" s="47" t="n">
        <x:f>SUMIFS('Money Log'!$G$5:$G$204,'Money Log'!$C$5:$C$204,A9,'Money Log'!$D$5:$D$204,"Founder Funding")</x:f>
        <x:v>0</x:v>
      </x:c>
      <x:c r="T9" s="47" t="n">
        <x:f>SUMIFS('Money Log'!$G$5:$G$204,'Money Log'!$C$5:$C$204,A9,'Money Log'!$D$5:$D$204,"Subscription Payout")+SUMIFS('Money Log'!$G$5:$G$204,'Money Log'!$C$5:$C$204,A9,'Money Log'!$D$5:$D$204,"Other Revenue")+SUMIFS('Money Log'!$G$5:$G$204,'Money Log'!$C$5:$C$204,A9,'Money Log'!$D$5:$D$204,"Refund In")</x:f>
        <x:v>0</x:v>
      </x:c>
      <x:c r="U9" s="47" t="n">
        <x:f>SUMIFS('Money Log'!$G$5:$G$204,'Money Log'!$C$5:$C$204,A9,'Money Log'!$D$5:$D$204,"Expense")+SUMIFS('Money Log'!$G$5:$G$204,'Money Log'!$C$5:$C$204,A9,'Money Log'!$D$5:$D$204,"Refund Out")</x:f>
        <x:v>0</x:v>
      </x:c>
      <x:c r="V9" s="47" t="n">
        <x:f>SUMIFS('Money Log'!$G$5:$G$204,'Money Log'!$C$5:$C$204,A9,'Money Log'!$D$5:$D$204,"Reserve Transfer")</x:f>
        <x:v>0</x:v>
      </x:c>
      <x:c r="W9" s="47" t="str">
        <x:f>IF(AND(SUM(S9:V9)=0,W8=""),"",IF(W8="",Assumptions!$B$9,W8)+S9+T9-U9-V9)</x:f>
      </x:c>
      <x:c r="X9" s="47" t="str">
        <x:f>IF(W9="","",IF(X8="",Assumptions!$B$10,X8)+V9)</x:f>
      </x:c>
      <x:c r="Y9" s="47" t="str">
        <x:f>IF(W9="","",W9-Q9)</x:f>
      </x:c>
      <x:c r="Z9" s="75" t="inlineStr">
        <x:is>
          <x:t xml:space="preserve"/>
        </x:is>
      </x:c>
    </x:row>
    <x:row r="10">
      <x:c r="A10" s="30" t="n">
        <x:v>6</x:v>
      </x:c>
      <x:c r="B10" s="79" t="n">
        <x:v>46283</x:v>
      </x:c>
      <x:c r="C10" s="30" t="inlineStr">
        <x:is>
          <x:t xml:space="preserve">2. Retention &amp; Paying-User Proof</x:t>
        </x:is>
      </x:c>
      <x:c r="D10" s="45" t="n">
        <x:f>Assumptions!$B$6</x:f>
        <x:v>10000</x:v>
      </x:c>
      <x:c r="E10" s="45" t="n">
        <x:f>IF('Revenue &amp; Subscriptions'!M10=0,Assumptions!$B$40,'Revenue &amp; Subscriptions'!M10)</x:f>
        <x:v>0</x:v>
      </x:c>
      <x:c r="F10" s="45" t="n">
        <x:f>IF(MOD(A10-1,4)=0,Assumptions!$B$19,0)</x:f>
        <x:v>0</x:v>
      </x:c>
      <x:c r="G10" s="45" t="n">
        <x:f>Assumptions!$B$26</x:f>
        <x:v>2500</x:v>
      </x:c>
      <x:c r="H10" s="45" t="n">
        <x:f>Assumptions!$B$27</x:f>
        <x:v>750</x:v>
      </x:c>
      <x:c r="I10" s="45" t="n">
        <x:f>Assumptions!$B$28</x:f>
        <x:v>750</x:v>
      </x:c>
      <x:c r="J10" s="45" t="n">
        <x:f>Assumptions!$B$29</x:f>
        <x:v>400</x:v>
      </x:c>
      <x:c r="K10" s="52" t="n">
        <x:v>0</x:v>
      </x:c>
      <x:c r="L10" s="52" t="n">
        <x:v>0</x:v>
      </x:c>
      <x:c r="M10" s="52" t="n">
        <x:v>0</x:v>
      </x:c>
      <x:c r="N10" s="52" t="n">
        <x:v>0</x:v>
      </x:c>
      <x:c r="O10" s="45" t="n">
        <x:f>SUM(F10:N10)</x:f>
        <x:v>4400</x:v>
      </x:c>
      <x:c r="P10" s="45" t="n">
        <x:f>MAX(0,MIN(Assumptions!$B$30,Q9+D10+E10-O10-Assumptions!$B$11))</x:f>
        <x:v>1500</x:v>
      </x:c>
      <x:c r="Q10" s="45" t="n">
        <x:f>Q9+D10+E10-O10-P10</x:f>
        <x:v>20412.8</x:v>
      </x:c>
      <x:c r="R10" s="45" t="n">
        <x:f>R9+P10</x:f>
        <x:v>8012.799999999999</x:v>
      </x:c>
      <x:c r="S10" s="45" t="n">
        <x:f>SUMIFS('Money Log'!$G$5:$G$204,'Money Log'!$C$5:$C$204,A10,'Money Log'!$D$5:$D$204,"Founder Funding")</x:f>
        <x:v>0</x:v>
      </x:c>
      <x:c r="T10" s="45" t="n">
        <x:f>SUMIFS('Money Log'!$G$5:$G$204,'Money Log'!$C$5:$C$204,A10,'Money Log'!$D$5:$D$204,"Subscription Payout")+SUMIFS('Money Log'!$G$5:$G$204,'Money Log'!$C$5:$C$204,A10,'Money Log'!$D$5:$D$204,"Other Revenue")+SUMIFS('Money Log'!$G$5:$G$204,'Money Log'!$C$5:$C$204,A10,'Money Log'!$D$5:$D$204,"Refund In")</x:f>
        <x:v>0</x:v>
      </x:c>
      <x:c r="U10" s="45" t="n">
        <x:f>SUMIFS('Money Log'!$G$5:$G$204,'Money Log'!$C$5:$C$204,A10,'Money Log'!$D$5:$D$204,"Expense")+SUMIFS('Money Log'!$G$5:$G$204,'Money Log'!$C$5:$C$204,A10,'Money Log'!$D$5:$D$204,"Refund Out")</x:f>
        <x:v>0</x:v>
      </x:c>
      <x:c r="V10" s="45" t="n">
        <x:f>SUMIFS('Money Log'!$G$5:$G$204,'Money Log'!$C$5:$C$204,A10,'Money Log'!$D$5:$D$204,"Reserve Transfer")</x:f>
        <x:v>0</x:v>
      </x:c>
      <x:c r="W10" s="45" t="str">
        <x:f>IF(AND(SUM(S10:V10)=0,W9=""),"",IF(W9="",Assumptions!$B$9,W9)+S10+T10-U10-V10)</x:f>
      </x:c>
      <x:c r="X10" s="45" t="str">
        <x:f>IF(W10="","",IF(X9="",Assumptions!$B$10,X9)+V10)</x:f>
      </x:c>
      <x:c r="Y10" s="45" t="str">
        <x:f>IF(W10="","",W10-Q10)</x:f>
      </x:c>
      <x:c r="Z10" s="76" t="inlineStr">
        <x:is>
          <x:t xml:space="preserve"/>
        </x:is>
      </x:c>
    </x:row>
    <x:row r="11">
      <x:c r="A11" s="31" t="n">
        <x:v>7</x:v>
      </x:c>
      <x:c r="B11" s="78" t="n">
        <x:v>46290</x:v>
      </x:c>
      <x:c r="C11" s="31" t="inlineStr">
        <x:is>
          <x:t xml:space="preserve">3. Corridor Authority</x:t>
        </x:is>
      </x:c>
      <x:c r="D11" s="47" t="n">
        <x:f>Assumptions!$B$6</x:f>
        <x:v>10000</x:v>
      </x:c>
      <x:c r="E11" s="47" t="n">
        <x:f>IF('Revenue &amp; Subscriptions'!M11=0,Assumptions!$B$40,'Revenue &amp; Subscriptions'!M11)</x:f>
        <x:v>0</x:v>
      </x:c>
      <x:c r="F11" s="47" t="n">
        <x:f>IF(MOD(A11-1,4)=0,Assumptions!$B$19,0)</x:f>
        <x:v>0</x:v>
      </x:c>
      <x:c r="G11" s="47" t="n">
        <x:f>Assumptions!$B$26</x:f>
        <x:v>2500</x:v>
      </x:c>
      <x:c r="H11" s="47" t="n">
        <x:f>Assumptions!$B$27</x:f>
        <x:v>750</x:v>
      </x:c>
      <x:c r="I11" s="47" t="n">
        <x:f>Assumptions!$B$28</x:f>
        <x:v>750</x:v>
      </x:c>
      <x:c r="J11" s="47" t="n">
        <x:f>Assumptions!$B$29</x:f>
        <x:v>400</x:v>
      </x:c>
      <x:c r="K11" s="52" t="n">
        <x:v>0</x:v>
      </x:c>
      <x:c r="L11" s="52" t="n">
        <x:v>0</x:v>
      </x:c>
      <x:c r="M11" s="52" t="n">
        <x:v>0</x:v>
      </x:c>
      <x:c r="N11" s="52" t="n">
        <x:v>0</x:v>
      </x:c>
      <x:c r="O11" s="47" t="n">
        <x:f>SUM(F11:N11)</x:f>
        <x:v>4400</x:v>
      </x:c>
      <x:c r="P11" s="47" t="n">
        <x:f>MAX(0,MIN(Assumptions!$B$30,Q10+D11+E11-O11-Assumptions!$B$11))</x:f>
        <x:v>1500</x:v>
      </x:c>
      <x:c r="Q11" s="47" t="n">
        <x:f>Q10+D11+E11-O11-P11</x:f>
        <x:v>24512.8</x:v>
      </x:c>
      <x:c r="R11" s="47" t="n">
        <x:f>R10+P11</x:f>
        <x:v>9512.8</x:v>
      </x:c>
      <x:c r="S11" s="47" t="n">
        <x:f>SUMIFS('Money Log'!$G$5:$G$204,'Money Log'!$C$5:$C$204,A11,'Money Log'!$D$5:$D$204,"Founder Funding")</x:f>
        <x:v>0</x:v>
      </x:c>
      <x:c r="T11" s="47" t="n">
        <x:f>SUMIFS('Money Log'!$G$5:$G$204,'Money Log'!$C$5:$C$204,A11,'Money Log'!$D$5:$D$204,"Subscription Payout")+SUMIFS('Money Log'!$G$5:$G$204,'Money Log'!$C$5:$C$204,A11,'Money Log'!$D$5:$D$204,"Other Revenue")+SUMIFS('Money Log'!$G$5:$G$204,'Money Log'!$C$5:$C$204,A11,'Money Log'!$D$5:$D$204,"Refund In")</x:f>
        <x:v>0</x:v>
      </x:c>
      <x:c r="U11" s="47" t="n">
        <x:f>SUMIFS('Money Log'!$G$5:$G$204,'Money Log'!$C$5:$C$204,A11,'Money Log'!$D$5:$D$204,"Expense")+SUMIFS('Money Log'!$G$5:$G$204,'Money Log'!$C$5:$C$204,A11,'Money Log'!$D$5:$D$204,"Refund Out")</x:f>
        <x:v>0</x:v>
      </x:c>
      <x:c r="V11" s="47" t="n">
        <x:f>SUMIFS('Money Log'!$G$5:$G$204,'Money Log'!$C$5:$C$204,A11,'Money Log'!$D$5:$D$204,"Reserve Transfer")</x:f>
        <x:v>0</x:v>
      </x:c>
      <x:c r="W11" s="47" t="str">
        <x:f>IF(AND(SUM(S11:V11)=0,W10=""),"",IF(W10="",Assumptions!$B$9,W10)+S11+T11-U11-V11)</x:f>
      </x:c>
      <x:c r="X11" s="47" t="str">
        <x:f>IF(W11="","",IF(X10="",Assumptions!$B$10,X10)+V11)</x:f>
      </x:c>
      <x:c r="Y11" s="47" t="str">
        <x:f>IF(W11="","",W11-Q11)</x:f>
      </x:c>
      <x:c r="Z11" s="75" t="inlineStr">
        <x:is>
          <x:t xml:space="preserve"/>
        </x:is>
      </x:c>
    </x:row>
    <x:row r="12">
      <x:c r="A12" s="30" t="n">
        <x:v>8</x:v>
      </x:c>
      <x:c r="B12" s="79" t="n">
        <x:v>46297</x:v>
      </x:c>
      <x:c r="C12" s="30" t="inlineStr">
        <x:is>
          <x:t xml:space="preserve">3. Corridor Authority</x:t>
        </x:is>
      </x:c>
      <x:c r="D12" s="45" t="n">
        <x:f>Assumptions!$B$6</x:f>
        <x:v>10000</x:v>
      </x:c>
      <x:c r="E12" s="45" t="n">
        <x:f>IF('Revenue &amp; Subscriptions'!M12=0,Assumptions!$B$40,'Revenue &amp; Subscriptions'!M12)</x:f>
        <x:v>0</x:v>
      </x:c>
      <x:c r="F12" s="45" t="n">
        <x:f>IF(MOD(A12-1,4)=0,Assumptions!$B$19,0)</x:f>
        <x:v>0</x:v>
      </x:c>
      <x:c r="G12" s="45" t="n">
        <x:f>Assumptions!$B$26</x:f>
        <x:v>2500</x:v>
      </x:c>
      <x:c r="H12" s="45" t="n">
        <x:f>Assumptions!$B$27</x:f>
        <x:v>750</x:v>
      </x:c>
      <x:c r="I12" s="45" t="n">
        <x:f>Assumptions!$B$28</x:f>
        <x:v>750</x:v>
      </x:c>
      <x:c r="J12" s="45" t="n">
        <x:f>Assumptions!$B$29</x:f>
        <x:v>400</x:v>
      </x:c>
      <x:c r="K12" s="52" t="n">
        <x:v>0</x:v>
      </x:c>
      <x:c r="L12" s="52" t="n">
        <x:v>0</x:v>
      </x:c>
      <x:c r="M12" s="52" t="n">
        <x:v>0</x:v>
      </x:c>
      <x:c r="N12" s="52" t="n">
        <x:v>0</x:v>
      </x:c>
      <x:c r="O12" s="45" t="n">
        <x:f>SUM(F12:N12)</x:f>
        <x:v>4400</x:v>
      </x:c>
      <x:c r="P12" s="45" t="n">
        <x:f>MAX(0,MIN(Assumptions!$B$30,Q11+D12+E12-O12-Assumptions!$B$11))</x:f>
        <x:v>1500</x:v>
      </x:c>
      <x:c r="Q12" s="45" t="n">
        <x:f>Q11+D12+E12-O12-P12</x:f>
        <x:v>28612.800000000003</x:v>
      </x:c>
      <x:c r="R12" s="45" t="n">
        <x:f>R11+P12</x:f>
        <x:v>11012.8</x:v>
      </x:c>
      <x:c r="S12" s="45" t="n">
        <x:f>SUMIFS('Money Log'!$G$5:$G$204,'Money Log'!$C$5:$C$204,A12,'Money Log'!$D$5:$D$204,"Founder Funding")</x:f>
        <x:v>0</x:v>
      </x:c>
      <x:c r="T12" s="45" t="n">
        <x:f>SUMIFS('Money Log'!$G$5:$G$204,'Money Log'!$C$5:$C$204,A12,'Money Log'!$D$5:$D$204,"Subscription Payout")+SUMIFS('Money Log'!$G$5:$G$204,'Money Log'!$C$5:$C$204,A12,'Money Log'!$D$5:$D$204,"Other Revenue")+SUMIFS('Money Log'!$G$5:$G$204,'Money Log'!$C$5:$C$204,A12,'Money Log'!$D$5:$D$204,"Refund In")</x:f>
        <x:v>0</x:v>
      </x:c>
      <x:c r="U12" s="45" t="n">
        <x:f>SUMIFS('Money Log'!$G$5:$G$204,'Money Log'!$C$5:$C$204,A12,'Money Log'!$D$5:$D$204,"Expense")+SUMIFS('Money Log'!$G$5:$G$204,'Money Log'!$C$5:$C$204,A12,'Money Log'!$D$5:$D$204,"Refund Out")</x:f>
        <x:v>0</x:v>
      </x:c>
      <x:c r="V12" s="45" t="n">
        <x:f>SUMIFS('Money Log'!$G$5:$G$204,'Money Log'!$C$5:$C$204,A12,'Money Log'!$D$5:$D$204,"Reserve Transfer")</x:f>
        <x:v>0</x:v>
      </x:c>
      <x:c r="W12" s="45" t="str">
        <x:f>IF(AND(SUM(S12:V12)=0,W11=""),"",IF(W11="",Assumptions!$B$9,W11)+S12+T12-U12-V12)</x:f>
      </x:c>
      <x:c r="X12" s="45" t="str">
        <x:f>IF(W12="","",IF(X11="",Assumptions!$B$10,X11)+V12)</x:f>
      </x:c>
      <x:c r="Y12" s="45" t="str">
        <x:f>IF(W12="","",W12-Q12)</x:f>
      </x:c>
      <x:c r="Z12" s="76" t="inlineStr">
        <x:is>
          <x:t xml:space="preserve"/>
        </x:is>
      </x:c>
    </x:row>
    <x:row r="13">
      <x:c r="A13" s="31" t="n">
        <x:v>9</x:v>
      </x:c>
      <x:c r="B13" s="78" t="n">
        <x:v>46304</x:v>
      </x:c>
      <x:c r="C13" s="31" t="inlineStr">
        <x:is>
          <x:t xml:space="preserve">3. Corridor Authority</x:t>
        </x:is>
      </x:c>
      <x:c r="D13" s="47" t="n">
        <x:f>Assumptions!$B$6</x:f>
        <x:v>10000</x:v>
      </x:c>
      <x:c r="E13" s="47" t="n">
        <x:f>IF('Revenue &amp; Subscriptions'!M13=0,Assumptions!$B$40,'Revenue &amp; Subscriptions'!M13)</x:f>
        <x:v>0</x:v>
      </x:c>
      <x:c r="F13" s="47" t="n">
        <x:f>IF(MOD(A13-1,4)=0,Assumptions!$B$19,0)</x:f>
        <x:v>2587.2000000000003</x:v>
      </x:c>
      <x:c r="G13" s="47" t="n">
        <x:f>Assumptions!$B$26</x:f>
        <x:v>2500</x:v>
      </x:c>
      <x:c r="H13" s="47" t="n">
        <x:f>Assumptions!$B$27</x:f>
        <x:v>750</x:v>
      </x:c>
      <x:c r="I13" s="47" t="n">
        <x:f>Assumptions!$B$28</x:f>
        <x:v>750</x:v>
      </x:c>
      <x:c r="J13" s="47" t="n">
        <x:f>Assumptions!$B$29</x:f>
        <x:v>400</x:v>
      </x:c>
      <x:c r="K13" s="52" t="n">
        <x:v>0</x:v>
      </x:c>
      <x:c r="L13" s="52" t="n">
        <x:v>0</x:v>
      </x:c>
      <x:c r="M13" s="52" t="n">
        <x:v>0</x:v>
      </x:c>
      <x:c r="N13" s="52" t="n">
        <x:v>0</x:v>
      </x:c>
      <x:c r="O13" s="47" t="n">
        <x:f>SUM(F13:N13)</x:f>
        <x:v>6987.200000000001</x:v>
      </x:c>
      <x:c r="P13" s="47" t="n">
        <x:f>MAX(0,MIN(Assumptions!$B$30,Q12+D13+E13-O13-Assumptions!$B$11))</x:f>
        <x:v>1500</x:v>
      </x:c>
      <x:c r="Q13" s="47" t="n">
        <x:f>Q12+D13+E13-O13-P13</x:f>
        <x:v>30125.600000000002</x:v>
      </x:c>
      <x:c r="R13" s="47" t="n">
        <x:f>R12+P13</x:f>
        <x:v>12512.8</x:v>
      </x:c>
      <x:c r="S13" s="47" t="n">
        <x:f>SUMIFS('Money Log'!$G$5:$G$204,'Money Log'!$C$5:$C$204,A13,'Money Log'!$D$5:$D$204,"Founder Funding")</x:f>
        <x:v>0</x:v>
      </x:c>
      <x:c r="T13" s="47" t="n">
        <x:f>SUMIFS('Money Log'!$G$5:$G$204,'Money Log'!$C$5:$C$204,A13,'Money Log'!$D$5:$D$204,"Subscription Payout")+SUMIFS('Money Log'!$G$5:$G$204,'Money Log'!$C$5:$C$204,A13,'Money Log'!$D$5:$D$204,"Other Revenue")+SUMIFS('Money Log'!$G$5:$G$204,'Money Log'!$C$5:$C$204,A13,'Money Log'!$D$5:$D$204,"Refund In")</x:f>
        <x:v>0</x:v>
      </x:c>
      <x:c r="U13" s="47" t="n">
        <x:f>SUMIFS('Money Log'!$G$5:$G$204,'Money Log'!$C$5:$C$204,A13,'Money Log'!$D$5:$D$204,"Expense")+SUMIFS('Money Log'!$G$5:$G$204,'Money Log'!$C$5:$C$204,A13,'Money Log'!$D$5:$D$204,"Refund Out")</x:f>
        <x:v>0</x:v>
      </x:c>
      <x:c r="V13" s="47" t="n">
        <x:f>SUMIFS('Money Log'!$G$5:$G$204,'Money Log'!$C$5:$C$204,A13,'Money Log'!$D$5:$D$204,"Reserve Transfer")</x:f>
        <x:v>0</x:v>
      </x:c>
      <x:c r="W13" s="47" t="str">
        <x:f>IF(AND(SUM(S13:V13)=0,W12=""),"",IF(W12="",Assumptions!$B$9,W12)+S13+T13-U13-V13)</x:f>
      </x:c>
      <x:c r="X13" s="47" t="str">
        <x:f>IF(W13="","",IF(X12="",Assumptions!$B$10,X12)+V13)</x:f>
      </x:c>
      <x:c r="Y13" s="47" t="str">
        <x:f>IF(W13="","",W13-Q13)</x:f>
      </x:c>
      <x:c r="Z13" s="75" t="inlineStr">
        <x:is>
          <x:t xml:space="preserve"/>
        </x:is>
      </x:c>
    </x:row>
    <x:row r="14">
      <x:c r="A14" s="30" t="n">
        <x:v>10</x:v>
      </x:c>
      <x:c r="B14" s="79" t="n">
        <x:v>46311</x:v>
      </x:c>
      <x:c r="C14" s="30" t="inlineStr">
        <x:is>
          <x:t xml:space="preserve">3. Corridor Authority</x:t>
        </x:is>
      </x:c>
      <x:c r="D14" s="45" t="n">
        <x:f>Assumptions!$B$6</x:f>
        <x:v>10000</x:v>
      </x:c>
      <x:c r="E14" s="45" t="n">
        <x:f>IF('Revenue &amp; Subscriptions'!M14=0,Assumptions!$B$40,'Revenue &amp; Subscriptions'!M14)</x:f>
        <x:v>0</x:v>
      </x:c>
      <x:c r="F14" s="45" t="n">
        <x:f>IF(MOD(A14-1,4)=0,Assumptions!$B$19,0)</x:f>
        <x:v>0</x:v>
      </x:c>
      <x:c r="G14" s="45" t="n">
        <x:f>Assumptions!$B$26</x:f>
        <x:v>2500</x:v>
      </x:c>
      <x:c r="H14" s="45" t="n">
        <x:f>Assumptions!$B$27</x:f>
        <x:v>750</x:v>
      </x:c>
      <x:c r="I14" s="45" t="n">
        <x:f>Assumptions!$B$28</x:f>
        <x:v>750</x:v>
      </x:c>
      <x:c r="J14" s="45" t="n">
        <x:f>Assumptions!$B$29</x:f>
        <x:v>400</x:v>
      </x:c>
      <x:c r="K14" s="52" t="n">
        <x:v>0</x:v>
      </x:c>
      <x:c r="L14" s="52" t="n">
        <x:v>0</x:v>
      </x:c>
      <x:c r="M14" s="52" t="n">
        <x:v>0</x:v>
      </x:c>
      <x:c r="N14" s="52" t="n">
        <x:v>0</x:v>
      </x:c>
      <x:c r="O14" s="45" t="n">
        <x:f>SUM(F14:N14)</x:f>
        <x:v>4400</x:v>
      </x:c>
      <x:c r="P14" s="45" t="n">
        <x:f>MAX(0,MIN(Assumptions!$B$30,Q13+D14+E14-O14-Assumptions!$B$11))</x:f>
        <x:v>1500</x:v>
      </x:c>
      <x:c r="Q14" s="45" t="n">
        <x:f>Q13+D14+E14-O14-P14</x:f>
        <x:v>34225.600000000006</x:v>
      </x:c>
      <x:c r="R14" s="45" t="n">
        <x:f>R13+P14</x:f>
        <x:v>14012.8</x:v>
      </x:c>
      <x:c r="S14" s="45" t="n">
        <x:f>SUMIFS('Money Log'!$G$5:$G$204,'Money Log'!$C$5:$C$204,A14,'Money Log'!$D$5:$D$204,"Founder Funding")</x:f>
        <x:v>0</x:v>
      </x:c>
      <x:c r="T14" s="45" t="n">
        <x:f>SUMIFS('Money Log'!$G$5:$G$204,'Money Log'!$C$5:$C$204,A14,'Money Log'!$D$5:$D$204,"Subscription Payout")+SUMIFS('Money Log'!$G$5:$G$204,'Money Log'!$C$5:$C$204,A14,'Money Log'!$D$5:$D$204,"Other Revenue")+SUMIFS('Money Log'!$G$5:$G$204,'Money Log'!$C$5:$C$204,A14,'Money Log'!$D$5:$D$204,"Refund In")</x:f>
        <x:v>0</x:v>
      </x:c>
      <x:c r="U14" s="45" t="n">
        <x:f>SUMIFS('Money Log'!$G$5:$G$204,'Money Log'!$C$5:$C$204,A14,'Money Log'!$D$5:$D$204,"Expense")+SUMIFS('Money Log'!$G$5:$G$204,'Money Log'!$C$5:$C$204,A14,'Money Log'!$D$5:$D$204,"Refund Out")</x:f>
        <x:v>0</x:v>
      </x:c>
      <x:c r="V14" s="45" t="n">
        <x:f>SUMIFS('Money Log'!$G$5:$G$204,'Money Log'!$C$5:$C$204,A14,'Money Log'!$D$5:$D$204,"Reserve Transfer")</x:f>
        <x:v>0</x:v>
      </x:c>
      <x:c r="W14" s="45" t="str">
        <x:f>IF(AND(SUM(S14:V14)=0,W13=""),"",IF(W13="",Assumptions!$B$9,W13)+S14+T14-U14-V14)</x:f>
      </x:c>
      <x:c r="X14" s="45" t="str">
        <x:f>IF(W14="","",IF(X13="",Assumptions!$B$10,X13)+V14)</x:f>
      </x:c>
      <x:c r="Y14" s="45" t="str">
        <x:f>IF(W14="","",W14-Q14)</x:f>
      </x:c>
      <x:c r="Z14" s="76" t="inlineStr">
        <x:is>
          <x:t xml:space="preserve"/>
        </x:is>
      </x:c>
    </x:row>
    <x:row r="15">
      <x:c r="A15" s="31" t="n">
        <x:v>11</x:v>
      </x:c>
      <x:c r="B15" s="78" t="n">
        <x:v>46318</x:v>
      </x:c>
      <x:c r="C15" s="31" t="inlineStr">
        <x:is>
          <x:t xml:space="preserve">4. Controlled Acquisition</x:t>
        </x:is>
      </x:c>
      <x:c r="D15" s="47" t="n">
        <x:f>Assumptions!$B$6</x:f>
        <x:v>10000</x:v>
      </x:c>
      <x:c r="E15" s="47" t="n">
        <x:f>IF('Revenue &amp; Subscriptions'!M15=0,Assumptions!$B$40,'Revenue &amp; Subscriptions'!M15)</x:f>
        <x:v>0</x:v>
      </x:c>
      <x:c r="F15" s="47" t="n">
        <x:f>IF(MOD(A15-1,4)=0,Assumptions!$B$19,0)</x:f>
        <x:v>0</x:v>
      </x:c>
      <x:c r="G15" s="47" t="n">
        <x:f>Assumptions!$B$26</x:f>
        <x:v>2500</x:v>
      </x:c>
      <x:c r="H15" s="47" t="n">
        <x:f>Assumptions!$B$27</x:f>
        <x:v>750</x:v>
      </x:c>
      <x:c r="I15" s="47" t="n">
        <x:f>Assumptions!$B$28</x:f>
        <x:v>750</x:v>
      </x:c>
      <x:c r="J15" s="47" t="n">
        <x:f>Assumptions!$B$29</x:f>
        <x:v>400</x:v>
      </x:c>
      <x:c r="K15" s="52" t="n">
        <x:v>0</x:v>
      </x:c>
      <x:c r="L15" s="52" t="n">
        <x:v>0</x:v>
      </x:c>
      <x:c r="M15" s="52" t="n">
        <x:v>0</x:v>
      </x:c>
      <x:c r="N15" s="52" t="n">
        <x:v>0</x:v>
      </x:c>
      <x:c r="O15" s="47" t="n">
        <x:f>SUM(F15:N15)</x:f>
        <x:v>4400</x:v>
      </x:c>
      <x:c r="P15" s="47" t="n">
        <x:f>MAX(0,MIN(Assumptions!$B$30,Q14+D15+E15-O15-Assumptions!$B$11))</x:f>
        <x:v>1500</x:v>
      </x:c>
      <x:c r="Q15" s="47" t="n">
        <x:f>Q14+D15+E15-O15-P15</x:f>
        <x:v>38325.600000000006</x:v>
      </x:c>
      <x:c r="R15" s="47" t="n">
        <x:f>R14+P15</x:f>
        <x:v>15512.8</x:v>
      </x:c>
      <x:c r="S15" s="47" t="n">
        <x:f>SUMIFS('Money Log'!$G$5:$G$204,'Money Log'!$C$5:$C$204,A15,'Money Log'!$D$5:$D$204,"Founder Funding")</x:f>
        <x:v>0</x:v>
      </x:c>
      <x:c r="T15" s="47" t="n">
        <x:f>SUMIFS('Money Log'!$G$5:$G$204,'Money Log'!$C$5:$C$204,A15,'Money Log'!$D$5:$D$204,"Subscription Payout")+SUMIFS('Money Log'!$G$5:$G$204,'Money Log'!$C$5:$C$204,A15,'Money Log'!$D$5:$D$204,"Other Revenue")+SUMIFS('Money Log'!$G$5:$G$204,'Money Log'!$C$5:$C$204,A15,'Money Log'!$D$5:$D$204,"Refund In")</x:f>
        <x:v>0</x:v>
      </x:c>
      <x:c r="U15" s="47" t="n">
        <x:f>SUMIFS('Money Log'!$G$5:$G$204,'Money Log'!$C$5:$C$204,A15,'Money Log'!$D$5:$D$204,"Expense")+SUMIFS('Money Log'!$G$5:$G$204,'Money Log'!$C$5:$C$204,A15,'Money Log'!$D$5:$D$204,"Refund Out")</x:f>
        <x:v>0</x:v>
      </x:c>
      <x:c r="V15" s="47" t="n">
        <x:f>SUMIFS('Money Log'!$G$5:$G$204,'Money Log'!$C$5:$C$204,A15,'Money Log'!$D$5:$D$204,"Reserve Transfer")</x:f>
        <x:v>0</x:v>
      </x:c>
      <x:c r="W15" s="47" t="str">
        <x:f>IF(AND(SUM(S15:V15)=0,W14=""),"",IF(W14="",Assumptions!$B$9,W14)+S15+T15-U15-V15)</x:f>
      </x:c>
      <x:c r="X15" s="47" t="str">
        <x:f>IF(W15="","",IF(X14="",Assumptions!$B$10,X14)+V15)</x:f>
      </x:c>
      <x:c r="Y15" s="47" t="str">
        <x:f>IF(W15="","",W15-Q15)</x:f>
      </x:c>
      <x:c r="Z15" s="75" t="inlineStr">
        <x:is>
          <x:t xml:space="preserve"/>
        </x:is>
      </x:c>
    </x:row>
    <x:row r="16">
      <x:c r="A16" s="30" t="n">
        <x:v>12</x:v>
      </x:c>
      <x:c r="B16" s="79" t="n">
        <x:v>46325</x:v>
      </x:c>
      <x:c r="C16" s="30" t="inlineStr">
        <x:is>
          <x:t xml:space="preserve">4. Controlled Acquisition</x:t>
        </x:is>
      </x:c>
      <x:c r="D16" s="45" t="n">
        <x:f>Assumptions!$B$6</x:f>
        <x:v>10000</x:v>
      </x:c>
      <x:c r="E16" s="45" t="n">
        <x:f>IF('Revenue &amp; Subscriptions'!M16=0,Assumptions!$B$40,'Revenue &amp; Subscriptions'!M16)</x:f>
        <x:v>0</x:v>
      </x:c>
      <x:c r="F16" s="45" t="n">
        <x:f>IF(MOD(A16-1,4)=0,Assumptions!$B$19,0)</x:f>
        <x:v>0</x:v>
      </x:c>
      <x:c r="G16" s="45" t="n">
        <x:f>Assumptions!$B$26</x:f>
        <x:v>2500</x:v>
      </x:c>
      <x:c r="H16" s="45" t="n">
        <x:f>Assumptions!$B$27</x:f>
        <x:v>750</x:v>
      </x:c>
      <x:c r="I16" s="45" t="n">
        <x:f>Assumptions!$B$28</x:f>
        <x:v>750</x:v>
      </x:c>
      <x:c r="J16" s="45" t="n">
        <x:f>Assumptions!$B$29</x:f>
        <x:v>400</x:v>
      </x:c>
      <x:c r="K16" s="52" t="n">
        <x:v>0</x:v>
      </x:c>
      <x:c r="L16" s="52" t="n">
        <x:v>0</x:v>
      </x:c>
      <x:c r="M16" s="52" t="n">
        <x:v>0</x:v>
      </x:c>
      <x:c r="N16" s="52" t="n">
        <x:v>0</x:v>
      </x:c>
      <x:c r="O16" s="45" t="n">
        <x:f>SUM(F16:N16)</x:f>
        <x:v>4400</x:v>
      </x:c>
      <x:c r="P16" s="45" t="n">
        <x:f>MAX(0,MIN(Assumptions!$B$30,Q15+D16+E16-O16-Assumptions!$B$11))</x:f>
        <x:v>1500</x:v>
      </x:c>
      <x:c r="Q16" s="45" t="n">
        <x:f>Q15+D16+E16-O16-P16</x:f>
        <x:v>42425.600000000006</x:v>
      </x:c>
      <x:c r="R16" s="45" t="n">
        <x:f>R15+P16</x:f>
        <x:v>17012.8</x:v>
      </x:c>
      <x:c r="S16" s="45" t="n">
        <x:f>SUMIFS('Money Log'!$G$5:$G$204,'Money Log'!$C$5:$C$204,A16,'Money Log'!$D$5:$D$204,"Founder Funding")</x:f>
        <x:v>0</x:v>
      </x:c>
      <x:c r="T16" s="45" t="n">
        <x:f>SUMIFS('Money Log'!$G$5:$G$204,'Money Log'!$C$5:$C$204,A16,'Money Log'!$D$5:$D$204,"Subscription Payout")+SUMIFS('Money Log'!$G$5:$G$204,'Money Log'!$C$5:$C$204,A16,'Money Log'!$D$5:$D$204,"Other Revenue")+SUMIFS('Money Log'!$G$5:$G$204,'Money Log'!$C$5:$C$204,A16,'Money Log'!$D$5:$D$204,"Refund In")</x:f>
        <x:v>0</x:v>
      </x:c>
      <x:c r="U16" s="45" t="n">
        <x:f>SUMIFS('Money Log'!$G$5:$G$204,'Money Log'!$C$5:$C$204,A16,'Money Log'!$D$5:$D$204,"Expense")+SUMIFS('Money Log'!$G$5:$G$204,'Money Log'!$C$5:$C$204,A16,'Money Log'!$D$5:$D$204,"Refund Out")</x:f>
        <x:v>0</x:v>
      </x:c>
      <x:c r="V16" s="45" t="n">
        <x:f>SUMIFS('Money Log'!$G$5:$G$204,'Money Log'!$C$5:$C$204,A16,'Money Log'!$D$5:$D$204,"Reserve Transfer")</x:f>
        <x:v>0</x:v>
      </x:c>
      <x:c r="W16" s="45" t="str">
        <x:f>IF(AND(SUM(S16:V16)=0,W15=""),"",IF(W15="",Assumptions!$B$9,W15)+S16+T16-U16-V16)</x:f>
      </x:c>
      <x:c r="X16" s="45" t="str">
        <x:f>IF(W16="","",IF(X15="",Assumptions!$B$10,X15)+V16)</x:f>
      </x:c>
      <x:c r="Y16" s="45" t="str">
        <x:f>IF(W16="","",W16-Q16)</x:f>
      </x:c>
      <x:c r="Z16" s="76" t="inlineStr">
        <x:is>
          <x:t xml:space="preserve"/>
        </x:is>
      </x:c>
    </x:row>
    <x:row r="17">
      <x:c r="A17" s="31" t="n">
        <x:v>13</x:v>
      </x:c>
      <x:c r="B17" s="78" t="n">
        <x:v>46332</x:v>
      </x:c>
      <x:c r="C17" s="31" t="inlineStr">
        <x:is>
          <x:t xml:space="preserve">4. Controlled Acquisition</x:t>
        </x:is>
      </x:c>
      <x:c r="D17" s="47" t="n">
        <x:f>Assumptions!$B$6</x:f>
        <x:v>10000</x:v>
      </x:c>
      <x:c r="E17" s="47" t="n">
        <x:f>IF('Revenue &amp; Subscriptions'!M17=0,Assumptions!$B$40,'Revenue &amp; Subscriptions'!M17)</x:f>
        <x:v>0</x:v>
      </x:c>
      <x:c r="F17" s="47" t="n">
        <x:f>IF(MOD(A17-1,4)=0,Assumptions!$B$19,0)</x:f>
        <x:v>2587.2000000000003</x:v>
      </x:c>
      <x:c r="G17" s="47" t="n">
        <x:f>Assumptions!$B$26</x:f>
        <x:v>2500</x:v>
      </x:c>
      <x:c r="H17" s="47" t="n">
        <x:f>Assumptions!$B$27</x:f>
        <x:v>750</x:v>
      </x:c>
      <x:c r="I17" s="47" t="n">
        <x:f>Assumptions!$B$28</x:f>
        <x:v>750</x:v>
      </x:c>
      <x:c r="J17" s="47" t="n">
        <x:f>Assumptions!$B$29</x:f>
        <x:v>400</x:v>
      </x:c>
      <x:c r="K17" s="52" t="n">
        <x:v>0</x:v>
      </x:c>
      <x:c r="L17" s="52" t="n">
        <x:v>0</x:v>
      </x:c>
      <x:c r="M17" s="52" t="n">
        <x:v>0</x:v>
      </x:c>
      <x:c r="N17" s="52" t="n">
        <x:v>0</x:v>
      </x:c>
      <x:c r="O17" s="47" t="n">
        <x:f>SUM(F17:N17)</x:f>
        <x:v>6987.200000000001</x:v>
      </x:c>
      <x:c r="P17" s="47" t="n">
        <x:f>MAX(0,MIN(Assumptions!$B$30,Q16+D17+E17-O17-Assumptions!$B$11))</x:f>
        <x:v>1500</x:v>
      </x:c>
      <x:c r="Q17" s="47" t="n">
        <x:f>Q16+D17+E17-O17-P17</x:f>
        <x:v>43938.40000000001</x:v>
      </x:c>
      <x:c r="R17" s="47" t="n">
        <x:f>R16+P17</x:f>
        <x:v>18512.8</x:v>
      </x:c>
      <x:c r="S17" s="47" t="n">
        <x:f>SUMIFS('Money Log'!$G$5:$G$204,'Money Log'!$C$5:$C$204,A17,'Money Log'!$D$5:$D$204,"Founder Funding")</x:f>
        <x:v>0</x:v>
      </x:c>
      <x:c r="T17" s="47" t="n">
        <x:f>SUMIFS('Money Log'!$G$5:$G$204,'Money Log'!$C$5:$C$204,A17,'Money Log'!$D$5:$D$204,"Subscription Payout")+SUMIFS('Money Log'!$G$5:$G$204,'Money Log'!$C$5:$C$204,A17,'Money Log'!$D$5:$D$204,"Other Revenue")+SUMIFS('Money Log'!$G$5:$G$204,'Money Log'!$C$5:$C$204,A17,'Money Log'!$D$5:$D$204,"Refund In")</x:f>
        <x:v>0</x:v>
      </x:c>
      <x:c r="U17" s="47" t="n">
        <x:f>SUMIFS('Money Log'!$G$5:$G$204,'Money Log'!$C$5:$C$204,A17,'Money Log'!$D$5:$D$204,"Expense")+SUMIFS('Money Log'!$G$5:$G$204,'Money Log'!$C$5:$C$204,A17,'Money Log'!$D$5:$D$204,"Refund Out")</x:f>
        <x:v>0</x:v>
      </x:c>
      <x:c r="V17" s="47" t="n">
        <x:f>SUMIFS('Money Log'!$G$5:$G$204,'Money Log'!$C$5:$C$204,A17,'Money Log'!$D$5:$D$204,"Reserve Transfer")</x:f>
        <x:v>0</x:v>
      </x:c>
      <x:c r="W17" s="47" t="str">
        <x:f>IF(AND(SUM(S17:V17)=0,W16=""),"",IF(W16="",Assumptions!$B$9,W16)+S17+T17-U17-V17)</x:f>
      </x:c>
      <x:c r="X17" s="47" t="str">
        <x:f>IF(W17="","",IF(X16="",Assumptions!$B$10,X16)+V17)</x:f>
      </x:c>
      <x:c r="Y17" s="47" t="str">
        <x:f>IF(W17="","",W17-Q17)</x:f>
      </x:c>
      <x:c r="Z17" s="75" t="inlineStr">
        <x:is>
          <x:t xml:space="preserve"/>
        </x:is>
      </x:c>
    </x:row>
    <x:row r="18">
      <x:c r="A18" s="30" t="n">
        <x:v>14</x:v>
      </x:c>
      <x:c r="B18" s="79" t="n">
        <x:v>46339</x:v>
      </x:c>
      <x:c r="C18" s="30" t="inlineStr">
        <x:is>
          <x:t xml:space="preserve">4. Controlled Acquisition</x:t>
        </x:is>
      </x:c>
      <x:c r="D18" s="45" t="n">
        <x:f>Assumptions!$B$6</x:f>
        <x:v>10000</x:v>
      </x:c>
      <x:c r="E18" s="45" t="n">
        <x:f>IF('Revenue &amp; Subscriptions'!M18=0,Assumptions!$B$40,'Revenue &amp; Subscriptions'!M18)</x:f>
        <x:v>0</x:v>
      </x:c>
      <x:c r="F18" s="45" t="n">
        <x:f>IF(MOD(A18-1,4)=0,Assumptions!$B$19,0)</x:f>
        <x:v>0</x:v>
      </x:c>
      <x:c r="G18" s="45" t="n">
        <x:f>Assumptions!$B$26</x:f>
        <x:v>2500</x:v>
      </x:c>
      <x:c r="H18" s="45" t="n">
        <x:f>Assumptions!$B$27</x:f>
        <x:v>750</x:v>
      </x:c>
      <x:c r="I18" s="45" t="n">
        <x:f>Assumptions!$B$28</x:f>
        <x:v>750</x:v>
      </x:c>
      <x:c r="J18" s="45" t="n">
        <x:f>Assumptions!$B$29</x:f>
        <x:v>400</x:v>
      </x:c>
      <x:c r="K18" s="52" t="n">
        <x:v>0</x:v>
      </x:c>
      <x:c r="L18" s="52" t="n">
        <x:v>0</x:v>
      </x:c>
      <x:c r="M18" s="52" t="n">
        <x:v>0</x:v>
      </x:c>
      <x:c r="N18" s="52" t="n">
        <x:v>0</x:v>
      </x:c>
      <x:c r="O18" s="45" t="n">
        <x:f>SUM(F18:N18)</x:f>
        <x:v>4400</x:v>
      </x:c>
      <x:c r="P18" s="45" t="n">
        <x:f>MAX(0,MIN(Assumptions!$B$30,Q17+D18+E18-O18-Assumptions!$B$11))</x:f>
        <x:v>1500</x:v>
      </x:c>
      <x:c r="Q18" s="45" t="n">
        <x:f>Q17+D18+E18-O18-P18</x:f>
        <x:v>48038.40000000001</x:v>
      </x:c>
      <x:c r="R18" s="45" t="n">
        <x:f>R17+P18</x:f>
        <x:v>20012.8</x:v>
      </x:c>
      <x:c r="S18" s="45" t="n">
        <x:f>SUMIFS('Money Log'!$G$5:$G$204,'Money Log'!$C$5:$C$204,A18,'Money Log'!$D$5:$D$204,"Founder Funding")</x:f>
        <x:v>0</x:v>
      </x:c>
      <x:c r="T18" s="45" t="n">
        <x:f>SUMIFS('Money Log'!$G$5:$G$204,'Money Log'!$C$5:$C$204,A18,'Money Log'!$D$5:$D$204,"Subscription Payout")+SUMIFS('Money Log'!$G$5:$G$204,'Money Log'!$C$5:$C$204,A18,'Money Log'!$D$5:$D$204,"Other Revenue")+SUMIFS('Money Log'!$G$5:$G$204,'Money Log'!$C$5:$C$204,A18,'Money Log'!$D$5:$D$204,"Refund In")</x:f>
        <x:v>0</x:v>
      </x:c>
      <x:c r="U18" s="45" t="n">
        <x:f>SUMIFS('Money Log'!$G$5:$G$204,'Money Log'!$C$5:$C$204,A18,'Money Log'!$D$5:$D$204,"Expense")+SUMIFS('Money Log'!$G$5:$G$204,'Money Log'!$C$5:$C$204,A18,'Money Log'!$D$5:$D$204,"Refund Out")</x:f>
        <x:v>0</x:v>
      </x:c>
      <x:c r="V18" s="45" t="n">
        <x:f>SUMIFS('Money Log'!$G$5:$G$204,'Money Log'!$C$5:$C$204,A18,'Money Log'!$D$5:$D$204,"Reserve Transfer")</x:f>
        <x:v>0</x:v>
      </x:c>
      <x:c r="W18" s="45" t="str">
        <x:f>IF(AND(SUM(S18:V18)=0,W17=""),"",IF(W17="",Assumptions!$B$9,W17)+S18+T18-U18-V18)</x:f>
      </x:c>
      <x:c r="X18" s="45" t="str">
        <x:f>IF(W18="","",IF(X17="",Assumptions!$B$10,X17)+V18)</x:f>
      </x:c>
      <x:c r="Y18" s="45" t="str">
        <x:f>IF(W18="","",W18-Q18)</x:f>
      </x:c>
      <x:c r="Z18" s="76" t="inlineStr">
        <x:is>
          <x:t xml:space="preserve"/>
        </x:is>
      </x:c>
    </x:row>
    <x:row r="19">
      <x:c r="A19" s="31" t="n">
        <x:v>15</x:v>
      </x:c>
      <x:c r="B19" s="78" t="n">
        <x:v>46346</x:v>
      </x:c>
      <x:c r="C19" s="31" t="inlineStr">
        <x:is>
          <x:t xml:space="preserve">5. Partnerships &amp; Revenue</x:t>
        </x:is>
      </x:c>
      <x:c r="D19" s="47" t="n">
        <x:f>Assumptions!$B$6</x:f>
        <x:v>10000</x:v>
      </x:c>
      <x:c r="E19" s="47" t="n">
        <x:f>IF('Revenue &amp; Subscriptions'!M19=0,Assumptions!$B$40,'Revenue &amp; Subscriptions'!M19)</x:f>
        <x:v>0</x:v>
      </x:c>
      <x:c r="F19" s="47" t="n">
        <x:f>IF(MOD(A19-1,4)=0,Assumptions!$B$19,0)</x:f>
        <x:v>0</x:v>
      </x:c>
      <x:c r="G19" s="47" t="n">
        <x:f>Assumptions!$B$26</x:f>
        <x:v>2500</x:v>
      </x:c>
      <x:c r="H19" s="47" t="n">
        <x:f>Assumptions!$B$27</x:f>
        <x:v>750</x:v>
      </x:c>
      <x:c r="I19" s="47" t="n">
        <x:f>Assumptions!$B$28</x:f>
        <x:v>750</x:v>
      </x:c>
      <x:c r="J19" s="47" t="n">
        <x:f>Assumptions!$B$29</x:f>
        <x:v>400</x:v>
      </x:c>
      <x:c r="K19" s="52" t="n">
        <x:v>0</x:v>
      </x:c>
      <x:c r="L19" s="52" t="n">
        <x:v>0</x:v>
      </x:c>
      <x:c r="M19" s="52" t="n">
        <x:v>0</x:v>
      </x:c>
      <x:c r="N19" s="52" t="n">
        <x:v>0</x:v>
      </x:c>
      <x:c r="O19" s="47" t="n">
        <x:f>SUM(F19:N19)</x:f>
        <x:v>4400</x:v>
      </x:c>
      <x:c r="P19" s="47" t="n">
        <x:f>MAX(0,MIN(Assumptions!$B$30,Q18+D19+E19-O19-Assumptions!$B$11))</x:f>
        <x:v>1500</x:v>
      </x:c>
      <x:c r="Q19" s="47" t="n">
        <x:f>Q18+D19+E19-O19-P19</x:f>
        <x:v>52138.40000000001</x:v>
      </x:c>
      <x:c r="R19" s="47" t="n">
        <x:f>R18+P19</x:f>
        <x:v>21512.8</x:v>
      </x:c>
      <x:c r="S19" s="47" t="n">
        <x:f>SUMIFS('Money Log'!$G$5:$G$204,'Money Log'!$C$5:$C$204,A19,'Money Log'!$D$5:$D$204,"Founder Funding")</x:f>
        <x:v>0</x:v>
      </x:c>
      <x:c r="T19" s="47" t="n">
        <x:f>SUMIFS('Money Log'!$G$5:$G$204,'Money Log'!$C$5:$C$204,A19,'Money Log'!$D$5:$D$204,"Subscription Payout")+SUMIFS('Money Log'!$G$5:$G$204,'Money Log'!$C$5:$C$204,A19,'Money Log'!$D$5:$D$204,"Other Revenue")+SUMIFS('Money Log'!$G$5:$G$204,'Money Log'!$C$5:$C$204,A19,'Money Log'!$D$5:$D$204,"Refund In")</x:f>
        <x:v>0</x:v>
      </x:c>
      <x:c r="U19" s="47" t="n">
        <x:f>SUMIFS('Money Log'!$G$5:$G$204,'Money Log'!$C$5:$C$204,A19,'Money Log'!$D$5:$D$204,"Expense")+SUMIFS('Money Log'!$G$5:$G$204,'Money Log'!$C$5:$C$204,A19,'Money Log'!$D$5:$D$204,"Refund Out")</x:f>
        <x:v>0</x:v>
      </x:c>
      <x:c r="V19" s="47" t="n">
        <x:f>SUMIFS('Money Log'!$G$5:$G$204,'Money Log'!$C$5:$C$204,A19,'Money Log'!$D$5:$D$204,"Reserve Transfer")</x:f>
        <x:v>0</x:v>
      </x:c>
      <x:c r="W19" s="47" t="str">
        <x:f>IF(AND(SUM(S19:V19)=0,W18=""),"",IF(W18="",Assumptions!$B$9,W18)+S19+T19-U19-V19)</x:f>
      </x:c>
      <x:c r="X19" s="47" t="str">
        <x:f>IF(W19="","",IF(X18="",Assumptions!$B$10,X18)+V19)</x:f>
      </x:c>
      <x:c r="Y19" s="47" t="str">
        <x:f>IF(W19="","",W19-Q19)</x:f>
      </x:c>
      <x:c r="Z19" s="75" t="inlineStr">
        <x:is>
          <x:t xml:space="preserve"/>
        </x:is>
      </x:c>
    </x:row>
    <x:row r="20">
      <x:c r="A20" s="30" t="n">
        <x:v>16</x:v>
      </x:c>
      <x:c r="B20" s="79" t="n">
        <x:v>46353</x:v>
      </x:c>
      <x:c r="C20" s="30" t="inlineStr">
        <x:is>
          <x:t xml:space="preserve">5. Partnerships &amp; Revenue</x:t>
        </x:is>
      </x:c>
      <x:c r="D20" s="45" t="n">
        <x:f>Assumptions!$B$6</x:f>
        <x:v>10000</x:v>
      </x:c>
      <x:c r="E20" s="45" t="n">
        <x:f>IF('Revenue &amp; Subscriptions'!M20=0,Assumptions!$B$40,'Revenue &amp; Subscriptions'!M20)</x:f>
        <x:v>0</x:v>
      </x:c>
      <x:c r="F20" s="45" t="n">
        <x:f>IF(MOD(A20-1,4)=0,Assumptions!$B$19,0)</x:f>
        <x:v>0</x:v>
      </x:c>
      <x:c r="G20" s="45" t="n">
        <x:f>Assumptions!$B$26</x:f>
        <x:v>2500</x:v>
      </x:c>
      <x:c r="H20" s="45" t="n">
        <x:f>Assumptions!$B$27</x:f>
        <x:v>750</x:v>
      </x:c>
      <x:c r="I20" s="45" t="n">
        <x:f>Assumptions!$B$28</x:f>
        <x:v>750</x:v>
      </x:c>
      <x:c r="J20" s="45" t="n">
        <x:f>Assumptions!$B$29</x:f>
        <x:v>400</x:v>
      </x:c>
      <x:c r="K20" s="52" t="n">
        <x:v>0</x:v>
      </x:c>
      <x:c r="L20" s="52" t="n">
        <x:v>0</x:v>
      </x:c>
      <x:c r="M20" s="52" t="n">
        <x:v>0</x:v>
      </x:c>
      <x:c r="N20" s="52" t="n">
        <x:v>0</x:v>
      </x:c>
      <x:c r="O20" s="45" t="n">
        <x:f>SUM(F20:N20)</x:f>
        <x:v>4400</x:v>
      </x:c>
      <x:c r="P20" s="45" t="n">
        <x:f>MAX(0,MIN(Assumptions!$B$30,Q19+D20+E20-O20-Assumptions!$B$11))</x:f>
        <x:v>1500</x:v>
      </x:c>
      <x:c r="Q20" s="45" t="n">
        <x:f>Q19+D20+E20-O20-P20</x:f>
        <x:v>56238.40000000001</x:v>
      </x:c>
      <x:c r="R20" s="45" t="n">
        <x:f>R19+P20</x:f>
        <x:v>23012.8</x:v>
      </x:c>
      <x:c r="S20" s="45" t="n">
        <x:f>SUMIFS('Money Log'!$G$5:$G$204,'Money Log'!$C$5:$C$204,A20,'Money Log'!$D$5:$D$204,"Founder Funding")</x:f>
        <x:v>0</x:v>
      </x:c>
      <x:c r="T20" s="45" t="n">
        <x:f>SUMIFS('Money Log'!$G$5:$G$204,'Money Log'!$C$5:$C$204,A20,'Money Log'!$D$5:$D$204,"Subscription Payout")+SUMIFS('Money Log'!$G$5:$G$204,'Money Log'!$C$5:$C$204,A20,'Money Log'!$D$5:$D$204,"Other Revenue")+SUMIFS('Money Log'!$G$5:$G$204,'Money Log'!$C$5:$C$204,A20,'Money Log'!$D$5:$D$204,"Refund In")</x:f>
        <x:v>0</x:v>
      </x:c>
      <x:c r="U20" s="45" t="n">
        <x:f>SUMIFS('Money Log'!$G$5:$G$204,'Money Log'!$C$5:$C$204,A20,'Money Log'!$D$5:$D$204,"Expense")+SUMIFS('Money Log'!$G$5:$G$204,'Money Log'!$C$5:$C$204,A20,'Money Log'!$D$5:$D$204,"Refund Out")</x:f>
        <x:v>0</x:v>
      </x:c>
      <x:c r="V20" s="45" t="n">
        <x:f>SUMIFS('Money Log'!$G$5:$G$204,'Money Log'!$C$5:$C$204,A20,'Money Log'!$D$5:$D$204,"Reserve Transfer")</x:f>
        <x:v>0</x:v>
      </x:c>
      <x:c r="W20" s="45" t="str">
        <x:f>IF(AND(SUM(S20:V20)=0,W19=""),"",IF(W19="",Assumptions!$B$9,W19)+S20+T20-U20-V20)</x:f>
      </x:c>
      <x:c r="X20" s="45" t="str">
        <x:f>IF(W20="","",IF(X19="",Assumptions!$B$10,X19)+V20)</x:f>
      </x:c>
      <x:c r="Y20" s="45" t="str">
        <x:f>IF(W20="","",W20-Q20)</x:f>
      </x:c>
      <x:c r="Z20" s="76" t="inlineStr">
        <x:is>
          <x:t xml:space="preserve"/>
        </x:is>
      </x:c>
    </x:row>
    <x:row r="21">
      <x:c r="A21" s="31" t="n">
        <x:v>17</x:v>
      </x:c>
      <x:c r="B21" s="78" t="n">
        <x:v>46360</x:v>
      </x:c>
      <x:c r="C21" s="31" t="inlineStr">
        <x:is>
          <x:t xml:space="preserve">5. Partnerships &amp; Revenue</x:t>
        </x:is>
      </x:c>
      <x:c r="D21" s="47" t="n">
        <x:f>Assumptions!$B$6</x:f>
        <x:v>10000</x:v>
      </x:c>
      <x:c r="E21" s="47" t="n">
        <x:f>IF('Revenue &amp; Subscriptions'!M21=0,Assumptions!$B$40,'Revenue &amp; Subscriptions'!M21)</x:f>
        <x:v>0</x:v>
      </x:c>
      <x:c r="F21" s="47" t="n">
        <x:f>IF(MOD(A21-1,4)=0,Assumptions!$B$19,0)</x:f>
        <x:v>2587.2000000000003</x:v>
      </x:c>
      <x:c r="G21" s="47" t="n">
        <x:f>Assumptions!$B$26</x:f>
        <x:v>2500</x:v>
      </x:c>
      <x:c r="H21" s="47" t="n">
        <x:f>Assumptions!$B$27</x:f>
        <x:v>750</x:v>
      </x:c>
      <x:c r="I21" s="47" t="n">
        <x:f>Assumptions!$B$28</x:f>
        <x:v>750</x:v>
      </x:c>
      <x:c r="J21" s="47" t="n">
        <x:f>Assumptions!$B$29</x:f>
        <x:v>400</x:v>
      </x:c>
      <x:c r="K21" s="52" t="n">
        <x:v>0</x:v>
      </x:c>
      <x:c r="L21" s="52" t="n">
        <x:v>0</x:v>
      </x:c>
      <x:c r="M21" s="52" t="n">
        <x:v>0</x:v>
      </x:c>
      <x:c r="N21" s="52" t="n">
        <x:v>0</x:v>
      </x:c>
      <x:c r="O21" s="47" t="n">
        <x:f>SUM(F21:N21)</x:f>
        <x:v>6987.200000000001</x:v>
      </x:c>
      <x:c r="P21" s="47" t="n">
        <x:f>MAX(0,MIN(Assumptions!$B$30,Q20+D21+E21-O21-Assumptions!$B$11))</x:f>
        <x:v>1500</x:v>
      </x:c>
      <x:c r="Q21" s="47" t="n">
        <x:f>Q20+D21+E21-O21-P21</x:f>
        <x:v>57751.20000000001</x:v>
      </x:c>
      <x:c r="R21" s="47" t="n">
        <x:f>R20+P21</x:f>
        <x:v>24512.8</x:v>
      </x:c>
      <x:c r="S21" s="47" t="n">
        <x:f>SUMIFS('Money Log'!$G$5:$G$204,'Money Log'!$C$5:$C$204,A21,'Money Log'!$D$5:$D$204,"Founder Funding")</x:f>
        <x:v>0</x:v>
      </x:c>
      <x:c r="T21" s="47" t="n">
        <x:f>SUMIFS('Money Log'!$G$5:$G$204,'Money Log'!$C$5:$C$204,A21,'Money Log'!$D$5:$D$204,"Subscription Payout")+SUMIFS('Money Log'!$G$5:$G$204,'Money Log'!$C$5:$C$204,A21,'Money Log'!$D$5:$D$204,"Other Revenue")+SUMIFS('Money Log'!$G$5:$G$204,'Money Log'!$C$5:$C$204,A21,'Money Log'!$D$5:$D$204,"Refund In")</x:f>
        <x:v>0</x:v>
      </x:c>
      <x:c r="U21" s="47" t="n">
        <x:f>SUMIFS('Money Log'!$G$5:$G$204,'Money Log'!$C$5:$C$204,A21,'Money Log'!$D$5:$D$204,"Expense")+SUMIFS('Money Log'!$G$5:$G$204,'Money Log'!$C$5:$C$204,A21,'Money Log'!$D$5:$D$204,"Refund Out")</x:f>
        <x:v>0</x:v>
      </x:c>
      <x:c r="V21" s="47" t="n">
        <x:f>SUMIFS('Money Log'!$G$5:$G$204,'Money Log'!$C$5:$C$204,A21,'Money Log'!$D$5:$D$204,"Reserve Transfer")</x:f>
        <x:v>0</x:v>
      </x:c>
      <x:c r="W21" s="47" t="str">
        <x:f>IF(AND(SUM(S21:V21)=0,W20=""),"",IF(W20="",Assumptions!$B$9,W20)+S21+T21-U21-V21)</x:f>
      </x:c>
      <x:c r="X21" s="47" t="str">
        <x:f>IF(W21="","",IF(X20="",Assumptions!$B$10,X20)+V21)</x:f>
      </x:c>
      <x:c r="Y21" s="47" t="str">
        <x:f>IF(W21="","",W21-Q21)</x:f>
      </x:c>
      <x:c r="Z21" s="75" t="inlineStr">
        <x:is>
          <x:t xml:space="preserve"/>
        </x:is>
      </x:c>
    </x:row>
    <x:row r="22">
      <x:c r="A22" s="30" t="n">
        <x:v>18</x:v>
      </x:c>
      <x:c r="B22" s="79" t="n">
        <x:v>46367</x:v>
      </x:c>
      <x:c r="C22" s="30" t="inlineStr">
        <x:is>
          <x:t xml:space="preserve">5. Partnerships &amp; Revenue</x:t>
        </x:is>
      </x:c>
      <x:c r="D22" s="45" t="n">
        <x:f>Assumptions!$B$6</x:f>
        <x:v>10000</x:v>
      </x:c>
      <x:c r="E22" s="45" t="n">
        <x:f>IF('Revenue &amp; Subscriptions'!M22=0,Assumptions!$B$40,'Revenue &amp; Subscriptions'!M22)</x:f>
        <x:v>0</x:v>
      </x:c>
      <x:c r="F22" s="45" t="n">
        <x:f>IF(MOD(A22-1,4)=0,Assumptions!$B$19,0)</x:f>
        <x:v>0</x:v>
      </x:c>
      <x:c r="G22" s="45" t="n">
        <x:f>Assumptions!$B$26</x:f>
        <x:v>2500</x:v>
      </x:c>
      <x:c r="H22" s="45" t="n">
        <x:f>Assumptions!$B$27</x:f>
        <x:v>750</x:v>
      </x:c>
      <x:c r="I22" s="45" t="n">
        <x:f>Assumptions!$B$28</x:f>
        <x:v>750</x:v>
      </x:c>
      <x:c r="J22" s="45" t="n">
        <x:f>Assumptions!$B$29</x:f>
        <x:v>400</x:v>
      </x:c>
      <x:c r="K22" s="52" t="n">
        <x:v>0</x:v>
      </x:c>
      <x:c r="L22" s="52" t="n">
        <x:v>0</x:v>
      </x:c>
      <x:c r="M22" s="52" t="n">
        <x:v>0</x:v>
      </x:c>
      <x:c r="N22" s="52" t="n">
        <x:v>0</x:v>
      </x:c>
      <x:c r="O22" s="45" t="n">
        <x:f>SUM(F22:N22)</x:f>
        <x:v>4400</x:v>
      </x:c>
      <x:c r="P22" s="45" t="n">
        <x:f>MAX(0,MIN(Assumptions!$B$30,Q21+D22+E22-O22-Assumptions!$B$11))</x:f>
        <x:v>1500</x:v>
      </x:c>
      <x:c r="Q22" s="45" t="n">
        <x:f>Q21+D22+E22-O22-P22</x:f>
        <x:v>61851.20000000001</x:v>
      </x:c>
      <x:c r="R22" s="45" t="n">
        <x:f>R21+P22</x:f>
        <x:v>26012.8</x:v>
      </x:c>
      <x:c r="S22" s="45" t="n">
        <x:f>SUMIFS('Money Log'!$G$5:$G$204,'Money Log'!$C$5:$C$204,A22,'Money Log'!$D$5:$D$204,"Founder Funding")</x:f>
        <x:v>0</x:v>
      </x:c>
      <x:c r="T22" s="45" t="n">
        <x:f>SUMIFS('Money Log'!$G$5:$G$204,'Money Log'!$C$5:$C$204,A22,'Money Log'!$D$5:$D$204,"Subscription Payout")+SUMIFS('Money Log'!$G$5:$G$204,'Money Log'!$C$5:$C$204,A22,'Money Log'!$D$5:$D$204,"Other Revenue")+SUMIFS('Money Log'!$G$5:$G$204,'Money Log'!$C$5:$C$204,A22,'Money Log'!$D$5:$D$204,"Refund In")</x:f>
        <x:v>0</x:v>
      </x:c>
      <x:c r="U22" s="45" t="n">
        <x:f>SUMIFS('Money Log'!$G$5:$G$204,'Money Log'!$C$5:$C$204,A22,'Money Log'!$D$5:$D$204,"Expense")+SUMIFS('Money Log'!$G$5:$G$204,'Money Log'!$C$5:$C$204,A22,'Money Log'!$D$5:$D$204,"Refund Out")</x:f>
        <x:v>0</x:v>
      </x:c>
      <x:c r="V22" s="45" t="n">
        <x:f>SUMIFS('Money Log'!$G$5:$G$204,'Money Log'!$C$5:$C$204,A22,'Money Log'!$D$5:$D$204,"Reserve Transfer")</x:f>
        <x:v>0</x:v>
      </x:c>
      <x:c r="W22" s="45" t="str">
        <x:f>IF(AND(SUM(S22:V22)=0,W21=""),"",IF(W21="",Assumptions!$B$9,W21)+S22+T22-U22-V22)</x:f>
      </x:c>
      <x:c r="X22" s="45" t="str">
        <x:f>IF(W22="","",IF(X21="",Assumptions!$B$10,X21)+V22)</x:f>
      </x:c>
      <x:c r="Y22" s="45" t="str">
        <x:f>IF(W22="","",W22-Q22)</x:f>
      </x:c>
      <x:c r="Z22" s="76" t="inlineStr">
        <x:is>
          <x:t xml:space="preserve"/>
        </x:is>
      </x:c>
    </x:row>
    <x:row r="23">
      <x:c r="A23" s="31" t="n">
        <x:v>19</x:v>
      </x:c>
      <x:c r="B23" s="78" t="n">
        <x:v>46374</x:v>
      </x:c>
      <x:c r="C23" s="31" t="inlineStr">
        <x:is>
          <x:t xml:space="preserve">6. Scale What Works</x:t>
        </x:is>
      </x:c>
      <x:c r="D23" s="47" t="n">
        <x:f>Assumptions!$B$6</x:f>
        <x:v>10000</x:v>
      </x:c>
      <x:c r="E23" s="47" t="n">
        <x:f>IF('Revenue &amp; Subscriptions'!M23=0,Assumptions!$B$40,'Revenue &amp; Subscriptions'!M23)</x:f>
        <x:v>0</x:v>
      </x:c>
      <x:c r="F23" s="47" t="n">
        <x:f>IF(MOD(A23-1,4)=0,Assumptions!$B$19,0)</x:f>
        <x:v>0</x:v>
      </x:c>
      <x:c r="G23" s="47" t="n">
        <x:f>Assumptions!$B$26</x:f>
        <x:v>2500</x:v>
      </x:c>
      <x:c r="H23" s="47" t="n">
        <x:f>Assumptions!$B$27</x:f>
        <x:v>750</x:v>
      </x:c>
      <x:c r="I23" s="47" t="n">
        <x:f>Assumptions!$B$28</x:f>
        <x:v>750</x:v>
      </x:c>
      <x:c r="J23" s="47" t="n">
        <x:f>Assumptions!$B$29</x:f>
        <x:v>400</x:v>
      </x:c>
      <x:c r="K23" s="52" t="n">
        <x:v>0</x:v>
      </x:c>
      <x:c r="L23" s="52" t="n">
        <x:v>0</x:v>
      </x:c>
      <x:c r="M23" s="52" t="n">
        <x:v>0</x:v>
      </x:c>
      <x:c r="N23" s="52" t="n">
        <x:v>0</x:v>
      </x:c>
      <x:c r="O23" s="47" t="n">
        <x:f>SUM(F23:N23)</x:f>
        <x:v>4400</x:v>
      </x:c>
      <x:c r="P23" s="47" t="n">
        <x:f>MAX(0,MIN(Assumptions!$B$30,Q22+D23+E23-O23-Assumptions!$B$11))</x:f>
        <x:v>1500</x:v>
      </x:c>
      <x:c r="Q23" s="47" t="n">
        <x:f>Q22+D23+E23-O23-P23</x:f>
        <x:v>65951.20000000001</x:v>
      </x:c>
      <x:c r="R23" s="47" t="n">
        <x:f>R22+P23</x:f>
        <x:v>27512.8</x:v>
      </x:c>
      <x:c r="S23" s="47" t="n">
        <x:f>SUMIFS('Money Log'!$G$5:$G$204,'Money Log'!$C$5:$C$204,A23,'Money Log'!$D$5:$D$204,"Founder Funding")</x:f>
        <x:v>0</x:v>
      </x:c>
      <x:c r="T23" s="47" t="n">
        <x:f>SUMIFS('Money Log'!$G$5:$G$204,'Money Log'!$C$5:$C$204,A23,'Money Log'!$D$5:$D$204,"Subscription Payout")+SUMIFS('Money Log'!$G$5:$G$204,'Money Log'!$C$5:$C$204,A23,'Money Log'!$D$5:$D$204,"Other Revenue")+SUMIFS('Money Log'!$G$5:$G$204,'Money Log'!$C$5:$C$204,A23,'Money Log'!$D$5:$D$204,"Refund In")</x:f>
        <x:v>0</x:v>
      </x:c>
      <x:c r="U23" s="47" t="n">
        <x:f>SUMIFS('Money Log'!$G$5:$G$204,'Money Log'!$C$5:$C$204,A23,'Money Log'!$D$5:$D$204,"Expense")+SUMIFS('Money Log'!$G$5:$G$204,'Money Log'!$C$5:$C$204,A23,'Money Log'!$D$5:$D$204,"Refund Out")</x:f>
        <x:v>0</x:v>
      </x:c>
      <x:c r="V23" s="47" t="n">
        <x:f>SUMIFS('Money Log'!$G$5:$G$204,'Money Log'!$C$5:$C$204,A23,'Money Log'!$D$5:$D$204,"Reserve Transfer")</x:f>
        <x:v>0</x:v>
      </x:c>
      <x:c r="W23" s="47" t="str">
        <x:f>IF(AND(SUM(S23:V23)=0,W22=""),"",IF(W22="",Assumptions!$B$9,W22)+S23+T23-U23-V23)</x:f>
      </x:c>
      <x:c r="X23" s="47" t="str">
        <x:f>IF(W23="","",IF(X22="",Assumptions!$B$10,X22)+V23)</x:f>
      </x:c>
      <x:c r="Y23" s="47" t="str">
        <x:f>IF(W23="","",W23-Q23)</x:f>
      </x:c>
      <x:c r="Z23" s="75" t="inlineStr">
        <x:is>
          <x:t xml:space="preserve"/>
        </x:is>
      </x:c>
    </x:row>
    <x:row r="24">
      <x:c r="A24" s="30" t="n">
        <x:v>20</x:v>
      </x:c>
      <x:c r="B24" s="79" t="n">
        <x:v>46381</x:v>
      </x:c>
      <x:c r="C24" s="30" t="inlineStr">
        <x:is>
          <x:t xml:space="preserve">6. Scale What Works</x:t>
        </x:is>
      </x:c>
      <x:c r="D24" s="45" t="n">
        <x:f>Assumptions!$B$6</x:f>
        <x:v>10000</x:v>
      </x:c>
      <x:c r="E24" s="45" t="n">
        <x:f>IF('Revenue &amp; Subscriptions'!M24=0,Assumptions!$B$40,'Revenue &amp; Subscriptions'!M24)</x:f>
        <x:v>0</x:v>
      </x:c>
      <x:c r="F24" s="45" t="n">
        <x:f>IF(MOD(A24-1,4)=0,Assumptions!$B$19,0)</x:f>
        <x:v>0</x:v>
      </x:c>
      <x:c r="G24" s="45" t="n">
        <x:f>Assumptions!$B$26</x:f>
        <x:v>2500</x:v>
      </x:c>
      <x:c r="H24" s="45" t="n">
        <x:f>Assumptions!$B$27</x:f>
        <x:v>750</x:v>
      </x:c>
      <x:c r="I24" s="45" t="n">
        <x:f>Assumptions!$B$28</x:f>
        <x:v>750</x:v>
      </x:c>
      <x:c r="J24" s="45" t="n">
        <x:f>Assumptions!$B$29</x:f>
        <x:v>400</x:v>
      </x:c>
      <x:c r="K24" s="52" t="n">
        <x:v>0</x:v>
      </x:c>
      <x:c r="L24" s="52" t="n">
        <x:v>0</x:v>
      </x:c>
      <x:c r="M24" s="52" t="n">
        <x:v>0</x:v>
      </x:c>
      <x:c r="N24" s="52" t="n">
        <x:v>0</x:v>
      </x:c>
      <x:c r="O24" s="45" t="n">
        <x:f>SUM(F24:N24)</x:f>
        <x:v>4400</x:v>
      </x:c>
      <x:c r="P24" s="45" t="n">
        <x:f>MAX(0,MIN(Assumptions!$B$30,Q23+D24+E24-O24-Assumptions!$B$11))</x:f>
        <x:v>1500</x:v>
      </x:c>
      <x:c r="Q24" s="45" t="n">
        <x:f>Q23+D24+E24-O24-P24</x:f>
        <x:v>70051.20000000001</x:v>
      </x:c>
      <x:c r="R24" s="45" t="n">
        <x:f>R23+P24</x:f>
        <x:v>29012.8</x:v>
      </x:c>
      <x:c r="S24" s="45" t="n">
        <x:f>SUMIFS('Money Log'!$G$5:$G$204,'Money Log'!$C$5:$C$204,A24,'Money Log'!$D$5:$D$204,"Founder Funding")</x:f>
        <x:v>0</x:v>
      </x:c>
      <x:c r="T24" s="45" t="n">
        <x:f>SUMIFS('Money Log'!$G$5:$G$204,'Money Log'!$C$5:$C$204,A24,'Money Log'!$D$5:$D$204,"Subscription Payout")+SUMIFS('Money Log'!$G$5:$G$204,'Money Log'!$C$5:$C$204,A24,'Money Log'!$D$5:$D$204,"Other Revenue")+SUMIFS('Money Log'!$G$5:$G$204,'Money Log'!$C$5:$C$204,A24,'Money Log'!$D$5:$D$204,"Refund In")</x:f>
        <x:v>0</x:v>
      </x:c>
      <x:c r="U24" s="45" t="n">
        <x:f>SUMIFS('Money Log'!$G$5:$G$204,'Money Log'!$C$5:$C$204,A24,'Money Log'!$D$5:$D$204,"Expense")+SUMIFS('Money Log'!$G$5:$G$204,'Money Log'!$C$5:$C$204,A24,'Money Log'!$D$5:$D$204,"Refund Out")</x:f>
        <x:v>0</x:v>
      </x:c>
      <x:c r="V24" s="45" t="n">
        <x:f>SUMIFS('Money Log'!$G$5:$G$204,'Money Log'!$C$5:$C$204,A24,'Money Log'!$D$5:$D$204,"Reserve Transfer")</x:f>
        <x:v>0</x:v>
      </x:c>
      <x:c r="W24" s="45" t="str">
        <x:f>IF(AND(SUM(S24:V24)=0,W23=""),"",IF(W23="",Assumptions!$B$9,W23)+S24+T24-U24-V24)</x:f>
      </x:c>
      <x:c r="X24" s="45" t="str">
        <x:f>IF(W24="","",IF(X23="",Assumptions!$B$10,X23)+V24)</x:f>
      </x:c>
      <x:c r="Y24" s="45" t="str">
        <x:f>IF(W24="","",W24-Q24)</x:f>
      </x:c>
      <x:c r="Z24" s="76" t="inlineStr">
        <x:is>
          <x:t xml:space="preserve"/>
        </x:is>
      </x:c>
    </x:row>
    <x:row r="25">
      <x:c r="A25" s="31" t="n">
        <x:v>21</x:v>
      </x:c>
      <x:c r="B25" s="78" t="n">
        <x:v>46388</x:v>
      </x:c>
      <x:c r="C25" s="31" t="inlineStr">
        <x:is>
          <x:t xml:space="preserve">6. Scale What Works</x:t>
        </x:is>
      </x:c>
      <x:c r="D25" s="47" t="n">
        <x:f>Assumptions!$B$6</x:f>
        <x:v>10000</x:v>
      </x:c>
      <x:c r="E25" s="47" t="n">
        <x:f>IF('Revenue &amp; Subscriptions'!M25=0,Assumptions!$B$40,'Revenue &amp; Subscriptions'!M25)</x:f>
        <x:v>0</x:v>
      </x:c>
      <x:c r="F25" s="47" t="n">
        <x:f>IF(MOD(A25-1,4)=0,Assumptions!$B$19,0)</x:f>
        <x:v>2587.2000000000003</x:v>
      </x:c>
      <x:c r="G25" s="47" t="n">
        <x:f>Assumptions!$B$26</x:f>
        <x:v>2500</x:v>
      </x:c>
      <x:c r="H25" s="47" t="n">
        <x:f>Assumptions!$B$27</x:f>
        <x:v>750</x:v>
      </x:c>
      <x:c r="I25" s="47" t="n">
        <x:f>Assumptions!$B$28</x:f>
        <x:v>750</x:v>
      </x:c>
      <x:c r="J25" s="47" t="n">
        <x:f>Assumptions!$B$29</x:f>
        <x:v>400</x:v>
      </x:c>
      <x:c r="K25" s="52" t="n">
        <x:v>0</x:v>
      </x:c>
      <x:c r="L25" s="52" t="n">
        <x:v>0</x:v>
      </x:c>
      <x:c r="M25" s="52" t="n">
        <x:v>0</x:v>
      </x:c>
      <x:c r="N25" s="52" t="n">
        <x:v>0</x:v>
      </x:c>
      <x:c r="O25" s="47" t="n">
        <x:f>SUM(F25:N25)</x:f>
        <x:v>6987.200000000001</x:v>
      </x:c>
      <x:c r="P25" s="47" t="n">
        <x:f>MAX(0,MIN(Assumptions!$B$30,Q24+D25+E25-O25-Assumptions!$B$11))</x:f>
        <x:v>1500</x:v>
      </x:c>
      <x:c r="Q25" s="47" t="n">
        <x:f>Q24+D25+E25-O25-P25</x:f>
        <x:v>71564.00000000001</x:v>
      </x:c>
      <x:c r="R25" s="47" t="n">
        <x:f>R24+P25</x:f>
        <x:v>30512.8</x:v>
      </x:c>
      <x:c r="S25" s="47" t="n">
        <x:f>SUMIFS('Money Log'!$G$5:$G$204,'Money Log'!$C$5:$C$204,A25,'Money Log'!$D$5:$D$204,"Founder Funding")</x:f>
        <x:v>0</x:v>
      </x:c>
      <x:c r="T25" s="47" t="n">
        <x:f>SUMIFS('Money Log'!$G$5:$G$204,'Money Log'!$C$5:$C$204,A25,'Money Log'!$D$5:$D$204,"Subscription Payout")+SUMIFS('Money Log'!$G$5:$G$204,'Money Log'!$C$5:$C$204,A25,'Money Log'!$D$5:$D$204,"Other Revenue")+SUMIFS('Money Log'!$G$5:$G$204,'Money Log'!$C$5:$C$204,A25,'Money Log'!$D$5:$D$204,"Refund In")</x:f>
        <x:v>0</x:v>
      </x:c>
      <x:c r="U25" s="47" t="n">
        <x:f>SUMIFS('Money Log'!$G$5:$G$204,'Money Log'!$C$5:$C$204,A25,'Money Log'!$D$5:$D$204,"Expense")+SUMIFS('Money Log'!$G$5:$G$204,'Money Log'!$C$5:$C$204,A25,'Money Log'!$D$5:$D$204,"Refund Out")</x:f>
        <x:v>0</x:v>
      </x:c>
      <x:c r="V25" s="47" t="n">
        <x:f>SUMIFS('Money Log'!$G$5:$G$204,'Money Log'!$C$5:$C$204,A25,'Money Log'!$D$5:$D$204,"Reserve Transfer")</x:f>
        <x:v>0</x:v>
      </x:c>
      <x:c r="W25" s="47" t="str">
        <x:f>IF(AND(SUM(S25:V25)=0,W24=""),"",IF(W24="",Assumptions!$B$9,W24)+S25+T25-U25-V25)</x:f>
      </x:c>
      <x:c r="X25" s="47" t="str">
        <x:f>IF(W25="","",IF(X24="",Assumptions!$B$10,X24)+V25)</x:f>
      </x:c>
      <x:c r="Y25" s="47" t="str">
        <x:f>IF(W25="","",W25-Q25)</x:f>
      </x:c>
      <x:c r="Z25" s="75" t="inlineStr">
        <x:is>
          <x:t xml:space="preserve"/>
        </x:is>
      </x:c>
    </x:row>
    <x:row r="26">
      <x:c r="A26" s="30" t="n">
        <x:v>22</x:v>
      </x:c>
      <x:c r="B26" s="79" t="n">
        <x:v>46395</x:v>
      </x:c>
      <x:c r="C26" s="30" t="inlineStr">
        <x:is>
          <x:t xml:space="preserve">6. Scale What Works</x:t>
        </x:is>
      </x:c>
      <x:c r="D26" s="45" t="n">
        <x:f>Assumptions!$B$6</x:f>
        <x:v>10000</x:v>
      </x:c>
      <x:c r="E26" s="45" t="n">
        <x:f>IF('Revenue &amp; Subscriptions'!M26=0,Assumptions!$B$40,'Revenue &amp; Subscriptions'!M26)</x:f>
        <x:v>0</x:v>
      </x:c>
      <x:c r="F26" s="45" t="n">
        <x:f>IF(MOD(A26-1,4)=0,Assumptions!$B$19,0)</x:f>
        <x:v>0</x:v>
      </x:c>
      <x:c r="G26" s="45" t="n">
        <x:f>Assumptions!$B$26</x:f>
        <x:v>2500</x:v>
      </x:c>
      <x:c r="H26" s="45" t="n">
        <x:f>Assumptions!$B$27</x:f>
        <x:v>750</x:v>
      </x:c>
      <x:c r="I26" s="45" t="n">
        <x:f>Assumptions!$B$28</x:f>
        <x:v>750</x:v>
      </x:c>
      <x:c r="J26" s="45" t="n">
        <x:f>Assumptions!$B$29</x:f>
        <x:v>400</x:v>
      </x:c>
      <x:c r="K26" s="52" t="n">
        <x:v>0</x:v>
      </x:c>
      <x:c r="L26" s="52" t="n">
        <x:v>0</x:v>
      </x:c>
      <x:c r="M26" s="52" t="n">
        <x:v>0</x:v>
      </x:c>
      <x:c r="N26" s="52" t="n">
        <x:v>0</x:v>
      </x:c>
      <x:c r="O26" s="45" t="n">
        <x:f>SUM(F26:N26)</x:f>
        <x:v>4400</x:v>
      </x:c>
      <x:c r="P26" s="45" t="n">
        <x:f>MAX(0,MIN(Assumptions!$B$30,Q25+D26+E26-O26-Assumptions!$B$11))</x:f>
        <x:v>1500</x:v>
      </x:c>
      <x:c r="Q26" s="45" t="n">
        <x:f>Q25+D26+E26-O26-P26</x:f>
        <x:v>75664.00000000001</x:v>
      </x:c>
      <x:c r="R26" s="45" t="n">
        <x:f>R25+P26</x:f>
        <x:v>32012.8</x:v>
      </x:c>
      <x:c r="S26" s="45" t="n">
        <x:f>SUMIFS('Money Log'!$G$5:$G$204,'Money Log'!$C$5:$C$204,A26,'Money Log'!$D$5:$D$204,"Founder Funding")</x:f>
        <x:v>0</x:v>
      </x:c>
      <x:c r="T26" s="45" t="n">
        <x:f>SUMIFS('Money Log'!$G$5:$G$204,'Money Log'!$C$5:$C$204,A26,'Money Log'!$D$5:$D$204,"Subscription Payout")+SUMIFS('Money Log'!$G$5:$G$204,'Money Log'!$C$5:$C$204,A26,'Money Log'!$D$5:$D$204,"Other Revenue")+SUMIFS('Money Log'!$G$5:$G$204,'Money Log'!$C$5:$C$204,A26,'Money Log'!$D$5:$D$204,"Refund In")</x:f>
        <x:v>0</x:v>
      </x:c>
      <x:c r="U26" s="45" t="n">
        <x:f>SUMIFS('Money Log'!$G$5:$G$204,'Money Log'!$C$5:$C$204,A26,'Money Log'!$D$5:$D$204,"Expense")+SUMIFS('Money Log'!$G$5:$G$204,'Money Log'!$C$5:$C$204,A26,'Money Log'!$D$5:$D$204,"Refund Out")</x:f>
        <x:v>0</x:v>
      </x:c>
      <x:c r="V26" s="45" t="n">
        <x:f>SUMIFS('Money Log'!$G$5:$G$204,'Money Log'!$C$5:$C$204,A26,'Money Log'!$D$5:$D$204,"Reserve Transfer")</x:f>
        <x:v>0</x:v>
      </x:c>
      <x:c r="W26" s="45" t="str">
        <x:f>IF(AND(SUM(S26:V26)=0,W25=""),"",IF(W25="",Assumptions!$B$9,W25)+S26+T26-U26-V26)</x:f>
      </x:c>
      <x:c r="X26" s="45" t="str">
        <x:f>IF(W26="","",IF(X25="",Assumptions!$B$10,X25)+V26)</x:f>
      </x:c>
      <x:c r="Y26" s="45" t="str">
        <x:f>IF(W26="","",W26-Q26)</x:f>
      </x:c>
      <x:c r="Z26" s="76" t="inlineStr">
        <x:is>
          <x:t xml:space="preserve"/>
        </x:is>
      </x:c>
    </x:row>
    <x:row r="27">
      <x:c r="A27" s="31" t="n">
        <x:v>23</x:v>
      </x:c>
      <x:c r="B27" s="78" t="n">
        <x:v>46402</x:v>
      </x:c>
      <x:c r="C27" s="31" t="inlineStr">
        <x:is>
          <x:t xml:space="preserve">6. Scale What Works</x:t>
        </x:is>
      </x:c>
      <x:c r="D27" s="47" t="n">
        <x:f>Assumptions!$B$6</x:f>
        <x:v>10000</x:v>
      </x:c>
      <x:c r="E27" s="47" t="n">
        <x:f>IF('Revenue &amp; Subscriptions'!M27=0,Assumptions!$B$40,'Revenue &amp; Subscriptions'!M27)</x:f>
        <x:v>0</x:v>
      </x:c>
      <x:c r="F27" s="47" t="n">
        <x:f>IF(MOD(A27-1,4)=0,Assumptions!$B$19,0)</x:f>
        <x:v>0</x:v>
      </x:c>
      <x:c r="G27" s="47" t="n">
        <x:f>Assumptions!$B$26</x:f>
        <x:v>2500</x:v>
      </x:c>
      <x:c r="H27" s="47" t="n">
        <x:f>Assumptions!$B$27</x:f>
        <x:v>750</x:v>
      </x:c>
      <x:c r="I27" s="47" t="n">
        <x:f>Assumptions!$B$28</x:f>
        <x:v>750</x:v>
      </x:c>
      <x:c r="J27" s="47" t="n">
        <x:f>Assumptions!$B$29</x:f>
        <x:v>400</x:v>
      </x:c>
      <x:c r="K27" s="52" t="n">
        <x:v>0</x:v>
      </x:c>
      <x:c r="L27" s="52" t="n">
        <x:v>0</x:v>
      </x:c>
      <x:c r="M27" s="52" t="n">
        <x:v>0</x:v>
      </x:c>
      <x:c r="N27" s="52" t="n">
        <x:v>0</x:v>
      </x:c>
      <x:c r="O27" s="47" t="n">
        <x:f>SUM(F27:N27)</x:f>
        <x:v>4400</x:v>
      </x:c>
      <x:c r="P27" s="47" t="n">
        <x:f>MAX(0,MIN(Assumptions!$B$30,Q26+D27+E27-O27-Assumptions!$B$11))</x:f>
        <x:v>1500</x:v>
      </x:c>
      <x:c r="Q27" s="47" t="n">
        <x:f>Q26+D27+E27-O27-P27</x:f>
        <x:v>79764.00000000001</x:v>
      </x:c>
      <x:c r="R27" s="47" t="n">
        <x:f>R26+P27</x:f>
        <x:v>33512.8</x:v>
      </x:c>
      <x:c r="S27" s="47" t="n">
        <x:f>SUMIFS('Money Log'!$G$5:$G$204,'Money Log'!$C$5:$C$204,A27,'Money Log'!$D$5:$D$204,"Founder Funding")</x:f>
        <x:v>0</x:v>
      </x:c>
      <x:c r="T27" s="47" t="n">
        <x:f>SUMIFS('Money Log'!$G$5:$G$204,'Money Log'!$C$5:$C$204,A27,'Money Log'!$D$5:$D$204,"Subscription Payout")+SUMIFS('Money Log'!$G$5:$G$204,'Money Log'!$C$5:$C$204,A27,'Money Log'!$D$5:$D$204,"Other Revenue")+SUMIFS('Money Log'!$G$5:$G$204,'Money Log'!$C$5:$C$204,A27,'Money Log'!$D$5:$D$204,"Refund In")</x:f>
        <x:v>0</x:v>
      </x:c>
      <x:c r="U27" s="47" t="n">
        <x:f>SUMIFS('Money Log'!$G$5:$G$204,'Money Log'!$C$5:$C$204,A27,'Money Log'!$D$5:$D$204,"Expense")+SUMIFS('Money Log'!$G$5:$G$204,'Money Log'!$C$5:$C$204,A27,'Money Log'!$D$5:$D$204,"Refund Out")</x:f>
        <x:v>0</x:v>
      </x:c>
      <x:c r="V27" s="47" t="n">
        <x:f>SUMIFS('Money Log'!$G$5:$G$204,'Money Log'!$C$5:$C$204,A27,'Money Log'!$D$5:$D$204,"Reserve Transfer")</x:f>
        <x:v>0</x:v>
      </x:c>
      <x:c r="W27" s="47" t="str">
        <x:f>IF(AND(SUM(S27:V27)=0,W26=""),"",IF(W26="",Assumptions!$B$9,W26)+S27+T27-U27-V27)</x:f>
      </x:c>
      <x:c r="X27" s="47" t="str">
        <x:f>IF(W27="","",IF(X26="",Assumptions!$B$10,X26)+V27)</x:f>
      </x:c>
      <x:c r="Y27" s="47" t="str">
        <x:f>IF(W27="","",W27-Q27)</x:f>
      </x:c>
      <x:c r="Z27" s="75" t="inlineStr">
        <x:is>
          <x:t xml:space="preserve"/>
        </x:is>
      </x:c>
    </x:row>
    <x:row r="28">
      <x:c r="A28" s="30" t="n">
        <x:v>24</x:v>
      </x:c>
      <x:c r="B28" s="79" t="n">
        <x:v>46409</x:v>
      </x:c>
      <x:c r="C28" s="30" t="inlineStr">
        <x:is>
          <x:t xml:space="preserve">6. Scale What Works</x:t>
        </x:is>
      </x:c>
      <x:c r="D28" s="45" t="n">
        <x:f>Assumptions!$B$6</x:f>
        <x:v>10000</x:v>
      </x:c>
      <x:c r="E28" s="45" t="n">
        <x:f>IF('Revenue &amp; Subscriptions'!M28=0,Assumptions!$B$40,'Revenue &amp; Subscriptions'!M28)</x:f>
        <x:v>0</x:v>
      </x:c>
      <x:c r="F28" s="45" t="n">
        <x:f>IF(MOD(A28-1,4)=0,Assumptions!$B$19,0)</x:f>
        <x:v>0</x:v>
      </x:c>
      <x:c r="G28" s="45" t="n">
        <x:f>Assumptions!$B$26</x:f>
        <x:v>2500</x:v>
      </x:c>
      <x:c r="H28" s="45" t="n">
        <x:f>Assumptions!$B$27</x:f>
        <x:v>750</x:v>
      </x:c>
      <x:c r="I28" s="45" t="n">
        <x:f>Assumptions!$B$28</x:f>
        <x:v>750</x:v>
      </x:c>
      <x:c r="J28" s="45" t="n">
        <x:f>Assumptions!$B$29</x:f>
        <x:v>400</x:v>
      </x:c>
      <x:c r="K28" s="52" t="n">
        <x:v>0</x:v>
      </x:c>
      <x:c r="L28" s="52" t="n">
        <x:v>0</x:v>
      </x:c>
      <x:c r="M28" s="52" t="n">
        <x:v>0</x:v>
      </x:c>
      <x:c r="N28" s="52" t="n">
        <x:v>0</x:v>
      </x:c>
      <x:c r="O28" s="45" t="n">
        <x:f>SUM(F28:N28)</x:f>
        <x:v>4400</x:v>
      </x:c>
      <x:c r="P28" s="45" t="n">
        <x:f>MAX(0,MIN(Assumptions!$B$30,Q27+D28+E28-O28-Assumptions!$B$11))</x:f>
        <x:v>1500</x:v>
      </x:c>
      <x:c r="Q28" s="45" t="n">
        <x:f>Q27+D28+E28-O28-P28</x:f>
        <x:v>83864.00000000001</x:v>
      </x:c>
      <x:c r="R28" s="45" t="n">
        <x:f>R27+P28</x:f>
        <x:v>35012.8</x:v>
      </x:c>
      <x:c r="S28" s="45" t="n">
        <x:f>SUMIFS('Money Log'!$G$5:$G$204,'Money Log'!$C$5:$C$204,A28,'Money Log'!$D$5:$D$204,"Founder Funding")</x:f>
        <x:v>0</x:v>
      </x:c>
      <x:c r="T28" s="45" t="n">
        <x:f>SUMIFS('Money Log'!$G$5:$G$204,'Money Log'!$C$5:$C$204,A28,'Money Log'!$D$5:$D$204,"Subscription Payout")+SUMIFS('Money Log'!$G$5:$G$204,'Money Log'!$C$5:$C$204,A28,'Money Log'!$D$5:$D$204,"Other Revenue")+SUMIFS('Money Log'!$G$5:$G$204,'Money Log'!$C$5:$C$204,A28,'Money Log'!$D$5:$D$204,"Refund In")</x:f>
        <x:v>0</x:v>
      </x:c>
      <x:c r="U28" s="45" t="n">
        <x:f>SUMIFS('Money Log'!$G$5:$G$204,'Money Log'!$C$5:$C$204,A28,'Money Log'!$D$5:$D$204,"Expense")+SUMIFS('Money Log'!$G$5:$G$204,'Money Log'!$C$5:$C$204,A28,'Money Log'!$D$5:$D$204,"Refund Out")</x:f>
        <x:v>0</x:v>
      </x:c>
      <x:c r="V28" s="45" t="n">
        <x:f>SUMIFS('Money Log'!$G$5:$G$204,'Money Log'!$C$5:$C$204,A28,'Money Log'!$D$5:$D$204,"Reserve Transfer")</x:f>
        <x:v>0</x:v>
      </x:c>
      <x:c r="W28" s="45" t="str">
        <x:f>IF(AND(SUM(S28:V28)=0,W27=""),"",IF(W27="",Assumptions!$B$9,W27)+S28+T28-U28-V28)</x:f>
      </x:c>
      <x:c r="X28" s="45" t="str">
        <x:f>IF(W28="","",IF(X27="",Assumptions!$B$10,X27)+V28)</x:f>
      </x:c>
      <x:c r="Y28" s="45" t="str">
        <x:f>IF(W28="","",W28-Q28)</x:f>
      </x:c>
      <x:c r="Z28" s="76" t="inlineStr">
        <x:is>
          <x:t xml:space="preserve"/>
        </x:is>
      </x:c>
    </x:row>
  </x:sheetData>
  <x:mergeCells>
    <x:mergeCell ref="A1:Z1"/>
    <x:mergeCell ref="A2:Z2"/>
  </x:mergeCells>
  <x:conditionalFormatting sqref="W5:W28">
    <x:cfRule type="cellIs" dxfId="3" priority="1" operator="lessThan">
      <x:formula>Assumptions!$B$11</x:formula>
    </x:cfRule>
  </x:conditionalFormatting>
  <x:conditionalFormatting sqref="Y5:Y28">
    <x:cfRule type="cellIs" dxfId="4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5e9dbbbc794b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8" customWidth="1"/>
    <x:col min="4" max="4" width="22" customWidth="1"/>
    <x:col min="5" max="5" width="18" customWidth="1"/>
    <x:col min="6" max="6" width="38" customWidth="1"/>
    <x:col min="7" max="7" width="15" customWidth="1"/>
    <x:col min="8" max="8" width="15" customWidth="1"/>
    <x:col min="9" max="9" width="22" customWidth="1"/>
    <x:col min="10" max="10" width="14" customWidth="1"/>
    <x:col min="11" max="11" width="11" customWidth="1"/>
    <x:col min="12" max="12" width="36" customWidth="1"/>
  </x:cols>
  <x:sheetData>
    <x:row r="1" ht="30" customHeight="1">
      <x:c r="A1" s="26" t="inlineStr">
        <x:is>
          <x:t xml:space="preserve">MONEY LOG</x:t>
        </x:is>
      </x:c>
    </x:row>
    <x:row r="2" ht="34" customHeight="1">
      <x:c r="A2" s="27" t="inlineStr">
        <x:is>
          <x:t xml:space="preserve">Log every cash movement once. Use positive amounts; Type tells the cash model whether it is an inflow, expense or reserve transfer.</x:t>
        </x:is>
      </x:c>
    </x:row>
    <x:row r="3"/>
    <x:row r="4" ht="38" customHeight="1">
      <x:c r="A4" s="29" t="inlineStr">
        <x:is>
          <x:t xml:space="preserve">Transaction ID</x:t>
        </x:is>
      </x:c>
      <x:c r="B4" s="29" t="inlineStr">
        <x:is>
          <x:t xml:space="preserve">Date</x:t>
        </x:is>
      </x:c>
      <x:c r="C4" s="29" t="inlineStr">
        <x:is>
          <x:t xml:space="preserve">Week #</x:t>
        </x:is>
      </x:c>
      <x:c r="D4" s="29" t="inlineStr">
        <x:is>
          <x:t xml:space="preserve">Type</x:t>
        </x:is>
      </x:c>
      <x:c r="E4" s="29" t="inlineStr">
        <x:is>
          <x:t xml:space="preserve">Category</x:t>
        </x:is>
      </x:c>
      <x:c r="F4" s="29" t="inlineStr">
        <x:is>
          <x:t xml:space="preserve">Description</x:t>
        </x:is>
      </x:c>
      <x:c r="G4" s="29" t="inlineStr">
        <x:is>
          <x:t xml:space="preserve">Amount KES</x:t>
        </x:is>
      </x:c>
      <x:c r="H4" s="29" t="inlineStr">
        <x:is>
          <x:t xml:space="preserve">Payment Method</x:t>
        </x:is>
      </x:c>
      <x:c r="I4" s="29" t="inlineStr">
        <x:is>
          <x:t xml:space="preserve">Receipt / Reference</x:t>
        </x:is>
      </x:c>
      <x:c r="J4" s="29" t="inlineStr">
        <x:is>
          <x:t xml:space="preserve">Linked ID</x:t>
        </x:is>
      </x:c>
      <x:c r="K4" s="29" t="inlineStr">
        <x:is>
          <x:t xml:space="preserve">Cleared?</x:t>
        </x:is>
      </x:c>
      <x:c r="L4" s="29" t="inlineStr">
        <x:is>
          <x:t xml:space="preserve">Notes</x:t>
        </x:is>
      </x:c>
    </x:row>
    <x:row r="5">
      <x:c r="A5" s="31" t="inlineStr">
        <x:is>
          <x:t xml:space="preserve">TXN001</x:t>
        </x:is>
      </x:c>
      <x:c r="B5" s="80" t="inlineStr">
        <x:is>
          <x:t xml:space="preserve"/>
        </x:is>
      </x:c>
      <x:c r="C5" s="81" t="str">
        <x:f>IF(B5="","",MAX(1,MIN(24,INT((B5-Assumptions!$B$7)/7)+1)))</x:f>
      </x:c>
      <x:c r="D5" s="75" t="inlineStr">
        <x:is>
          <x:t xml:space="preserve"/>
        </x:is>
      </x:c>
      <x:c r="E5" s="75" t="inlineStr">
        <x:is>
          <x:t xml:space="preserve"/>
        </x:is>
      </x:c>
      <x:c r="F5" s="75" t="inlineStr">
        <x:is>
          <x:t xml:space="preserve"/>
        </x:is>
      </x:c>
      <x:c r="G5" s="52" t="n">
        <x:v>0</x:v>
      </x:c>
      <x:c r="H5" s="75" t="inlineStr">
        <x:is>
          <x:t xml:space="preserve"/>
        </x:is>
      </x:c>
      <x:c r="I5" s="75" t="inlineStr">
        <x:is>
          <x:t xml:space="preserve"/>
        </x:is>
      </x:c>
      <x:c r="J5" s="75" t="inlineStr">
        <x:is>
          <x:t xml:space="preserve"/>
        </x:is>
      </x:c>
      <x:c r="K5" s="75" t="inlineStr">
        <x:is>
          <x:t xml:space="preserve">No</x:t>
        </x:is>
      </x:c>
      <x:c r="L5" s="75" t="inlineStr">
        <x:is>
          <x:t xml:space="preserve"/>
        </x:is>
      </x:c>
    </x:row>
    <x:row r="6">
      <x:c r="A6" s="30" t="inlineStr">
        <x:is>
          <x:t xml:space="preserve">TXN002</x:t>
        </x:is>
      </x:c>
      <x:c r="B6" s="82" t="inlineStr">
        <x:is>
          <x:t xml:space="preserve"/>
        </x:is>
      </x:c>
      <x:c r="C6" s="83" t="str">
        <x:f>IF(B6="","",MAX(1,MIN(24,INT((B6-Assumptions!$B$7)/7)+1)))</x:f>
      </x:c>
      <x:c r="D6" s="76" t="inlineStr">
        <x:is>
          <x:t xml:space="preserve"/>
        </x:is>
      </x:c>
      <x:c r="E6" s="76" t="inlineStr">
        <x:is>
          <x:t xml:space="preserve"/>
        </x:is>
      </x:c>
      <x:c r="F6" s="76" t="inlineStr">
        <x:is>
          <x:t xml:space="preserve"/>
        </x:is>
      </x:c>
      <x:c r="G6" s="52" t="n">
        <x:v>0</x:v>
      </x:c>
      <x:c r="H6" s="76" t="inlineStr">
        <x:is>
          <x:t xml:space="preserve"/>
        </x:is>
      </x:c>
      <x:c r="I6" s="76" t="inlineStr">
        <x:is>
          <x:t xml:space="preserve"/>
        </x:is>
      </x:c>
      <x:c r="J6" s="76" t="inlineStr">
        <x:is>
          <x:t xml:space="preserve"/>
        </x:is>
      </x:c>
      <x:c r="K6" s="76" t="inlineStr">
        <x:is>
          <x:t xml:space="preserve">No</x:t>
        </x:is>
      </x:c>
      <x:c r="L6" s="76" t="inlineStr">
        <x:is>
          <x:t xml:space="preserve"/>
        </x:is>
      </x:c>
    </x:row>
    <x:row r="7">
      <x:c r="A7" s="31" t="inlineStr">
        <x:is>
          <x:t xml:space="preserve">TXN003</x:t>
        </x:is>
      </x:c>
      <x:c r="B7" s="80" t="inlineStr">
        <x:is>
          <x:t xml:space="preserve"/>
        </x:is>
      </x:c>
      <x:c r="C7" s="81" t="str">
        <x:f>IF(B7="","",MAX(1,MIN(24,INT((B7-Assumptions!$B$7)/7)+1)))</x:f>
      </x:c>
      <x:c r="D7" s="75" t="inlineStr">
        <x:is>
          <x:t xml:space="preserve"/>
        </x:is>
      </x:c>
      <x:c r="E7" s="75" t="inlineStr">
        <x:is>
          <x:t xml:space="preserve"/>
        </x:is>
      </x:c>
      <x:c r="F7" s="75" t="inlineStr">
        <x:is>
          <x:t xml:space="preserve"/>
        </x:is>
      </x:c>
      <x:c r="G7" s="52" t="n">
        <x:v>0</x:v>
      </x:c>
      <x:c r="H7" s="75" t="inlineStr">
        <x:is>
          <x:t xml:space="preserve"/>
        </x:is>
      </x:c>
      <x:c r="I7" s="75" t="inlineStr">
        <x:is>
          <x:t xml:space="preserve"/>
        </x:is>
      </x:c>
      <x:c r="J7" s="75" t="inlineStr">
        <x:is>
          <x:t xml:space="preserve"/>
        </x:is>
      </x:c>
      <x:c r="K7" s="75" t="inlineStr">
        <x:is>
          <x:t xml:space="preserve">No</x:t>
        </x:is>
      </x:c>
      <x:c r="L7" s="75" t="inlineStr">
        <x:is>
          <x:t xml:space="preserve"/>
        </x:is>
      </x:c>
    </x:row>
    <x:row r="8">
      <x:c r="A8" s="30" t="inlineStr">
        <x:is>
          <x:t xml:space="preserve">TXN004</x:t>
        </x:is>
      </x:c>
      <x:c r="B8" s="82" t="inlineStr">
        <x:is>
          <x:t xml:space="preserve"/>
        </x:is>
      </x:c>
      <x:c r="C8" s="83" t="str">
        <x:f>IF(B8="","",MAX(1,MIN(24,INT((B8-Assumptions!$B$7)/7)+1)))</x:f>
      </x:c>
      <x:c r="D8" s="76" t="inlineStr">
        <x:is>
          <x:t xml:space="preserve"/>
        </x:is>
      </x:c>
      <x:c r="E8" s="76" t="inlineStr">
        <x:is>
          <x:t xml:space="preserve"/>
        </x:is>
      </x:c>
      <x:c r="F8" s="76" t="inlineStr">
        <x:is>
          <x:t xml:space="preserve"/>
        </x:is>
      </x:c>
      <x:c r="G8" s="52" t="n">
        <x:v>0</x:v>
      </x:c>
      <x:c r="H8" s="76" t="inlineStr">
        <x:is>
          <x:t xml:space="preserve"/>
        </x:is>
      </x:c>
      <x:c r="I8" s="76" t="inlineStr">
        <x:is>
          <x:t xml:space="preserve"/>
        </x:is>
      </x:c>
      <x:c r="J8" s="76" t="inlineStr">
        <x:is>
          <x:t xml:space="preserve"/>
        </x:is>
      </x:c>
      <x:c r="K8" s="76" t="inlineStr">
        <x:is>
          <x:t xml:space="preserve">No</x:t>
        </x:is>
      </x:c>
      <x:c r="L8" s="76" t="inlineStr">
        <x:is>
          <x:t xml:space="preserve"/>
        </x:is>
      </x:c>
    </x:row>
    <x:row r="9">
      <x:c r="A9" s="31" t="inlineStr">
        <x:is>
          <x:t xml:space="preserve">TXN005</x:t>
        </x:is>
      </x:c>
      <x:c r="B9" s="80" t="inlineStr">
        <x:is>
          <x:t xml:space="preserve"/>
        </x:is>
      </x:c>
      <x:c r="C9" s="81" t="str">
        <x:f>IF(B9="","",MAX(1,MIN(24,INT((B9-Assumptions!$B$7)/7)+1)))</x:f>
      </x:c>
      <x:c r="D9" s="75" t="inlineStr">
        <x:is>
          <x:t xml:space="preserve"/>
        </x:is>
      </x:c>
      <x:c r="E9" s="75" t="inlineStr">
        <x:is>
          <x:t xml:space="preserve"/>
        </x:is>
      </x:c>
      <x:c r="F9" s="75" t="inlineStr">
        <x:is>
          <x:t xml:space="preserve"/>
        </x:is>
      </x:c>
      <x:c r="G9" s="52" t="n">
        <x:v>0</x:v>
      </x:c>
      <x:c r="H9" s="75" t="inlineStr">
        <x:is>
          <x:t xml:space="preserve"/>
        </x:is>
      </x:c>
      <x:c r="I9" s="75" t="inlineStr">
        <x:is>
          <x:t xml:space="preserve"/>
        </x:is>
      </x:c>
      <x:c r="J9" s="75" t="inlineStr">
        <x:is>
          <x:t xml:space="preserve"/>
        </x:is>
      </x:c>
      <x:c r="K9" s="75" t="inlineStr">
        <x:is>
          <x:t xml:space="preserve">No</x:t>
        </x:is>
      </x:c>
      <x:c r="L9" s="75" t="inlineStr">
        <x:is>
          <x:t xml:space="preserve"/>
        </x:is>
      </x:c>
    </x:row>
    <x:row r="10">
      <x:c r="A10" s="30" t="inlineStr">
        <x:is>
          <x:t xml:space="preserve">TXN006</x:t>
        </x:is>
      </x:c>
      <x:c r="B10" s="82" t="inlineStr">
        <x:is>
          <x:t xml:space="preserve"/>
        </x:is>
      </x:c>
      <x:c r="C10" s="83" t="str">
        <x:f>IF(B10="","",MAX(1,MIN(24,INT((B10-Assumptions!$B$7)/7)+1)))</x:f>
      </x:c>
      <x:c r="D10" s="76" t="inlineStr">
        <x:is>
          <x:t xml:space="preserve"/>
        </x:is>
      </x:c>
      <x:c r="E10" s="76" t="inlineStr">
        <x:is>
          <x:t xml:space="preserve"/>
        </x:is>
      </x:c>
      <x:c r="F10" s="76" t="inlineStr">
        <x:is>
          <x:t xml:space="preserve"/>
        </x:is>
      </x:c>
      <x:c r="G10" s="52" t="n">
        <x:v>0</x:v>
      </x:c>
      <x:c r="H10" s="76" t="inlineStr">
        <x:is>
          <x:t xml:space="preserve"/>
        </x:is>
      </x:c>
      <x:c r="I10" s="76" t="inlineStr">
        <x:is>
          <x:t xml:space="preserve"/>
        </x:is>
      </x:c>
      <x:c r="J10" s="76" t="inlineStr">
        <x:is>
          <x:t xml:space="preserve"/>
        </x:is>
      </x:c>
      <x:c r="K10" s="76" t="inlineStr">
        <x:is>
          <x:t xml:space="preserve">No</x:t>
        </x:is>
      </x:c>
      <x:c r="L10" s="76" t="inlineStr">
        <x:is>
          <x:t xml:space="preserve"/>
        </x:is>
      </x:c>
    </x:row>
    <x:row r="11">
      <x:c r="A11" s="31" t="inlineStr">
        <x:is>
          <x:t xml:space="preserve">TXN007</x:t>
        </x:is>
      </x:c>
      <x:c r="B11" s="80" t="inlineStr">
        <x:is>
          <x:t xml:space="preserve"/>
        </x:is>
      </x:c>
      <x:c r="C11" s="81" t="str">
        <x:f>IF(B11="","",MAX(1,MIN(24,INT((B11-Assumptions!$B$7)/7)+1)))</x:f>
      </x:c>
      <x:c r="D11" s="75" t="inlineStr">
        <x:is>
          <x:t xml:space="preserve"/>
        </x:is>
      </x:c>
      <x:c r="E11" s="75" t="inlineStr">
        <x:is>
          <x:t xml:space="preserve"/>
        </x:is>
      </x:c>
      <x:c r="F11" s="75" t="inlineStr">
        <x:is>
          <x:t xml:space="preserve"/>
        </x:is>
      </x:c>
      <x:c r="G11" s="52" t="n">
        <x:v>0</x:v>
      </x:c>
      <x:c r="H11" s="75" t="inlineStr">
        <x:is>
          <x:t xml:space="preserve"/>
        </x:is>
      </x:c>
      <x:c r="I11" s="75" t="inlineStr">
        <x:is>
          <x:t xml:space="preserve"/>
        </x:is>
      </x:c>
      <x:c r="J11" s="75" t="inlineStr">
        <x:is>
          <x:t xml:space="preserve"/>
        </x:is>
      </x:c>
      <x:c r="K11" s="75" t="inlineStr">
        <x:is>
          <x:t xml:space="preserve">No</x:t>
        </x:is>
      </x:c>
      <x:c r="L11" s="75" t="inlineStr">
        <x:is>
          <x:t xml:space="preserve"/>
        </x:is>
      </x:c>
    </x:row>
    <x:row r="12">
      <x:c r="A12" s="30" t="inlineStr">
        <x:is>
          <x:t xml:space="preserve">TXN008</x:t>
        </x:is>
      </x:c>
      <x:c r="B12" s="82" t="inlineStr">
        <x:is>
          <x:t xml:space="preserve"/>
        </x:is>
      </x:c>
      <x:c r="C12" s="83" t="str">
        <x:f>IF(B12="","",MAX(1,MIN(24,INT((B12-Assumptions!$B$7)/7)+1)))</x:f>
      </x:c>
      <x:c r="D12" s="76" t="inlineStr">
        <x:is>
          <x:t xml:space="preserve"/>
        </x:is>
      </x:c>
      <x:c r="E12" s="76" t="inlineStr">
        <x:is>
          <x:t xml:space="preserve"/>
        </x:is>
      </x:c>
      <x:c r="F12" s="76" t="inlineStr">
        <x:is>
          <x:t xml:space="preserve"/>
        </x:is>
      </x:c>
      <x:c r="G12" s="52" t="n">
        <x:v>0</x:v>
      </x:c>
      <x:c r="H12" s="76" t="inlineStr">
        <x:is>
          <x:t xml:space="preserve"/>
        </x:is>
      </x:c>
      <x:c r="I12" s="76" t="inlineStr">
        <x:is>
          <x:t xml:space="preserve"/>
        </x:is>
      </x:c>
      <x:c r="J12" s="76" t="inlineStr">
        <x:is>
          <x:t xml:space="preserve"/>
        </x:is>
      </x:c>
      <x:c r="K12" s="76" t="inlineStr">
        <x:is>
          <x:t xml:space="preserve">No</x:t>
        </x:is>
      </x:c>
      <x:c r="L12" s="76" t="inlineStr">
        <x:is>
          <x:t xml:space="preserve"/>
        </x:is>
      </x:c>
    </x:row>
    <x:row r="13">
      <x:c r="A13" s="31" t="inlineStr">
        <x:is>
          <x:t xml:space="preserve">TXN009</x:t>
        </x:is>
      </x:c>
      <x:c r="B13" s="80" t="inlineStr">
        <x:is>
          <x:t xml:space="preserve"/>
        </x:is>
      </x:c>
      <x:c r="C13" s="81" t="str">
        <x:f>IF(B13="","",MAX(1,MIN(24,INT((B13-Assumptions!$B$7)/7)+1)))</x:f>
      </x:c>
      <x:c r="D13" s="75" t="inlineStr">
        <x:is>
          <x:t xml:space="preserve"/>
        </x:is>
      </x:c>
      <x:c r="E13" s="75" t="inlineStr">
        <x:is>
          <x:t xml:space="preserve"/>
        </x:is>
      </x:c>
      <x:c r="F13" s="75" t="inlineStr">
        <x:is>
          <x:t xml:space="preserve"/>
        </x:is>
      </x:c>
      <x:c r="G13" s="52" t="n">
        <x:v>0</x:v>
      </x:c>
      <x:c r="H13" s="75" t="inlineStr">
        <x:is>
          <x:t xml:space="preserve"/>
        </x:is>
      </x:c>
      <x:c r="I13" s="75" t="inlineStr">
        <x:is>
          <x:t xml:space="preserve"/>
        </x:is>
      </x:c>
      <x:c r="J13" s="75" t="inlineStr">
        <x:is>
          <x:t xml:space="preserve"/>
        </x:is>
      </x:c>
      <x:c r="K13" s="75" t="inlineStr">
        <x:is>
          <x:t xml:space="preserve">No</x:t>
        </x:is>
      </x:c>
      <x:c r="L13" s="75" t="inlineStr">
        <x:is>
          <x:t xml:space="preserve"/>
        </x:is>
      </x:c>
    </x:row>
    <x:row r="14">
      <x:c r="A14" s="30" t="inlineStr">
        <x:is>
          <x:t xml:space="preserve">TXN010</x:t>
        </x:is>
      </x:c>
      <x:c r="B14" s="82" t="inlineStr">
        <x:is>
          <x:t xml:space="preserve"/>
        </x:is>
      </x:c>
      <x:c r="C14" s="83" t="str">
        <x:f>IF(B14="","",MAX(1,MIN(24,INT((B14-Assumptions!$B$7)/7)+1)))</x:f>
      </x:c>
      <x:c r="D14" s="76" t="inlineStr">
        <x:is>
          <x:t xml:space="preserve"/>
        </x:is>
      </x:c>
      <x:c r="E14" s="76" t="inlineStr">
        <x:is>
          <x:t xml:space="preserve"/>
        </x:is>
      </x:c>
      <x:c r="F14" s="76" t="inlineStr">
        <x:is>
          <x:t xml:space="preserve"/>
        </x:is>
      </x:c>
      <x:c r="G14" s="52" t="n">
        <x:v>0</x:v>
      </x:c>
      <x:c r="H14" s="76" t="inlineStr">
        <x:is>
          <x:t xml:space="preserve"/>
        </x:is>
      </x:c>
      <x:c r="I14" s="76" t="inlineStr">
        <x:is>
          <x:t xml:space="preserve"/>
        </x:is>
      </x:c>
      <x:c r="J14" s="76" t="inlineStr">
        <x:is>
          <x:t xml:space="preserve"/>
        </x:is>
      </x:c>
      <x:c r="K14" s="76" t="inlineStr">
        <x:is>
          <x:t xml:space="preserve">No</x:t>
        </x:is>
      </x:c>
      <x:c r="L14" s="76" t="inlineStr">
        <x:is>
          <x:t xml:space="preserve"/>
        </x:is>
      </x:c>
    </x:row>
    <x:row r="15">
      <x:c r="A15" s="31" t="inlineStr">
        <x:is>
          <x:t xml:space="preserve">TXN011</x:t>
        </x:is>
      </x:c>
      <x:c r="B15" s="80" t="inlineStr">
        <x:is>
          <x:t xml:space="preserve"/>
        </x:is>
      </x:c>
      <x:c r="C15" s="81" t="str">
        <x:f>IF(B15="","",MAX(1,MIN(24,INT((B15-Assumptions!$B$7)/7)+1)))</x:f>
      </x:c>
      <x:c r="D15" s="75" t="inlineStr">
        <x:is>
          <x:t xml:space="preserve"/>
        </x:is>
      </x:c>
      <x:c r="E15" s="75" t="inlineStr">
        <x:is>
          <x:t xml:space="preserve"/>
        </x:is>
      </x:c>
      <x:c r="F15" s="75" t="inlineStr">
        <x:is>
          <x:t xml:space="preserve"/>
        </x:is>
      </x:c>
      <x:c r="G15" s="52" t="n">
        <x:v>0</x:v>
      </x:c>
      <x:c r="H15" s="75" t="inlineStr">
        <x:is>
          <x:t xml:space="preserve"/>
        </x:is>
      </x:c>
      <x:c r="I15" s="75" t="inlineStr">
        <x:is>
          <x:t xml:space="preserve"/>
        </x:is>
      </x:c>
      <x:c r="J15" s="75" t="inlineStr">
        <x:is>
          <x:t xml:space="preserve"/>
        </x:is>
      </x:c>
      <x:c r="K15" s="75" t="inlineStr">
        <x:is>
          <x:t xml:space="preserve">No</x:t>
        </x:is>
      </x:c>
      <x:c r="L15" s="75" t="inlineStr">
        <x:is>
          <x:t xml:space="preserve"/>
        </x:is>
      </x:c>
    </x:row>
    <x:row r="16">
      <x:c r="A16" s="30" t="inlineStr">
        <x:is>
          <x:t xml:space="preserve">TXN012</x:t>
        </x:is>
      </x:c>
      <x:c r="B16" s="82" t="inlineStr">
        <x:is>
          <x:t xml:space="preserve"/>
        </x:is>
      </x:c>
      <x:c r="C16" s="83" t="str">
        <x:f>IF(B16="","",MAX(1,MIN(24,INT((B16-Assumptions!$B$7)/7)+1)))</x:f>
      </x:c>
      <x:c r="D16" s="76" t="inlineStr">
        <x:is>
          <x:t xml:space="preserve"/>
        </x:is>
      </x:c>
      <x:c r="E16" s="76" t="inlineStr">
        <x:is>
          <x:t xml:space="preserve"/>
        </x:is>
      </x:c>
      <x:c r="F16" s="76" t="inlineStr">
        <x:is>
          <x:t xml:space="preserve"/>
        </x:is>
      </x:c>
      <x:c r="G16" s="52" t="n">
        <x:v>0</x:v>
      </x:c>
      <x:c r="H16" s="76" t="inlineStr">
        <x:is>
          <x:t xml:space="preserve"/>
        </x:is>
      </x:c>
      <x:c r="I16" s="76" t="inlineStr">
        <x:is>
          <x:t xml:space="preserve"/>
        </x:is>
      </x:c>
      <x:c r="J16" s="76" t="inlineStr">
        <x:is>
          <x:t xml:space="preserve"/>
        </x:is>
      </x:c>
      <x:c r="K16" s="76" t="inlineStr">
        <x:is>
          <x:t xml:space="preserve">No</x:t>
        </x:is>
      </x:c>
      <x:c r="L16" s="76" t="inlineStr">
        <x:is>
          <x:t xml:space="preserve"/>
        </x:is>
      </x:c>
    </x:row>
    <x:row r="17">
      <x:c r="A17" s="31" t="inlineStr">
        <x:is>
          <x:t xml:space="preserve">TXN013</x:t>
        </x:is>
      </x:c>
      <x:c r="B17" s="80" t="inlineStr">
        <x:is>
          <x:t xml:space="preserve"/>
        </x:is>
      </x:c>
      <x:c r="C17" s="81" t="str">
        <x:f>IF(B17="","",MAX(1,MIN(24,INT((B17-Assumptions!$B$7)/7)+1)))</x:f>
      </x:c>
      <x:c r="D17" s="75" t="inlineStr">
        <x:is>
          <x:t xml:space="preserve"/>
        </x:is>
      </x:c>
      <x:c r="E17" s="75" t="inlineStr">
        <x:is>
          <x:t xml:space="preserve"/>
        </x:is>
      </x:c>
      <x:c r="F17" s="75" t="inlineStr">
        <x:is>
          <x:t xml:space="preserve"/>
        </x:is>
      </x:c>
      <x:c r="G17" s="52" t="n">
        <x:v>0</x:v>
      </x:c>
      <x:c r="H17" s="75" t="inlineStr">
        <x:is>
          <x:t xml:space="preserve"/>
        </x:is>
      </x:c>
      <x:c r="I17" s="75" t="inlineStr">
        <x:is>
          <x:t xml:space="preserve"/>
        </x:is>
      </x:c>
      <x:c r="J17" s="75" t="inlineStr">
        <x:is>
          <x:t xml:space="preserve"/>
        </x:is>
      </x:c>
      <x:c r="K17" s="75" t="inlineStr">
        <x:is>
          <x:t xml:space="preserve">No</x:t>
        </x:is>
      </x:c>
      <x:c r="L17" s="75" t="inlineStr">
        <x:is>
          <x:t xml:space="preserve"/>
        </x:is>
      </x:c>
    </x:row>
    <x:row r="18">
      <x:c r="A18" s="30" t="inlineStr">
        <x:is>
          <x:t xml:space="preserve">TXN014</x:t>
        </x:is>
      </x:c>
      <x:c r="B18" s="82" t="inlineStr">
        <x:is>
          <x:t xml:space="preserve"/>
        </x:is>
      </x:c>
      <x:c r="C18" s="83" t="str">
        <x:f>IF(B18="","",MAX(1,MIN(24,INT((B18-Assumptions!$B$7)/7)+1)))</x:f>
      </x:c>
      <x:c r="D18" s="76" t="inlineStr">
        <x:is>
          <x:t xml:space="preserve"/>
        </x:is>
      </x:c>
      <x:c r="E18" s="76" t="inlineStr">
        <x:is>
          <x:t xml:space="preserve"/>
        </x:is>
      </x:c>
      <x:c r="F18" s="76" t="inlineStr">
        <x:is>
          <x:t xml:space="preserve"/>
        </x:is>
      </x:c>
      <x:c r="G18" s="52" t="n">
        <x:v>0</x:v>
      </x:c>
      <x:c r="H18" s="76" t="inlineStr">
        <x:is>
          <x:t xml:space="preserve"/>
        </x:is>
      </x:c>
      <x:c r="I18" s="76" t="inlineStr">
        <x:is>
          <x:t xml:space="preserve"/>
        </x:is>
      </x:c>
      <x:c r="J18" s="76" t="inlineStr">
        <x:is>
          <x:t xml:space="preserve"/>
        </x:is>
      </x:c>
      <x:c r="K18" s="76" t="inlineStr">
        <x:is>
          <x:t xml:space="preserve">No</x:t>
        </x:is>
      </x:c>
      <x:c r="L18" s="76" t="inlineStr">
        <x:is>
          <x:t xml:space="preserve"/>
        </x:is>
      </x:c>
    </x:row>
    <x:row r="19">
      <x:c r="A19" s="31" t="inlineStr">
        <x:is>
          <x:t xml:space="preserve">TXN015</x:t>
        </x:is>
      </x:c>
      <x:c r="B19" s="80" t="inlineStr">
        <x:is>
          <x:t xml:space="preserve"/>
        </x:is>
      </x:c>
      <x:c r="C19" s="81" t="str">
        <x:f>IF(B19="","",MAX(1,MIN(24,INT((B19-Assumptions!$B$7)/7)+1)))</x:f>
      </x:c>
      <x:c r="D19" s="75" t="inlineStr">
        <x:is>
          <x:t xml:space="preserve"/>
        </x:is>
      </x:c>
      <x:c r="E19" s="75" t="inlineStr">
        <x:is>
          <x:t xml:space="preserve"/>
        </x:is>
      </x:c>
      <x:c r="F19" s="75" t="inlineStr">
        <x:is>
          <x:t xml:space="preserve"/>
        </x:is>
      </x:c>
      <x:c r="G19" s="52" t="n">
        <x:v>0</x:v>
      </x:c>
      <x:c r="H19" s="75" t="inlineStr">
        <x:is>
          <x:t xml:space="preserve"/>
        </x:is>
      </x:c>
      <x:c r="I19" s="75" t="inlineStr">
        <x:is>
          <x:t xml:space="preserve"/>
        </x:is>
      </x:c>
      <x:c r="J19" s="75" t="inlineStr">
        <x:is>
          <x:t xml:space="preserve"/>
        </x:is>
      </x:c>
      <x:c r="K19" s="75" t="inlineStr">
        <x:is>
          <x:t xml:space="preserve">No</x:t>
        </x:is>
      </x:c>
      <x:c r="L19" s="75" t="inlineStr">
        <x:is>
          <x:t xml:space="preserve"/>
        </x:is>
      </x:c>
    </x:row>
    <x:row r="20">
      <x:c r="A20" s="30" t="inlineStr">
        <x:is>
          <x:t xml:space="preserve">TXN016</x:t>
        </x:is>
      </x:c>
      <x:c r="B20" s="82" t="inlineStr">
        <x:is>
          <x:t xml:space="preserve"/>
        </x:is>
      </x:c>
      <x:c r="C20" s="83" t="str">
        <x:f>IF(B20="","",MAX(1,MIN(24,INT((B20-Assumptions!$B$7)/7)+1)))</x:f>
      </x:c>
      <x:c r="D20" s="76" t="inlineStr">
        <x:is>
          <x:t xml:space="preserve"/>
        </x:is>
      </x:c>
      <x:c r="E20" s="76" t="inlineStr">
        <x:is>
          <x:t xml:space="preserve"/>
        </x:is>
      </x:c>
      <x:c r="F20" s="76" t="inlineStr">
        <x:is>
          <x:t xml:space="preserve"/>
        </x:is>
      </x:c>
      <x:c r="G20" s="52" t="n">
        <x:v>0</x:v>
      </x:c>
      <x:c r="H20" s="76" t="inlineStr">
        <x:is>
          <x:t xml:space="preserve"/>
        </x:is>
      </x:c>
      <x:c r="I20" s="76" t="inlineStr">
        <x:is>
          <x:t xml:space="preserve"/>
        </x:is>
      </x:c>
      <x:c r="J20" s="76" t="inlineStr">
        <x:is>
          <x:t xml:space="preserve"/>
        </x:is>
      </x:c>
      <x:c r="K20" s="76" t="inlineStr">
        <x:is>
          <x:t xml:space="preserve">No</x:t>
        </x:is>
      </x:c>
      <x:c r="L20" s="76" t="inlineStr">
        <x:is>
          <x:t xml:space="preserve"/>
        </x:is>
      </x:c>
    </x:row>
    <x:row r="21">
      <x:c r="A21" s="31" t="inlineStr">
        <x:is>
          <x:t xml:space="preserve">TXN017</x:t>
        </x:is>
      </x:c>
      <x:c r="B21" s="80" t="inlineStr">
        <x:is>
          <x:t xml:space="preserve"/>
        </x:is>
      </x:c>
      <x:c r="C21" s="81" t="str">
        <x:f>IF(B21="","",MAX(1,MIN(24,INT((B21-Assumptions!$B$7)/7)+1)))</x:f>
      </x:c>
      <x:c r="D21" s="75" t="inlineStr">
        <x:is>
          <x:t xml:space="preserve"/>
        </x:is>
      </x:c>
      <x:c r="E21" s="75" t="inlineStr">
        <x:is>
          <x:t xml:space="preserve"/>
        </x:is>
      </x:c>
      <x:c r="F21" s="75" t="inlineStr">
        <x:is>
          <x:t xml:space="preserve"/>
        </x:is>
      </x:c>
      <x:c r="G21" s="52" t="n">
        <x:v>0</x:v>
      </x:c>
      <x:c r="H21" s="75" t="inlineStr">
        <x:is>
          <x:t xml:space="preserve"/>
        </x:is>
      </x:c>
      <x:c r="I21" s="75" t="inlineStr">
        <x:is>
          <x:t xml:space="preserve"/>
        </x:is>
      </x:c>
      <x:c r="J21" s="75" t="inlineStr">
        <x:is>
          <x:t xml:space="preserve"/>
        </x:is>
      </x:c>
      <x:c r="K21" s="75" t="inlineStr">
        <x:is>
          <x:t xml:space="preserve">No</x:t>
        </x:is>
      </x:c>
      <x:c r="L21" s="75" t="inlineStr">
        <x:is>
          <x:t xml:space="preserve"/>
        </x:is>
      </x:c>
    </x:row>
    <x:row r="22">
      <x:c r="A22" s="30" t="inlineStr">
        <x:is>
          <x:t xml:space="preserve">TXN018</x:t>
        </x:is>
      </x:c>
      <x:c r="B22" s="82" t="inlineStr">
        <x:is>
          <x:t xml:space="preserve"/>
        </x:is>
      </x:c>
      <x:c r="C22" s="83" t="str">
        <x:f>IF(B22="","",MAX(1,MIN(24,INT((B22-Assumptions!$B$7)/7)+1)))</x:f>
      </x:c>
      <x:c r="D22" s="76" t="inlineStr">
        <x:is>
          <x:t xml:space="preserve"/>
        </x:is>
      </x:c>
      <x:c r="E22" s="76" t="inlineStr">
        <x:is>
          <x:t xml:space="preserve"/>
        </x:is>
      </x:c>
      <x:c r="F22" s="76" t="inlineStr">
        <x:is>
          <x:t xml:space="preserve"/>
        </x:is>
      </x:c>
      <x:c r="G22" s="52" t="n">
        <x:v>0</x:v>
      </x:c>
      <x:c r="H22" s="76" t="inlineStr">
        <x:is>
          <x:t xml:space="preserve"/>
        </x:is>
      </x:c>
      <x:c r="I22" s="76" t="inlineStr">
        <x:is>
          <x:t xml:space="preserve"/>
        </x:is>
      </x:c>
      <x:c r="J22" s="76" t="inlineStr">
        <x:is>
          <x:t xml:space="preserve"/>
        </x:is>
      </x:c>
      <x:c r="K22" s="76" t="inlineStr">
        <x:is>
          <x:t xml:space="preserve">No</x:t>
        </x:is>
      </x:c>
      <x:c r="L22" s="76" t="inlineStr">
        <x:is>
          <x:t xml:space="preserve"/>
        </x:is>
      </x:c>
    </x:row>
    <x:row r="23">
      <x:c r="A23" s="31" t="inlineStr">
        <x:is>
          <x:t xml:space="preserve">TXN019</x:t>
        </x:is>
      </x:c>
      <x:c r="B23" s="80" t="inlineStr">
        <x:is>
          <x:t xml:space="preserve"/>
        </x:is>
      </x:c>
      <x:c r="C23" s="81" t="str">
        <x:f>IF(B23="","",MAX(1,MIN(24,INT((B23-Assumptions!$B$7)/7)+1)))</x:f>
      </x:c>
      <x:c r="D23" s="75" t="inlineStr">
        <x:is>
          <x:t xml:space="preserve"/>
        </x:is>
      </x:c>
      <x:c r="E23" s="75" t="inlineStr">
        <x:is>
          <x:t xml:space="preserve"/>
        </x:is>
      </x:c>
      <x:c r="F23" s="75" t="inlineStr">
        <x:is>
          <x:t xml:space="preserve"/>
        </x:is>
      </x:c>
      <x:c r="G23" s="52" t="n">
        <x:v>0</x:v>
      </x:c>
      <x:c r="H23" s="75" t="inlineStr">
        <x:is>
          <x:t xml:space="preserve"/>
        </x:is>
      </x:c>
      <x:c r="I23" s="75" t="inlineStr">
        <x:is>
          <x:t xml:space="preserve"/>
        </x:is>
      </x:c>
      <x:c r="J23" s="75" t="inlineStr">
        <x:is>
          <x:t xml:space="preserve"/>
        </x:is>
      </x:c>
      <x:c r="K23" s="75" t="inlineStr">
        <x:is>
          <x:t xml:space="preserve">No</x:t>
        </x:is>
      </x:c>
      <x:c r="L23" s="75" t="inlineStr">
        <x:is>
          <x:t xml:space="preserve"/>
        </x:is>
      </x:c>
    </x:row>
    <x:row r="24">
      <x:c r="A24" s="30" t="inlineStr">
        <x:is>
          <x:t xml:space="preserve">TXN020</x:t>
        </x:is>
      </x:c>
      <x:c r="B24" s="82" t="inlineStr">
        <x:is>
          <x:t xml:space="preserve"/>
        </x:is>
      </x:c>
      <x:c r="C24" s="83" t="str">
        <x:f>IF(B24="","",MAX(1,MIN(24,INT((B24-Assumptions!$B$7)/7)+1)))</x:f>
      </x:c>
      <x:c r="D24" s="76" t="inlineStr">
        <x:is>
          <x:t xml:space="preserve"/>
        </x:is>
      </x:c>
      <x:c r="E24" s="76" t="inlineStr">
        <x:is>
          <x:t xml:space="preserve"/>
        </x:is>
      </x:c>
      <x:c r="F24" s="76" t="inlineStr">
        <x:is>
          <x:t xml:space="preserve"/>
        </x:is>
      </x:c>
      <x:c r="G24" s="52" t="n">
        <x:v>0</x:v>
      </x:c>
      <x:c r="H24" s="76" t="inlineStr">
        <x:is>
          <x:t xml:space="preserve"/>
        </x:is>
      </x:c>
      <x:c r="I24" s="76" t="inlineStr">
        <x:is>
          <x:t xml:space="preserve"/>
        </x:is>
      </x:c>
      <x:c r="J24" s="76" t="inlineStr">
        <x:is>
          <x:t xml:space="preserve"/>
        </x:is>
      </x:c>
      <x:c r="K24" s="76" t="inlineStr">
        <x:is>
          <x:t xml:space="preserve">No</x:t>
        </x:is>
      </x:c>
      <x:c r="L24" s="76" t="inlineStr">
        <x:is>
          <x:t xml:space="preserve"/>
        </x:is>
      </x:c>
    </x:row>
    <x:row r="25">
      <x:c r="A25" s="31" t="inlineStr">
        <x:is>
          <x:t xml:space="preserve">TXN021</x:t>
        </x:is>
      </x:c>
      <x:c r="B25" s="80" t="inlineStr">
        <x:is>
          <x:t xml:space="preserve"/>
        </x:is>
      </x:c>
      <x:c r="C25" s="81" t="str">
        <x:f>IF(B25="","",MAX(1,MIN(24,INT((B25-Assumptions!$B$7)/7)+1)))</x:f>
      </x:c>
      <x:c r="D25" s="75" t="inlineStr">
        <x:is>
          <x:t xml:space="preserve"/>
        </x:is>
      </x:c>
      <x:c r="E25" s="75" t="inlineStr">
        <x:is>
          <x:t xml:space="preserve"/>
        </x:is>
      </x:c>
      <x:c r="F25" s="75" t="inlineStr">
        <x:is>
          <x:t xml:space="preserve"/>
        </x:is>
      </x:c>
      <x:c r="G25" s="52" t="n">
        <x:v>0</x:v>
      </x:c>
      <x:c r="H25" s="75" t="inlineStr">
        <x:is>
          <x:t xml:space="preserve"/>
        </x:is>
      </x:c>
      <x:c r="I25" s="75" t="inlineStr">
        <x:is>
          <x:t xml:space="preserve"/>
        </x:is>
      </x:c>
      <x:c r="J25" s="75" t="inlineStr">
        <x:is>
          <x:t xml:space="preserve"/>
        </x:is>
      </x:c>
      <x:c r="K25" s="75" t="inlineStr">
        <x:is>
          <x:t xml:space="preserve">No</x:t>
        </x:is>
      </x:c>
      <x:c r="L25" s="75" t="inlineStr">
        <x:is>
          <x:t xml:space="preserve"/>
        </x:is>
      </x:c>
    </x:row>
    <x:row r="26">
      <x:c r="A26" s="30" t="inlineStr">
        <x:is>
          <x:t xml:space="preserve">TXN022</x:t>
        </x:is>
      </x:c>
      <x:c r="B26" s="82" t="inlineStr">
        <x:is>
          <x:t xml:space="preserve"/>
        </x:is>
      </x:c>
      <x:c r="C26" s="83" t="str">
        <x:f>IF(B26="","",MAX(1,MIN(24,INT((B26-Assumptions!$B$7)/7)+1)))</x:f>
      </x:c>
      <x:c r="D26" s="76" t="inlineStr">
        <x:is>
          <x:t xml:space="preserve"/>
        </x:is>
      </x:c>
      <x:c r="E26" s="76" t="inlineStr">
        <x:is>
          <x:t xml:space="preserve"/>
        </x:is>
      </x:c>
      <x:c r="F26" s="76" t="inlineStr">
        <x:is>
          <x:t xml:space="preserve"/>
        </x:is>
      </x:c>
      <x:c r="G26" s="52" t="n">
        <x:v>0</x:v>
      </x:c>
      <x:c r="H26" s="76" t="inlineStr">
        <x:is>
          <x:t xml:space="preserve"/>
        </x:is>
      </x:c>
      <x:c r="I26" s="76" t="inlineStr">
        <x:is>
          <x:t xml:space="preserve"/>
        </x:is>
      </x:c>
      <x:c r="J26" s="76" t="inlineStr">
        <x:is>
          <x:t xml:space="preserve"/>
        </x:is>
      </x:c>
      <x:c r="K26" s="76" t="inlineStr">
        <x:is>
          <x:t xml:space="preserve">No</x:t>
        </x:is>
      </x:c>
      <x:c r="L26" s="76" t="inlineStr">
        <x:is>
          <x:t xml:space="preserve"/>
        </x:is>
      </x:c>
    </x:row>
    <x:row r="27">
      <x:c r="A27" s="31" t="inlineStr">
        <x:is>
          <x:t xml:space="preserve">TXN023</x:t>
        </x:is>
      </x:c>
      <x:c r="B27" s="80" t="inlineStr">
        <x:is>
          <x:t xml:space="preserve"/>
        </x:is>
      </x:c>
      <x:c r="C27" s="81" t="str">
        <x:f>IF(B27="","",MAX(1,MIN(24,INT((B27-Assumptions!$B$7)/7)+1)))</x:f>
      </x:c>
      <x:c r="D27" s="75" t="inlineStr">
        <x:is>
          <x:t xml:space="preserve"/>
        </x:is>
      </x:c>
      <x:c r="E27" s="75" t="inlineStr">
        <x:is>
          <x:t xml:space="preserve"/>
        </x:is>
      </x:c>
      <x:c r="F27" s="75" t="inlineStr">
        <x:is>
          <x:t xml:space="preserve"/>
        </x:is>
      </x:c>
      <x:c r="G27" s="52" t="n">
        <x:v>0</x:v>
      </x:c>
      <x:c r="H27" s="75" t="inlineStr">
        <x:is>
          <x:t xml:space="preserve"/>
        </x:is>
      </x:c>
      <x:c r="I27" s="75" t="inlineStr">
        <x:is>
          <x:t xml:space="preserve"/>
        </x:is>
      </x:c>
      <x:c r="J27" s="75" t="inlineStr">
        <x:is>
          <x:t xml:space="preserve"/>
        </x:is>
      </x:c>
      <x:c r="K27" s="75" t="inlineStr">
        <x:is>
          <x:t xml:space="preserve">No</x:t>
        </x:is>
      </x:c>
      <x:c r="L27" s="75" t="inlineStr">
        <x:is>
          <x:t xml:space="preserve"/>
        </x:is>
      </x:c>
    </x:row>
    <x:row r="28">
      <x:c r="A28" s="30" t="inlineStr">
        <x:is>
          <x:t xml:space="preserve">TXN024</x:t>
        </x:is>
      </x:c>
      <x:c r="B28" s="82" t="inlineStr">
        <x:is>
          <x:t xml:space="preserve"/>
        </x:is>
      </x:c>
      <x:c r="C28" s="83" t="str">
        <x:f>IF(B28="","",MAX(1,MIN(24,INT((B28-Assumptions!$B$7)/7)+1)))</x:f>
      </x:c>
      <x:c r="D28" s="76" t="inlineStr">
        <x:is>
          <x:t xml:space="preserve"/>
        </x:is>
      </x:c>
      <x:c r="E28" s="76" t="inlineStr">
        <x:is>
          <x:t xml:space="preserve"/>
        </x:is>
      </x:c>
      <x:c r="F28" s="76" t="inlineStr">
        <x:is>
          <x:t xml:space="preserve"/>
        </x:is>
      </x:c>
      <x:c r="G28" s="52" t="n">
        <x:v>0</x:v>
      </x:c>
      <x:c r="H28" s="76" t="inlineStr">
        <x:is>
          <x:t xml:space="preserve"/>
        </x:is>
      </x:c>
      <x:c r="I28" s="76" t="inlineStr">
        <x:is>
          <x:t xml:space="preserve"/>
        </x:is>
      </x:c>
      <x:c r="J28" s="76" t="inlineStr">
        <x:is>
          <x:t xml:space="preserve"/>
        </x:is>
      </x:c>
      <x:c r="K28" s="76" t="inlineStr">
        <x:is>
          <x:t xml:space="preserve">No</x:t>
        </x:is>
      </x:c>
      <x:c r="L28" s="76" t="inlineStr">
        <x:is>
          <x:t xml:space="preserve"/>
        </x:is>
      </x:c>
    </x:row>
    <x:row r="29">
      <x:c r="A29" s="31" t="inlineStr">
        <x:is>
          <x:t xml:space="preserve">TXN025</x:t>
        </x:is>
      </x:c>
      <x:c r="B29" s="80" t="inlineStr">
        <x:is>
          <x:t xml:space="preserve"/>
        </x:is>
      </x:c>
      <x:c r="C29" s="81" t="str">
        <x:f>IF(B29="","",MAX(1,MIN(24,INT((B29-Assumptions!$B$7)/7)+1)))</x:f>
      </x:c>
      <x:c r="D29" s="75" t="inlineStr">
        <x:is>
          <x:t xml:space="preserve"/>
        </x:is>
      </x:c>
      <x:c r="E29" s="75" t="inlineStr">
        <x:is>
          <x:t xml:space="preserve"/>
        </x:is>
      </x:c>
      <x:c r="F29" s="75" t="inlineStr">
        <x:is>
          <x:t xml:space="preserve"/>
        </x:is>
      </x:c>
      <x:c r="G29" s="52" t="n">
        <x:v>0</x:v>
      </x:c>
      <x:c r="H29" s="75" t="inlineStr">
        <x:is>
          <x:t xml:space="preserve"/>
        </x:is>
      </x:c>
      <x:c r="I29" s="75" t="inlineStr">
        <x:is>
          <x:t xml:space="preserve"/>
        </x:is>
      </x:c>
      <x:c r="J29" s="75" t="inlineStr">
        <x:is>
          <x:t xml:space="preserve"/>
        </x:is>
      </x:c>
      <x:c r="K29" s="75" t="inlineStr">
        <x:is>
          <x:t xml:space="preserve">No</x:t>
        </x:is>
      </x:c>
      <x:c r="L29" s="75" t="inlineStr">
        <x:is>
          <x:t xml:space="preserve"/>
        </x:is>
      </x:c>
    </x:row>
    <x:row r="30">
      <x:c r="A30" s="30" t="inlineStr">
        <x:is>
          <x:t xml:space="preserve">TXN026</x:t>
        </x:is>
      </x:c>
      <x:c r="B30" s="82" t="inlineStr">
        <x:is>
          <x:t xml:space="preserve"/>
        </x:is>
      </x:c>
      <x:c r="C30" s="83" t="str">
        <x:f>IF(B30="","",MAX(1,MIN(24,INT((B30-Assumptions!$B$7)/7)+1)))</x:f>
      </x:c>
      <x:c r="D30" s="76" t="inlineStr">
        <x:is>
          <x:t xml:space="preserve"/>
        </x:is>
      </x:c>
      <x:c r="E30" s="76" t="inlineStr">
        <x:is>
          <x:t xml:space="preserve"/>
        </x:is>
      </x:c>
      <x:c r="F30" s="76" t="inlineStr">
        <x:is>
          <x:t xml:space="preserve"/>
        </x:is>
      </x:c>
      <x:c r="G30" s="52" t="n">
        <x:v>0</x:v>
      </x:c>
      <x:c r="H30" s="76" t="inlineStr">
        <x:is>
          <x:t xml:space="preserve"/>
        </x:is>
      </x:c>
      <x:c r="I30" s="76" t="inlineStr">
        <x:is>
          <x:t xml:space="preserve"/>
        </x:is>
      </x:c>
      <x:c r="J30" s="76" t="inlineStr">
        <x:is>
          <x:t xml:space="preserve"/>
        </x:is>
      </x:c>
      <x:c r="K30" s="76" t="inlineStr">
        <x:is>
          <x:t xml:space="preserve">No</x:t>
        </x:is>
      </x:c>
      <x:c r="L30" s="76" t="inlineStr">
        <x:is>
          <x:t xml:space="preserve"/>
        </x:is>
      </x:c>
    </x:row>
    <x:row r="31">
      <x:c r="A31" s="31" t="inlineStr">
        <x:is>
          <x:t xml:space="preserve">TXN027</x:t>
        </x:is>
      </x:c>
      <x:c r="B31" s="80" t="inlineStr">
        <x:is>
          <x:t xml:space="preserve"/>
        </x:is>
      </x:c>
      <x:c r="C31" s="81" t="str">
        <x:f>IF(B31="","",MAX(1,MIN(24,INT((B31-Assumptions!$B$7)/7)+1)))</x:f>
      </x:c>
      <x:c r="D31" s="75" t="inlineStr">
        <x:is>
          <x:t xml:space="preserve"/>
        </x:is>
      </x:c>
      <x:c r="E31" s="75" t="inlineStr">
        <x:is>
          <x:t xml:space="preserve"/>
        </x:is>
      </x:c>
      <x:c r="F31" s="75" t="inlineStr">
        <x:is>
          <x:t xml:space="preserve"/>
        </x:is>
      </x:c>
      <x:c r="G31" s="52" t="n">
        <x:v>0</x:v>
      </x:c>
      <x:c r="H31" s="75" t="inlineStr">
        <x:is>
          <x:t xml:space="preserve"/>
        </x:is>
      </x:c>
      <x:c r="I31" s="75" t="inlineStr">
        <x:is>
          <x:t xml:space="preserve"/>
        </x:is>
      </x:c>
      <x:c r="J31" s="75" t="inlineStr">
        <x:is>
          <x:t xml:space="preserve"/>
        </x:is>
      </x:c>
      <x:c r="K31" s="75" t="inlineStr">
        <x:is>
          <x:t xml:space="preserve">No</x:t>
        </x:is>
      </x:c>
      <x:c r="L31" s="75" t="inlineStr">
        <x:is>
          <x:t xml:space="preserve"/>
        </x:is>
      </x:c>
    </x:row>
    <x:row r="32">
      <x:c r="A32" s="30" t="inlineStr">
        <x:is>
          <x:t xml:space="preserve">TXN028</x:t>
        </x:is>
      </x:c>
      <x:c r="B32" s="82" t="inlineStr">
        <x:is>
          <x:t xml:space="preserve"/>
        </x:is>
      </x:c>
      <x:c r="C32" s="83" t="str">
        <x:f>IF(B32="","",MAX(1,MIN(24,INT((B32-Assumptions!$B$7)/7)+1)))</x:f>
      </x:c>
      <x:c r="D32" s="76" t="inlineStr">
        <x:is>
          <x:t xml:space="preserve"/>
        </x:is>
      </x:c>
      <x:c r="E32" s="76" t="inlineStr">
        <x:is>
          <x:t xml:space="preserve"/>
        </x:is>
      </x:c>
      <x:c r="F32" s="76" t="inlineStr">
        <x:is>
          <x:t xml:space="preserve"/>
        </x:is>
      </x:c>
      <x:c r="G32" s="52" t="n">
        <x:v>0</x:v>
      </x:c>
      <x:c r="H32" s="76" t="inlineStr">
        <x:is>
          <x:t xml:space="preserve"/>
        </x:is>
      </x:c>
      <x:c r="I32" s="76" t="inlineStr">
        <x:is>
          <x:t xml:space="preserve"/>
        </x:is>
      </x:c>
      <x:c r="J32" s="76" t="inlineStr">
        <x:is>
          <x:t xml:space="preserve"/>
        </x:is>
      </x:c>
      <x:c r="K32" s="76" t="inlineStr">
        <x:is>
          <x:t xml:space="preserve">No</x:t>
        </x:is>
      </x:c>
      <x:c r="L32" s="76" t="inlineStr">
        <x:is>
          <x:t xml:space="preserve"/>
        </x:is>
      </x:c>
    </x:row>
    <x:row r="33">
      <x:c r="A33" s="31" t="inlineStr">
        <x:is>
          <x:t xml:space="preserve">TXN029</x:t>
        </x:is>
      </x:c>
      <x:c r="B33" s="80" t="inlineStr">
        <x:is>
          <x:t xml:space="preserve"/>
        </x:is>
      </x:c>
      <x:c r="C33" s="81" t="str">
        <x:f>IF(B33="","",MAX(1,MIN(24,INT((B33-Assumptions!$B$7)/7)+1)))</x:f>
      </x:c>
      <x:c r="D33" s="75" t="inlineStr">
        <x:is>
          <x:t xml:space="preserve"/>
        </x:is>
      </x:c>
      <x:c r="E33" s="75" t="inlineStr">
        <x:is>
          <x:t xml:space="preserve"/>
        </x:is>
      </x:c>
      <x:c r="F33" s="75" t="inlineStr">
        <x:is>
          <x:t xml:space="preserve"/>
        </x:is>
      </x:c>
      <x:c r="G33" s="52" t="n">
        <x:v>0</x:v>
      </x:c>
      <x:c r="H33" s="75" t="inlineStr">
        <x:is>
          <x:t xml:space="preserve"/>
        </x:is>
      </x:c>
      <x:c r="I33" s="75" t="inlineStr">
        <x:is>
          <x:t xml:space="preserve"/>
        </x:is>
      </x:c>
      <x:c r="J33" s="75" t="inlineStr">
        <x:is>
          <x:t xml:space="preserve"/>
        </x:is>
      </x:c>
      <x:c r="K33" s="75" t="inlineStr">
        <x:is>
          <x:t xml:space="preserve">No</x:t>
        </x:is>
      </x:c>
      <x:c r="L33" s="75" t="inlineStr">
        <x:is>
          <x:t xml:space="preserve"/>
        </x:is>
      </x:c>
    </x:row>
    <x:row r="34">
      <x:c r="A34" s="30" t="inlineStr">
        <x:is>
          <x:t xml:space="preserve">TXN030</x:t>
        </x:is>
      </x:c>
      <x:c r="B34" s="82" t="inlineStr">
        <x:is>
          <x:t xml:space="preserve"/>
        </x:is>
      </x:c>
      <x:c r="C34" s="83" t="str">
        <x:f>IF(B34="","",MAX(1,MIN(24,INT((B34-Assumptions!$B$7)/7)+1)))</x:f>
      </x:c>
      <x:c r="D34" s="76" t="inlineStr">
        <x:is>
          <x:t xml:space="preserve"/>
        </x:is>
      </x:c>
      <x:c r="E34" s="76" t="inlineStr">
        <x:is>
          <x:t xml:space="preserve"/>
        </x:is>
      </x:c>
      <x:c r="F34" s="76" t="inlineStr">
        <x:is>
          <x:t xml:space="preserve"/>
        </x:is>
      </x:c>
      <x:c r="G34" s="52" t="n">
        <x:v>0</x:v>
      </x:c>
      <x:c r="H34" s="76" t="inlineStr">
        <x:is>
          <x:t xml:space="preserve"/>
        </x:is>
      </x:c>
      <x:c r="I34" s="76" t="inlineStr">
        <x:is>
          <x:t xml:space="preserve"/>
        </x:is>
      </x:c>
      <x:c r="J34" s="76" t="inlineStr">
        <x:is>
          <x:t xml:space="preserve"/>
        </x:is>
      </x:c>
      <x:c r="K34" s="76" t="inlineStr">
        <x:is>
          <x:t xml:space="preserve">No</x:t>
        </x:is>
      </x:c>
      <x:c r="L34" s="76" t="inlineStr">
        <x:is>
          <x:t xml:space="preserve"/>
        </x:is>
      </x:c>
    </x:row>
    <x:row r="35">
      <x:c r="A35" s="31" t="inlineStr">
        <x:is>
          <x:t xml:space="preserve">TXN031</x:t>
        </x:is>
      </x:c>
      <x:c r="B35" s="80" t="inlineStr">
        <x:is>
          <x:t xml:space="preserve"/>
        </x:is>
      </x:c>
      <x:c r="C35" s="81" t="str">
        <x:f>IF(B35="","",MAX(1,MIN(24,INT((B35-Assumptions!$B$7)/7)+1)))</x:f>
      </x:c>
      <x:c r="D35" s="75" t="inlineStr">
        <x:is>
          <x:t xml:space="preserve"/>
        </x:is>
      </x:c>
      <x:c r="E35" s="75" t="inlineStr">
        <x:is>
          <x:t xml:space="preserve"/>
        </x:is>
      </x:c>
      <x:c r="F35" s="75" t="inlineStr">
        <x:is>
          <x:t xml:space="preserve"/>
        </x:is>
      </x:c>
      <x:c r="G35" s="52" t="n">
        <x:v>0</x:v>
      </x:c>
      <x:c r="H35" s="75" t="inlineStr">
        <x:is>
          <x:t xml:space="preserve"/>
        </x:is>
      </x:c>
      <x:c r="I35" s="75" t="inlineStr">
        <x:is>
          <x:t xml:space="preserve"/>
        </x:is>
      </x:c>
      <x:c r="J35" s="75" t="inlineStr">
        <x:is>
          <x:t xml:space="preserve"/>
        </x:is>
      </x:c>
      <x:c r="K35" s="75" t="inlineStr">
        <x:is>
          <x:t xml:space="preserve">No</x:t>
        </x:is>
      </x:c>
      <x:c r="L35" s="75" t="inlineStr">
        <x:is>
          <x:t xml:space="preserve"/>
        </x:is>
      </x:c>
    </x:row>
    <x:row r="36">
      <x:c r="A36" s="30" t="inlineStr">
        <x:is>
          <x:t xml:space="preserve">TXN032</x:t>
        </x:is>
      </x:c>
      <x:c r="B36" s="82" t="inlineStr">
        <x:is>
          <x:t xml:space="preserve"/>
        </x:is>
      </x:c>
      <x:c r="C36" s="83" t="str">
        <x:f>IF(B36="","",MAX(1,MIN(24,INT((B36-Assumptions!$B$7)/7)+1)))</x:f>
      </x:c>
      <x:c r="D36" s="76" t="inlineStr">
        <x:is>
          <x:t xml:space="preserve"/>
        </x:is>
      </x:c>
      <x:c r="E36" s="76" t="inlineStr">
        <x:is>
          <x:t xml:space="preserve"/>
        </x:is>
      </x:c>
      <x:c r="F36" s="76" t="inlineStr">
        <x:is>
          <x:t xml:space="preserve"/>
        </x:is>
      </x:c>
      <x:c r="G36" s="52" t="n">
        <x:v>0</x:v>
      </x:c>
      <x:c r="H36" s="76" t="inlineStr">
        <x:is>
          <x:t xml:space="preserve"/>
        </x:is>
      </x:c>
      <x:c r="I36" s="76" t="inlineStr">
        <x:is>
          <x:t xml:space="preserve"/>
        </x:is>
      </x:c>
      <x:c r="J36" s="76" t="inlineStr">
        <x:is>
          <x:t xml:space="preserve"/>
        </x:is>
      </x:c>
      <x:c r="K36" s="76" t="inlineStr">
        <x:is>
          <x:t xml:space="preserve">No</x:t>
        </x:is>
      </x:c>
      <x:c r="L36" s="76" t="inlineStr">
        <x:is>
          <x:t xml:space="preserve"/>
        </x:is>
      </x:c>
    </x:row>
    <x:row r="37">
      <x:c r="A37" s="31" t="inlineStr">
        <x:is>
          <x:t xml:space="preserve">TXN033</x:t>
        </x:is>
      </x:c>
      <x:c r="B37" s="80" t="inlineStr">
        <x:is>
          <x:t xml:space="preserve"/>
        </x:is>
      </x:c>
      <x:c r="C37" s="81" t="str">
        <x:f>IF(B37="","",MAX(1,MIN(24,INT((B37-Assumptions!$B$7)/7)+1)))</x:f>
      </x:c>
      <x:c r="D37" s="75" t="inlineStr">
        <x:is>
          <x:t xml:space="preserve"/>
        </x:is>
      </x:c>
      <x:c r="E37" s="75" t="inlineStr">
        <x:is>
          <x:t xml:space="preserve"/>
        </x:is>
      </x:c>
      <x:c r="F37" s="75" t="inlineStr">
        <x:is>
          <x:t xml:space="preserve"/>
        </x:is>
      </x:c>
      <x:c r="G37" s="52" t="n">
        <x:v>0</x:v>
      </x:c>
      <x:c r="H37" s="75" t="inlineStr">
        <x:is>
          <x:t xml:space="preserve"/>
        </x:is>
      </x:c>
      <x:c r="I37" s="75" t="inlineStr">
        <x:is>
          <x:t xml:space="preserve"/>
        </x:is>
      </x:c>
      <x:c r="J37" s="75" t="inlineStr">
        <x:is>
          <x:t xml:space="preserve"/>
        </x:is>
      </x:c>
      <x:c r="K37" s="75" t="inlineStr">
        <x:is>
          <x:t xml:space="preserve">No</x:t>
        </x:is>
      </x:c>
      <x:c r="L37" s="75" t="inlineStr">
        <x:is>
          <x:t xml:space="preserve"/>
        </x:is>
      </x:c>
    </x:row>
    <x:row r="38">
      <x:c r="A38" s="30" t="inlineStr">
        <x:is>
          <x:t xml:space="preserve">TXN034</x:t>
        </x:is>
      </x:c>
      <x:c r="B38" s="82" t="inlineStr">
        <x:is>
          <x:t xml:space="preserve"/>
        </x:is>
      </x:c>
      <x:c r="C38" s="83" t="str">
        <x:f>IF(B38="","",MAX(1,MIN(24,INT((B38-Assumptions!$B$7)/7)+1)))</x:f>
      </x:c>
      <x:c r="D38" s="76" t="inlineStr">
        <x:is>
          <x:t xml:space="preserve"/>
        </x:is>
      </x:c>
      <x:c r="E38" s="76" t="inlineStr">
        <x:is>
          <x:t xml:space="preserve"/>
        </x:is>
      </x:c>
      <x:c r="F38" s="76" t="inlineStr">
        <x:is>
          <x:t xml:space="preserve"/>
        </x:is>
      </x:c>
      <x:c r="G38" s="52" t="n">
        <x:v>0</x:v>
      </x:c>
      <x:c r="H38" s="76" t="inlineStr">
        <x:is>
          <x:t xml:space="preserve"/>
        </x:is>
      </x:c>
      <x:c r="I38" s="76" t="inlineStr">
        <x:is>
          <x:t xml:space="preserve"/>
        </x:is>
      </x:c>
      <x:c r="J38" s="76" t="inlineStr">
        <x:is>
          <x:t xml:space="preserve"/>
        </x:is>
      </x:c>
      <x:c r="K38" s="76" t="inlineStr">
        <x:is>
          <x:t xml:space="preserve">No</x:t>
        </x:is>
      </x:c>
      <x:c r="L38" s="76" t="inlineStr">
        <x:is>
          <x:t xml:space="preserve"/>
        </x:is>
      </x:c>
    </x:row>
    <x:row r="39">
      <x:c r="A39" s="31" t="inlineStr">
        <x:is>
          <x:t xml:space="preserve">TXN035</x:t>
        </x:is>
      </x:c>
      <x:c r="B39" s="80" t="inlineStr">
        <x:is>
          <x:t xml:space="preserve"/>
        </x:is>
      </x:c>
      <x:c r="C39" s="81" t="str">
        <x:f>IF(B39="","",MAX(1,MIN(24,INT((B39-Assumptions!$B$7)/7)+1)))</x:f>
      </x:c>
      <x:c r="D39" s="75" t="inlineStr">
        <x:is>
          <x:t xml:space="preserve"/>
        </x:is>
      </x:c>
      <x:c r="E39" s="75" t="inlineStr">
        <x:is>
          <x:t xml:space="preserve"/>
        </x:is>
      </x:c>
      <x:c r="F39" s="75" t="inlineStr">
        <x:is>
          <x:t xml:space="preserve"/>
        </x:is>
      </x:c>
      <x:c r="G39" s="52" t="n">
        <x:v>0</x:v>
      </x:c>
      <x:c r="H39" s="75" t="inlineStr">
        <x:is>
          <x:t xml:space="preserve"/>
        </x:is>
      </x:c>
      <x:c r="I39" s="75" t="inlineStr">
        <x:is>
          <x:t xml:space="preserve"/>
        </x:is>
      </x:c>
      <x:c r="J39" s="75" t="inlineStr">
        <x:is>
          <x:t xml:space="preserve"/>
        </x:is>
      </x:c>
      <x:c r="K39" s="75" t="inlineStr">
        <x:is>
          <x:t xml:space="preserve">No</x:t>
        </x:is>
      </x:c>
      <x:c r="L39" s="75" t="inlineStr">
        <x:is>
          <x:t xml:space="preserve"/>
        </x:is>
      </x:c>
    </x:row>
    <x:row r="40">
      <x:c r="A40" s="30" t="inlineStr">
        <x:is>
          <x:t xml:space="preserve">TXN036</x:t>
        </x:is>
      </x:c>
      <x:c r="B40" s="82" t="inlineStr">
        <x:is>
          <x:t xml:space="preserve"/>
        </x:is>
      </x:c>
      <x:c r="C40" s="83" t="str">
        <x:f>IF(B40="","",MAX(1,MIN(24,INT((B40-Assumptions!$B$7)/7)+1)))</x:f>
      </x:c>
      <x:c r="D40" s="76" t="inlineStr">
        <x:is>
          <x:t xml:space="preserve"/>
        </x:is>
      </x:c>
      <x:c r="E40" s="76" t="inlineStr">
        <x:is>
          <x:t xml:space="preserve"/>
        </x:is>
      </x:c>
      <x:c r="F40" s="76" t="inlineStr">
        <x:is>
          <x:t xml:space="preserve"/>
        </x:is>
      </x:c>
      <x:c r="G40" s="52" t="n">
        <x:v>0</x:v>
      </x:c>
      <x:c r="H40" s="76" t="inlineStr">
        <x:is>
          <x:t xml:space="preserve"/>
        </x:is>
      </x:c>
      <x:c r="I40" s="76" t="inlineStr">
        <x:is>
          <x:t xml:space="preserve"/>
        </x:is>
      </x:c>
      <x:c r="J40" s="76" t="inlineStr">
        <x:is>
          <x:t xml:space="preserve"/>
        </x:is>
      </x:c>
      <x:c r="K40" s="76" t="inlineStr">
        <x:is>
          <x:t xml:space="preserve">No</x:t>
        </x:is>
      </x:c>
      <x:c r="L40" s="76" t="inlineStr">
        <x:is>
          <x:t xml:space="preserve"/>
        </x:is>
      </x:c>
    </x:row>
    <x:row r="41">
      <x:c r="A41" s="31" t="inlineStr">
        <x:is>
          <x:t xml:space="preserve">TXN037</x:t>
        </x:is>
      </x:c>
      <x:c r="B41" s="80" t="inlineStr">
        <x:is>
          <x:t xml:space="preserve"/>
        </x:is>
      </x:c>
      <x:c r="C41" s="81" t="str">
        <x:f>IF(B41="","",MAX(1,MIN(24,INT((B41-Assumptions!$B$7)/7)+1)))</x:f>
      </x:c>
      <x:c r="D41" s="75" t="inlineStr">
        <x:is>
          <x:t xml:space="preserve"/>
        </x:is>
      </x:c>
      <x:c r="E41" s="75" t="inlineStr">
        <x:is>
          <x:t xml:space="preserve"/>
        </x:is>
      </x:c>
      <x:c r="F41" s="75" t="inlineStr">
        <x:is>
          <x:t xml:space="preserve"/>
        </x:is>
      </x:c>
      <x:c r="G41" s="52" t="n">
        <x:v>0</x:v>
      </x:c>
      <x:c r="H41" s="75" t="inlineStr">
        <x:is>
          <x:t xml:space="preserve"/>
        </x:is>
      </x:c>
      <x:c r="I41" s="75" t="inlineStr">
        <x:is>
          <x:t xml:space="preserve"/>
        </x:is>
      </x:c>
      <x:c r="J41" s="75" t="inlineStr">
        <x:is>
          <x:t xml:space="preserve"/>
        </x:is>
      </x:c>
      <x:c r="K41" s="75" t="inlineStr">
        <x:is>
          <x:t xml:space="preserve">No</x:t>
        </x:is>
      </x:c>
      <x:c r="L41" s="75" t="inlineStr">
        <x:is>
          <x:t xml:space="preserve"/>
        </x:is>
      </x:c>
    </x:row>
    <x:row r="42">
      <x:c r="A42" s="30" t="inlineStr">
        <x:is>
          <x:t xml:space="preserve">TXN038</x:t>
        </x:is>
      </x:c>
      <x:c r="B42" s="82" t="inlineStr">
        <x:is>
          <x:t xml:space="preserve"/>
        </x:is>
      </x:c>
      <x:c r="C42" s="83" t="str">
        <x:f>IF(B42="","",MAX(1,MIN(24,INT((B42-Assumptions!$B$7)/7)+1)))</x:f>
      </x:c>
      <x:c r="D42" s="76" t="inlineStr">
        <x:is>
          <x:t xml:space="preserve"/>
        </x:is>
      </x:c>
      <x:c r="E42" s="76" t="inlineStr">
        <x:is>
          <x:t xml:space="preserve"/>
        </x:is>
      </x:c>
      <x:c r="F42" s="76" t="inlineStr">
        <x:is>
          <x:t xml:space="preserve"/>
        </x:is>
      </x:c>
      <x:c r="G42" s="52" t="n">
        <x:v>0</x:v>
      </x:c>
      <x:c r="H42" s="76" t="inlineStr">
        <x:is>
          <x:t xml:space="preserve"/>
        </x:is>
      </x:c>
      <x:c r="I42" s="76" t="inlineStr">
        <x:is>
          <x:t xml:space="preserve"/>
        </x:is>
      </x:c>
      <x:c r="J42" s="76" t="inlineStr">
        <x:is>
          <x:t xml:space="preserve"/>
        </x:is>
      </x:c>
      <x:c r="K42" s="76" t="inlineStr">
        <x:is>
          <x:t xml:space="preserve">No</x:t>
        </x:is>
      </x:c>
      <x:c r="L42" s="76" t="inlineStr">
        <x:is>
          <x:t xml:space="preserve"/>
        </x:is>
      </x:c>
    </x:row>
    <x:row r="43">
      <x:c r="A43" s="31" t="inlineStr">
        <x:is>
          <x:t xml:space="preserve">TXN039</x:t>
        </x:is>
      </x:c>
      <x:c r="B43" s="80" t="inlineStr">
        <x:is>
          <x:t xml:space="preserve"/>
        </x:is>
      </x:c>
      <x:c r="C43" s="81" t="str">
        <x:f>IF(B43="","",MAX(1,MIN(24,INT((B43-Assumptions!$B$7)/7)+1)))</x:f>
      </x:c>
      <x:c r="D43" s="75" t="inlineStr">
        <x:is>
          <x:t xml:space="preserve"/>
        </x:is>
      </x:c>
      <x:c r="E43" s="75" t="inlineStr">
        <x:is>
          <x:t xml:space="preserve"/>
        </x:is>
      </x:c>
      <x:c r="F43" s="75" t="inlineStr">
        <x:is>
          <x:t xml:space="preserve"/>
        </x:is>
      </x:c>
      <x:c r="G43" s="52" t="n">
        <x:v>0</x:v>
      </x:c>
      <x:c r="H43" s="75" t="inlineStr">
        <x:is>
          <x:t xml:space="preserve"/>
        </x:is>
      </x:c>
      <x:c r="I43" s="75" t="inlineStr">
        <x:is>
          <x:t xml:space="preserve"/>
        </x:is>
      </x:c>
      <x:c r="J43" s="75" t="inlineStr">
        <x:is>
          <x:t xml:space="preserve"/>
        </x:is>
      </x:c>
      <x:c r="K43" s="75" t="inlineStr">
        <x:is>
          <x:t xml:space="preserve">No</x:t>
        </x:is>
      </x:c>
      <x:c r="L43" s="75" t="inlineStr">
        <x:is>
          <x:t xml:space="preserve"/>
        </x:is>
      </x:c>
    </x:row>
    <x:row r="44">
      <x:c r="A44" s="30" t="inlineStr">
        <x:is>
          <x:t xml:space="preserve">TXN040</x:t>
        </x:is>
      </x:c>
      <x:c r="B44" s="82" t="inlineStr">
        <x:is>
          <x:t xml:space="preserve"/>
        </x:is>
      </x:c>
      <x:c r="C44" s="83" t="str">
        <x:f>IF(B44="","",MAX(1,MIN(24,INT((B44-Assumptions!$B$7)/7)+1)))</x:f>
      </x:c>
      <x:c r="D44" s="76" t="inlineStr">
        <x:is>
          <x:t xml:space="preserve"/>
        </x:is>
      </x:c>
      <x:c r="E44" s="76" t="inlineStr">
        <x:is>
          <x:t xml:space="preserve"/>
        </x:is>
      </x:c>
      <x:c r="F44" s="76" t="inlineStr">
        <x:is>
          <x:t xml:space="preserve"/>
        </x:is>
      </x:c>
      <x:c r="G44" s="52" t="n">
        <x:v>0</x:v>
      </x:c>
      <x:c r="H44" s="76" t="inlineStr">
        <x:is>
          <x:t xml:space="preserve"/>
        </x:is>
      </x:c>
      <x:c r="I44" s="76" t="inlineStr">
        <x:is>
          <x:t xml:space="preserve"/>
        </x:is>
      </x:c>
      <x:c r="J44" s="76" t="inlineStr">
        <x:is>
          <x:t xml:space="preserve"/>
        </x:is>
      </x:c>
      <x:c r="K44" s="76" t="inlineStr">
        <x:is>
          <x:t xml:space="preserve">No</x:t>
        </x:is>
      </x:c>
      <x:c r="L44" s="76" t="inlineStr">
        <x:is>
          <x:t xml:space="preserve"/>
        </x:is>
      </x:c>
    </x:row>
    <x:row r="45">
      <x:c r="A45" s="31" t="inlineStr">
        <x:is>
          <x:t xml:space="preserve">TXN041</x:t>
        </x:is>
      </x:c>
      <x:c r="B45" s="80" t="inlineStr">
        <x:is>
          <x:t xml:space="preserve"/>
        </x:is>
      </x:c>
      <x:c r="C45" s="81" t="str">
        <x:f>IF(B45="","",MAX(1,MIN(24,INT((B45-Assumptions!$B$7)/7)+1)))</x:f>
      </x:c>
      <x:c r="D45" s="75" t="inlineStr">
        <x:is>
          <x:t xml:space="preserve"/>
        </x:is>
      </x:c>
      <x:c r="E45" s="75" t="inlineStr">
        <x:is>
          <x:t xml:space="preserve"/>
        </x:is>
      </x:c>
      <x:c r="F45" s="75" t="inlineStr">
        <x:is>
          <x:t xml:space="preserve"/>
        </x:is>
      </x:c>
      <x:c r="G45" s="52" t="n">
        <x:v>0</x:v>
      </x:c>
      <x:c r="H45" s="75" t="inlineStr">
        <x:is>
          <x:t xml:space="preserve"/>
        </x:is>
      </x:c>
      <x:c r="I45" s="75" t="inlineStr">
        <x:is>
          <x:t xml:space="preserve"/>
        </x:is>
      </x:c>
      <x:c r="J45" s="75" t="inlineStr">
        <x:is>
          <x:t xml:space="preserve"/>
        </x:is>
      </x:c>
      <x:c r="K45" s="75" t="inlineStr">
        <x:is>
          <x:t xml:space="preserve">No</x:t>
        </x:is>
      </x:c>
      <x:c r="L45" s="75" t="inlineStr">
        <x:is>
          <x:t xml:space="preserve"/>
        </x:is>
      </x:c>
    </x:row>
    <x:row r="46">
      <x:c r="A46" s="30" t="inlineStr">
        <x:is>
          <x:t xml:space="preserve">TXN042</x:t>
        </x:is>
      </x:c>
      <x:c r="B46" s="82" t="inlineStr">
        <x:is>
          <x:t xml:space="preserve"/>
        </x:is>
      </x:c>
      <x:c r="C46" s="83" t="str">
        <x:f>IF(B46="","",MAX(1,MIN(24,INT((B46-Assumptions!$B$7)/7)+1)))</x:f>
      </x:c>
      <x:c r="D46" s="76" t="inlineStr">
        <x:is>
          <x:t xml:space="preserve"/>
        </x:is>
      </x:c>
      <x:c r="E46" s="76" t="inlineStr">
        <x:is>
          <x:t xml:space="preserve"/>
        </x:is>
      </x:c>
      <x:c r="F46" s="76" t="inlineStr">
        <x:is>
          <x:t xml:space="preserve"/>
        </x:is>
      </x:c>
      <x:c r="G46" s="52" t="n">
        <x:v>0</x:v>
      </x:c>
      <x:c r="H46" s="76" t="inlineStr">
        <x:is>
          <x:t xml:space="preserve"/>
        </x:is>
      </x:c>
      <x:c r="I46" s="76" t="inlineStr">
        <x:is>
          <x:t xml:space="preserve"/>
        </x:is>
      </x:c>
      <x:c r="J46" s="76" t="inlineStr">
        <x:is>
          <x:t xml:space="preserve"/>
        </x:is>
      </x:c>
      <x:c r="K46" s="76" t="inlineStr">
        <x:is>
          <x:t xml:space="preserve">No</x:t>
        </x:is>
      </x:c>
      <x:c r="L46" s="76" t="inlineStr">
        <x:is>
          <x:t xml:space="preserve"/>
        </x:is>
      </x:c>
    </x:row>
    <x:row r="47">
      <x:c r="A47" s="31" t="inlineStr">
        <x:is>
          <x:t xml:space="preserve">TXN043</x:t>
        </x:is>
      </x:c>
      <x:c r="B47" s="80" t="inlineStr">
        <x:is>
          <x:t xml:space="preserve"/>
        </x:is>
      </x:c>
      <x:c r="C47" s="81" t="str">
        <x:f>IF(B47="","",MAX(1,MIN(24,INT((B47-Assumptions!$B$7)/7)+1)))</x:f>
      </x:c>
      <x:c r="D47" s="75" t="inlineStr">
        <x:is>
          <x:t xml:space="preserve"/>
        </x:is>
      </x:c>
      <x:c r="E47" s="75" t="inlineStr">
        <x:is>
          <x:t xml:space="preserve"/>
        </x:is>
      </x:c>
      <x:c r="F47" s="75" t="inlineStr">
        <x:is>
          <x:t xml:space="preserve"/>
        </x:is>
      </x:c>
      <x:c r="G47" s="52" t="n">
        <x:v>0</x:v>
      </x:c>
      <x:c r="H47" s="75" t="inlineStr">
        <x:is>
          <x:t xml:space="preserve"/>
        </x:is>
      </x:c>
      <x:c r="I47" s="75" t="inlineStr">
        <x:is>
          <x:t xml:space="preserve"/>
        </x:is>
      </x:c>
      <x:c r="J47" s="75" t="inlineStr">
        <x:is>
          <x:t xml:space="preserve"/>
        </x:is>
      </x:c>
      <x:c r="K47" s="75" t="inlineStr">
        <x:is>
          <x:t xml:space="preserve">No</x:t>
        </x:is>
      </x:c>
      <x:c r="L47" s="75" t="inlineStr">
        <x:is>
          <x:t xml:space="preserve"/>
        </x:is>
      </x:c>
    </x:row>
    <x:row r="48">
      <x:c r="A48" s="30" t="inlineStr">
        <x:is>
          <x:t xml:space="preserve">TXN044</x:t>
        </x:is>
      </x:c>
      <x:c r="B48" s="82" t="inlineStr">
        <x:is>
          <x:t xml:space="preserve"/>
        </x:is>
      </x:c>
      <x:c r="C48" s="83" t="str">
        <x:f>IF(B48="","",MAX(1,MIN(24,INT((B48-Assumptions!$B$7)/7)+1)))</x:f>
      </x:c>
      <x:c r="D48" s="76" t="inlineStr">
        <x:is>
          <x:t xml:space="preserve"/>
        </x:is>
      </x:c>
      <x:c r="E48" s="76" t="inlineStr">
        <x:is>
          <x:t xml:space="preserve"/>
        </x:is>
      </x:c>
      <x:c r="F48" s="76" t="inlineStr">
        <x:is>
          <x:t xml:space="preserve"/>
        </x:is>
      </x:c>
      <x:c r="G48" s="52" t="n">
        <x:v>0</x:v>
      </x:c>
      <x:c r="H48" s="76" t="inlineStr">
        <x:is>
          <x:t xml:space="preserve"/>
        </x:is>
      </x:c>
      <x:c r="I48" s="76" t="inlineStr">
        <x:is>
          <x:t xml:space="preserve"/>
        </x:is>
      </x:c>
      <x:c r="J48" s="76" t="inlineStr">
        <x:is>
          <x:t xml:space="preserve"/>
        </x:is>
      </x:c>
      <x:c r="K48" s="76" t="inlineStr">
        <x:is>
          <x:t xml:space="preserve">No</x:t>
        </x:is>
      </x:c>
      <x:c r="L48" s="76" t="inlineStr">
        <x:is>
          <x:t xml:space="preserve"/>
        </x:is>
      </x:c>
    </x:row>
    <x:row r="49">
      <x:c r="A49" s="31" t="inlineStr">
        <x:is>
          <x:t xml:space="preserve">TXN045</x:t>
        </x:is>
      </x:c>
      <x:c r="B49" s="80" t="inlineStr">
        <x:is>
          <x:t xml:space="preserve"/>
        </x:is>
      </x:c>
      <x:c r="C49" s="81" t="str">
        <x:f>IF(B49="","",MAX(1,MIN(24,INT((B49-Assumptions!$B$7)/7)+1)))</x:f>
      </x:c>
      <x:c r="D49" s="75" t="inlineStr">
        <x:is>
          <x:t xml:space="preserve"/>
        </x:is>
      </x:c>
      <x:c r="E49" s="75" t="inlineStr">
        <x:is>
          <x:t xml:space="preserve"/>
        </x:is>
      </x:c>
      <x:c r="F49" s="75" t="inlineStr">
        <x:is>
          <x:t xml:space="preserve"/>
        </x:is>
      </x:c>
      <x:c r="G49" s="52" t="n">
        <x:v>0</x:v>
      </x:c>
      <x:c r="H49" s="75" t="inlineStr">
        <x:is>
          <x:t xml:space="preserve"/>
        </x:is>
      </x:c>
      <x:c r="I49" s="75" t="inlineStr">
        <x:is>
          <x:t xml:space="preserve"/>
        </x:is>
      </x:c>
      <x:c r="J49" s="75" t="inlineStr">
        <x:is>
          <x:t xml:space="preserve"/>
        </x:is>
      </x:c>
      <x:c r="K49" s="75" t="inlineStr">
        <x:is>
          <x:t xml:space="preserve">No</x:t>
        </x:is>
      </x:c>
      <x:c r="L49" s="75" t="inlineStr">
        <x:is>
          <x:t xml:space="preserve"/>
        </x:is>
      </x:c>
    </x:row>
    <x:row r="50">
      <x:c r="A50" s="30" t="inlineStr">
        <x:is>
          <x:t xml:space="preserve">TXN046</x:t>
        </x:is>
      </x:c>
      <x:c r="B50" s="82" t="inlineStr">
        <x:is>
          <x:t xml:space="preserve"/>
        </x:is>
      </x:c>
      <x:c r="C50" s="83" t="str">
        <x:f>IF(B50="","",MAX(1,MIN(24,INT((B50-Assumptions!$B$7)/7)+1)))</x:f>
      </x:c>
      <x:c r="D50" s="76" t="inlineStr">
        <x:is>
          <x:t xml:space="preserve"/>
        </x:is>
      </x:c>
      <x:c r="E50" s="76" t="inlineStr">
        <x:is>
          <x:t xml:space="preserve"/>
        </x:is>
      </x:c>
      <x:c r="F50" s="76" t="inlineStr">
        <x:is>
          <x:t xml:space="preserve"/>
        </x:is>
      </x:c>
      <x:c r="G50" s="52" t="n">
        <x:v>0</x:v>
      </x:c>
      <x:c r="H50" s="76" t="inlineStr">
        <x:is>
          <x:t xml:space="preserve"/>
        </x:is>
      </x:c>
      <x:c r="I50" s="76" t="inlineStr">
        <x:is>
          <x:t xml:space="preserve"/>
        </x:is>
      </x:c>
      <x:c r="J50" s="76" t="inlineStr">
        <x:is>
          <x:t xml:space="preserve"/>
        </x:is>
      </x:c>
      <x:c r="K50" s="76" t="inlineStr">
        <x:is>
          <x:t xml:space="preserve">No</x:t>
        </x:is>
      </x:c>
      <x:c r="L50" s="76" t="inlineStr">
        <x:is>
          <x:t xml:space="preserve"/>
        </x:is>
      </x:c>
    </x:row>
    <x:row r="51">
      <x:c r="A51" s="31" t="inlineStr">
        <x:is>
          <x:t xml:space="preserve">TXN047</x:t>
        </x:is>
      </x:c>
      <x:c r="B51" s="80" t="inlineStr">
        <x:is>
          <x:t xml:space="preserve"/>
        </x:is>
      </x:c>
      <x:c r="C51" s="81" t="str">
        <x:f>IF(B51="","",MAX(1,MIN(24,INT((B51-Assumptions!$B$7)/7)+1)))</x:f>
      </x:c>
      <x:c r="D51" s="75" t="inlineStr">
        <x:is>
          <x:t xml:space="preserve"/>
        </x:is>
      </x:c>
      <x:c r="E51" s="75" t="inlineStr">
        <x:is>
          <x:t xml:space="preserve"/>
        </x:is>
      </x:c>
      <x:c r="F51" s="75" t="inlineStr">
        <x:is>
          <x:t xml:space="preserve"/>
        </x:is>
      </x:c>
      <x:c r="G51" s="52" t="n">
        <x:v>0</x:v>
      </x:c>
      <x:c r="H51" s="75" t="inlineStr">
        <x:is>
          <x:t xml:space="preserve"/>
        </x:is>
      </x:c>
      <x:c r="I51" s="75" t="inlineStr">
        <x:is>
          <x:t xml:space="preserve"/>
        </x:is>
      </x:c>
      <x:c r="J51" s="75" t="inlineStr">
        <x:is>
          <x:t xml:space="preserve"/>
        </x:is>
      </x:c>
      <x:c r="K51" s="75" t="inlineStr">
        <x:is>
          <x:t xml:space="preserve">No</x:t>
        </x:is>
      </x:c>
      <x:c r="L51" s="75" t="inlineStr">
        <x:is>
          <x:t xml:space="preserve"/>
        </x:is>
      </x:c>
    </x:row>
    <x:row r="52">
      <x:c r="A52" s="30" t="inlineStr">
        <x:is>
          <x:t xml:space="preserve">TXN048</x:t>
        </x:is>
      </x:c>
      <x:c r="B52" s="82" t="inlineStr">
        <x:is>
          <x:t xml:space="preserve"/>
        </x:is>
      </x:c>
      <x:c r="C52" s="83" t="str">
        <x:f>IF(B52="","",MAX(1,MIN(24,INT((B52-Assumptions!$B$7)/7)+1)))</x:f>
      </x:c>
      <x:c r="D52" s="76" t="inlineStr">
        <x:is>
          <x:t xml:space="preserve"/>
        </x:is>
      </x:c>
      <x:c r="E52" s="76" t="inlineStr">
        <x:is>
          <x:t xml:space="preserve"/>
        </x:is>
      </x:c>
      <x:c r="F52" s="76" t="inlineStr">
        <x:is>
          <x:t xml:space="preserve"/>
        </x:is>
      </x:c>
      <x:c r="G52" s="52" t="n">
        <x:v>0</x:v>
      </x:c>
      <x:c r="H52" s="76" t="inlineStr">
        <x:is>
          <x:t xml:space="preserve"/>
        </x:is>
      </x:c>
      <x:c r="I52" s="76" t="inlineStr">
        <x:is>
          <x:t xml:space="preserve"/>
        </x:is>
      </x:c>
      <x:c r="J52" s="76" t="inlineStr">
        <x:is>
          <x:t xml:space="preserve"/>
        </x:is>
      </x:c>
      <x:c r="K52" s="76" t="inlineStr">
        <x:is>
          <x:t xml:space="preserve">No</x:t>
        </x:is>
      </x:c>
      <x:c r="L52" s="76" t="inlineStr">
        <x:is>
          <x:t xml:space="preserve"/>
        </x:is>
      </x:c>
    </x:row>
    <x:row r="53">
      <x:c r="A53" s="31" t="inlineStr">
        <x:is>
          <x:t xml:space="preserve">TXN049</x:t>
        </x:is>
      </x:c>
      <x:c r="B53" s="80" t="inlineStr">
        <x:is>
          <x:t xml:space="preserve"/>
        </x:is>
      </x:c>
      <x:c r="C53" s="81" t="str">
        <x:f>IF(B53="","",MAX(1,MIN(24,INT((B53-Assumptions!$B$7)/7)+1)))</x:f>
      </x:c>
      <x:c r="D53" s="75" t="inlineStr">
        <x:is>
          <x:t xml:space="preserve"/>
        </x:is>
      </x:c>
      <x:c r="E53" s="75" t="inlineStr">
        <x:is>
          <x:t xml:space="preserve"/>
        </x:is>
      </x:c>
      <x:c r="F53" s="75" t="inlineStr">
        <x:is>
          <x:t xml:space="preserve"/>
        </x:is>
      </x:c>
      <x:c r="G53" s="52" t="n">
        <x:v>0</x:v>
      </x:c>
      <x:c r="H53" s="75" t="inlineStr">
        <x:is>
          <x:t xml:space="preserve"/>
        </x:is>
      </x:c>
      <x:c r="I53" s="75" t="inlineStr">
        <x:is>
          <x:t xml:space="preserve"/>
        </x:is>
      </x:c>
      <x:c r="J53" s="75" t="inlineStr">
        <x:is>
          <x:t xml:space="preserve"/>
        </x:is>
      </x:c>
      <x:c r="K53" s="75" t="inlineStr">
        <x:is>
          <x:t xml:space="preserve">No</x:t>
        </x:is>
      </x:c>
      <x:c r="L53" s="75" t="inlineStr">
        <x:is>
          <x:t xml:space="preserve"/>
        </x:is>
      </x:c>
    </x:row>
    <x:row r="54">
      <x:c r="A54" s="30" t="inlineStr">
        <x:is>
          <x:t xml:space="preserve">TXN050</x:t>
        </x:is>
      </x:c>
      <x:c r="B54" s="82" t="inlineStr">
        <x:is>
          <x:t xml:space="preserve"/>
        </x:is>
      </x:c>
      <x:c r="C54" s="83" t="str">
        <x:f>IF(B54="","",MAX(1,MIN(24,INT((B54-Assumptions!$B$7)/7)+1)))</x:f>
      </x:c>
      <x:c r="D54" s="76" t="inlineStr">
        <x:is>
          <x:t xml:space="preserve"/>
        </x:is>
      </x:c>
      <x:c r="E54" s="76" t="inlineStr">
        <x:is>
          <x:t xml:space="preserve"/>
        </x:is>
      </x:c>
      <x:c r="F54" s="76" t="inlineStr">
        <x:is>
          <x:t xml:space="preserve"/>
        </x:is>
      </x:c>
      <x:c r="G54" s="52" t="n">
        <x:v>0</x:v>
      </x:c>
      <x:c r="H54" s="76" t="inlineStr">
        <x:is>
          <x:t xml:space="preserve"/>
        </x:is>
      </x:c>
      <x:c r="I54" s="76" t="inlineStr">
        <x:is>
          <x:t xml:space="preserve"/>
        </x:is>
      </x:c>
      <x:c r="J54" s="76" t="inlineStr">
        <x:is>
          <x:t xml:space="preserve"/>
        </x:is>
      </x:c>
      <x:c r="K54" s="76" t="inlineStr">
        <x:is>
          <x:t xml:space="preserve">No</x:t>
        </x:is>
      </x:c>
      <x:c r="L54" s="76" t="inlineStr">
        <x:is>
          <x:t xml:space="preserve"/>
        </x:is>
      </x:c>
    </x:row>
    <x:row r="55">
      <x:c r="A55" s="31" t="inlineStr">
        <x:is>
          <x:t xml:space="preserve">TXN051</x:t>
        </x:is>
      </x:c>
      <x:c r="B55" s="80" t="inlineStr">
        <x:is>
          <x:t xml:space="preserve"/>
        </x:is>
      </x:c>
      <x:c r="C55" s="81" t="str">
        <x:f>IF(B55="","",MAX(1,MIN(24,INT((B55-Assumptions!$B$7)/7)+1)))</x:f>
      </x:c>
      <x:c r="D55" s="75" t="inlineStr">
        <x:is>
          <x:t xml:space="preserve"/>
        </x:is>
      </x:c>
      <x:c r="E55" s="75" t="inlineStr">
        <x:is>
          <x:t xml:space="preserve"/>
        </x:is>
      </x:c>
      <x:c r="F55" s="75" t="inlineStr">
        <x:is>
          <x:t xml:space="preserve"/>
        </x:is>
      </x:c>
      <x:c r="G55" s="52" t="n">
        <x:v>0</x:v>
      </x:c>
      <x:c r="H55" s="75" t="inlineStr">
        <x:is>
          <x:t xml:space="preserve"/>
        </x:is>
      </x:c>
      <x:c r="I55" s="75" t="inlineStr">
        <x:is>
          <x:t xml:space="preserve"/>
        </x:is>
      </x:c>
      <x:c r="J55" s="75" t="inlineStr">
        <x:is>
          <x:t xml:space="preserve"/>
        </x:is>
      </x:c>
      <x:c r="K55" s="75" t="inlineStr">
        <x:is>
          <x:t xml:space="preserve">No</x:t>
        </x:is>
      </x:c>
      <x:c r="L55" s="75" t="inlineStr">
        <x:is>
          <x:t xml:space="preserve"/>
        </x:is>
      </x:c>
    </x:row>
    <x:row r="56">
      <x:c r="A56" s="30" t="inlineStr">
        <x:is>
          <x:t xml:space="preserve">TXN052</x:t>
        </x:is>
      </x:c>
      <x:c r="B56" s="82" t="inlineStr">
        <x:is>
          <x:t xml:space="preserve"/>
        </x:is>
      </x:c>
      <x:c r="C56" s="83" t="str">
        <x:f>IF(B56="","",MAX(1,MIN(24,INT((B56-Assumptions!$B$7)/7)+1)))</x:f>
      </x:c>
      <x:c r="D56" s="76" t="inlineStr">
        <x:is>
          <x:t xml:space="preserve"/>
        </x:is>
      </x:c>
      <x:c r="E56" s="76" t="inlineStr">
        <x:is>
          <x:t xml:space="preserve"/>
        </x:is>
      </x:c>
      <x:c r="F56" s="76" t="inlineStr">
        <x:is>
          <x:t xml:space="preserve"/>
        </x:is>
      </x:c>
      <x:c r="G56" s="52" t="n">
        <x:v>0</x:v>
      </x:c>
      <x:c r="H56" s="76" t="inlineStr">
        <x:is>
          <x:t xml:space="preserve"/>
        </x:is>
      </x:c>
      <x:c r="I56" s="76" t="inlineStr">
        <x:is>
          <x:t xml:space="preserve"/>
        </x:is>
      </x:c>
      <x:c r="J56" s="76" t="inlineStr">
        <x:is>
          <x:t xml:space="preserve"/>
        </x:is>
      </x:c>
      <x:c r="K56" s="76" t="inlineStr">
        <x:is>
          <x:t xml:space="preserve">No</x:t>
        </x:is>
      </x:c>
      <x:c r="L56" s="76" t="inlineStr">
        <x:is>
          <x:t xml:space="preserve"/>
        </x:is>
      </x:c>
    </x:row>
    <x:row r="57">
      <x:c r="A57" s="31" t="inlineStr">
        <x:is>
          <x:t xml:space="preserve">TXN053</x:t>
        </x:is>
      </x:c>
      <x:c r="B57" s="80" t="inlineStr">
        <x:is>
          <x:t xml:space="preserve"/>
        </x:is>
      </x:c>
      <x:c r="C57" s="81" t="str">
        <x:f>IF(B57="","",MAX(1,MIN(24,INT((B57-Assumptions!$B$7)/7)+1)))</x:f>
      </x:c>
      <x:c r="D57" s="75" t="inlineStr">
        <x:is>
          <x:t xml:space="preserve"/>
        </x:is>
      </x:c>
      <x:c r="E57" s="75" t="inlineStr">
        <x:is>
          <x:t xml:space="preserve"/>
        </x:is>
      </x:c>
      <x:c r="F57" s="75" t="inlineStr">
        <x:is>
          <x:t xml:space="preserve"/>
        </x:is>
      </x:c>
      <x:c r="G57" s="52" t="n">
        <x:v>0</x:v>
      </x:c>
      <x:c r="H57" s="75" t="inlineStr">
        <x:is>
          <x:t xml:space="preserve"/>
        </x:is>
      </x:c>
      <x:c r="I57" s="75" t="inlineStr">
        <x:is>
          <x:t xml:space="preserve"/>
        </x:is>
      </x:c>
      <x:c r="J57" s="75" t="inlineStr">
        <x:is>
          <x:t xml:space="preserve"/>
        </x:is>
      </x:c>
      <x:c r="K57" s="75" t="inlineStr">
        <x:is>
          <x:t xml:space="preserve">No</x:t>
        </x:is>
      </x:c>
      <x:c r="L57" s="75" t="inlineStr">
        <x:is>
          <x:t xml:space="preserve"/>
        </x:is>
      </x:c>
    </x:row>
    <x:row r="58">
      <x:c r="A58" s="30" t="inlineStr">
        <x:is>
          <x:t xml:space="preserve">TXN054</x:t>
        </x:is>
      </x:c>
      <x:c r="B58" s="82" t="inlineStr">
        <x:is>
          <x:t xml:space="preserve"/>
        </x:is>
      </x:c>
      <x:c r="C58" s="83" t="str">
        <x:f>IF(B58="","",MAX(1,MIN(24,INT((B58-Assumptions!$B$7)/7)+1)))</x:f>
      </x:c>
      <x:c r="D58" s="76" t="inlineStr">
        <x:is>
          <x:t xml:space="preserve"/>
        </x:is>
      </x:c>
      <x:c r="E58" s="76" t="inlineStr">
        <x:is>
          <x:t xml:space="preserve"/>
        </x:is>
      </x:c>
      <x:c r="F58" s="76" t="inlineStr">
        <x:is>
          <x:t xml:space="preserve"/>
        </x:is>
      </x:c>
      <x:c r="G58" s="52" t="n">
        <x:v>0</x:v>
      </x:c>
      <x:c r="H58" s="76" t="inlineStr">
        <x:is>
          <x:t xml:space="preserve"/>
        </x:is>
      </x:c>
      <x:c r="I58" s="76" t="inlineStr">
        <x:is>
          <x:t xml:space="preserve"/>
        </x:is>
      </x:c>
      <x:c r="J58" s="76" t="inlineStr">
        <x:is>
          <x:t xml:space="preserve"/>
        </x:is>
      </x:c>
      <x:c r="K58" s="76" t="inlineStr">
        <x:is>
          <x:t xml:space="preserve">No</x:t>
        </x:is>
      </x:c>
      <x:c r="L58" s="76" t="inlineStr">
        <x:is>
          <x:t xml:space="preserve"/>
        </x:is>
      </x:c>
    </x:row>
    <x:row r="59">
      <x:c r="A59" s="31" t="inlineStr">
        <x:is>
          <x:t xml:space="preserve">TXN055</x:t>
        </x:is>
      </x:c>
      <x:c r="B59" s="80" t="inlineStr">
        <x:is>
          <x:t xml:space="preserve"/>
        </x:is>
      </x:c>
      <x:c r="C59" s="81" t="str">
        <x:f>IF(B59="","",MAX(1,MIN(24,INT((B59-Assumptions!$B$7)/7)+1)))</x:f>
      </x:c>
      <x:c r="D59" s="75" t="inlineStr">
        <x:is>
          <x:t xml:space="preserve"/>
        </x:is>
      </x:c>
      <x:c r="E59" s="75" t="inlineStr">
        <x:is>
          <x:t xml:space="preserve"/>
        </x:is>
      </x:c>
      <x:c r="F59" s="75" t="inlineStr">
        <x:is>
          <x:t xml:space="preserve"/>
        </x:is>
      </x:c>
      <x:c r="G59" s="52" t="n">
        <x:v>0</x:v>
      </x:c>
      <x:c r="H59" s="75" t="inlineStr">
        <x:is>
          <x:t xml:space="preserve"/>
        </x:is>
      </x:c>
      <x:c r="I59" s="75" t="inlineStr">
        <x:is>
          <x:t xml:space="preserve"/>
        </x:is>
      </x:c>
      <x:c r="J59" s="75" t="inlineStr">
        <x:is>
          <x:t xml:space="preserve"/>
        </x:is>
      </x:c>
      <x:c r="K59" s="75" t="inlineStr">
        <x:is>
          <x:t xml:space="preserve">No</x:t>
        </x:is>
      </x:c>
      <x:c r="L59" s="75" t="inlineStr">
        <x:is>
          <x:t xml:space="preserve"/>
        </x:is>
      </x:c>
    </x:row>
    <x:row r="60">
      <x:c r="A60" s="30" t="inlineStr">
        <x:is>
          <x:t xml:space="preserve">TXN056</x:t>
        </x:is>
      </x:c>
      <x:c r="B60" s="82" t="inlineStr">
        <x:is>
          <x:t xml:space="preserve"/>
        </x:is>
      </x:c>
      <x:c r="C60" s="83" t="str">
        <x:f>IF(B60="","",MAX(1,MIN(24,INT((B60-Assumptions!$B$7)/7)+1)))</x:f>
      </x:c>
      <x:c r="D60" s="76" t="inlineStr">
        <x:is>
          <x:t xml:space="preserve"/>
        </x:is>
      </x:c>
      <x:c r="E60" s="76" t="inlineStr">
        <x:is>
          <x:t xml:space="preserve"/>
        </x:is>
      </x:c>
      <x:c r="F60" s="76" t="inlineStr">
        <x:is>
          <x:t xml:space="preserve"/>
        </x:is>
      </x:c>
      <x:c r="G60" s="52" t="n">
        <x:v>0</x:v>
      </x:c>
      <x:c r="H60" s="76" t="inlineStr">
        <x:is>
          <x:t xml:space="preserve"/>
        </x:is>
      </x:c>
      <x:c r="I60" s="76" t="inlineStr">
        <x:is>
          <x:t xml:space="preserve"/>
        </x:is>
      </x:c>
      <x:c r="J60" s="76" t="inlineStr">
        <x:is>
          <x:t xml:space="preserve"/>
        </x:is>
      </x:c>
      <x:c r="K60" s="76" t="inlineStr">
        <x:is>
          <x:t xml:space="preserve">No</x:t>
        </x:is>
      </x:c>
      <x:c r="L60" s="76" t="inlineStr">
        <x:is>
          <x:t xml:space="preserve"/>
        </x:is>
      </x:c>
    </x:row>
    <x:row r="61">
      <x:c r="A61" s="31" t="inlineStr">
        <x:is>
          <x:t xml:space="preserve">TXN057</x:t>
        </x:is>
      </x:c>
      <x:c r="B61" s="80" t="inlineStr">
        <x:is>
          <x:t xml:space="preserve"/>
        </x:is>
      </x:c>
      <x:c r="C61" s="81" t="str">
        <x:f>IF(B61="","",MAX(1,MIN(24,INT((B61-Assumptions!$B$7)/7)+1)))</x:f>
      </x:c>
      <x:c r="D61" s="75" t="inlineStr">
        <x:is>
          <x:t xml:space="preserve"/>
        </x:is>
      </x:c>
      <x:c r="E61" s="75" t="inlineStr">
        <x:is>
          <x:t xml:space="preserve"/>
        </x:is>
      </x:c>
      <x:c r="F61" s="75" t="inlineStr">
        <x:is>
          <x:t xml:space="preserve"/>
        </x:is>
      </x:c>
      <x:c r="G61" s="52" t="n">
        <x:v>0</x:v>
      </x:c>
      <x:c r="H61" s="75" t="inlineStr">
        <x:is>
          <x:t xml:space="preserve"/>
        </x:is>
      </x:c>
      <x:c r="I61" s="75" t="inlineStr">
        <x:is>
          <x:t xml:space="preserve"/>
        </x:is>
      </x:c>
      <x:c r="J61" s="75" t="inlineStr">
        <x:is>
          <x:t xml:space="preserve"/>
        </x:is>
      </x:c>
      <x:c r="K61" s="75" t="inlineStr">
        <x:is>
          <x:t xml:space="preserve">No</x:t>
        </x:is>
      </x:c>
      <x:c r="L61" s="75" t="inlineStr">
        <x:is>
          <x:t xml:space="preserve"/>
        </x:is>
      </x:c>
    </x:row>
    <x:row r="62">
      <x:c r="A62" s="30" t="inlineStr">
        <x:is>
          <x:t xml:space="preserve">TXN058</x:t>
        </x:is>
      </x:c>
      <x:c r="B62" s="82" t="inlineStr">
        <x:is>
          <x:t xml:space="preserve"/>
        </x:is>
      </x:c>
      <x:c r="C62" s="83" t="str">
        <x:f>IF(B62="","",MAX(1,MIN(24,INT((B62-Assumptions!$B$7)/7)+1)))</x:f>
      </x:c>
      <x:c r="D62" s="76" t="inlineStr">
        <x:is>
          <x:t xml:space="preserve"/>
        </x:is>
      </x:c>
      <x:c r="E62" s="76" t="inlineStr">
        <x:is>
          <x:t xml:space="preserve"/>
        </x:is>
      </x:c>
      <x:c r="F62" s="76" t="inlineStr">
        <x:is>
          <x:t xml:space="preserve"/>
        </x:is>
      </x:c>
      <x:c r="G62" s="52" t="n">
        <x:v>0</x:v>
      </x:c>
      <x:c r="H62" s="76" t="inlineStr">
        <x:is>
          <x:t xml:space="preserve"/>
        </x:is>
      </x:c>
      <x:c r="I62" s="76" t="inlineStr">
        <x:is>
          <x:t xml:space="preserve"/>
        </x:is>
      </x:c>
      <x:c r="J62" s="76" t="inlineStr">
        <x:is>
          <x:t xml:space="preserve"/>
        </x:is>
      </x:c>
      <x:c r="K62" s="76" t="inlineStr">
        <x:is>
          <x:t xml:space="preserve">No</x:t>
        </x:is>
      </x:c>
      <x:c r="L62" s="76" t="inlineStr">
        <x:is>
          <x:t xml:space="preserve"/>
        </x:is>
      </x:c>
    </x:row>
    <x:row r="63">
      <x:c r="A63" s="31" t="inlineStr">
        <x:is>
          <x:t xml:space="preserve">TXN059</x:t>
        </x:is>
      </x:c>
      <x:c r="B63" s="80" t="inlineStr">
        <x:is>
          <x:t xml:space="preserve"/>
        </x:is>
      </x:c>
      <x:c r="C63" s="81" t="str">
        <x:f>IF(B63="","",MAX(1,MIN(24,INT((B63-Assumptions!$B$7)/7)+1)))</x:f>
      </x:c>
      <x:c r="D63" s="75" t="inlineStr">
        <x:is>
          <x:t xml:space="preserve"/>
        </x:is>
      </x:c>
      <x:c r="E63" s="75" t="inlineStr">
        <x:is>
          <x:t xml:space="preserve"/>
        </x:is>
      </x:c>
      <x:c r="F63" s="75" t="inlineStr">
        <x:is>
          <x:t xml:space="preserve"/>
        </x:is>
      </x:c>
      <x:c r="G63" s="52" t="n">
        <x:v>0</x:v>
      </x:c>
      <x:c r="H63" s="75" t="inlineStr">
        <x:is>
          <x:t xml:space="preserve"/>
        </x:is>
      </x:c>
      <x:c r="I63" s="75" t="inlineStr">
        <x:is>
          <x:t xml:space="preserve"/>
        </x:is>
      </x:c>
      <x:c r="J63" s="75" t="inlineStr">
        <x:is>
          <x:t xml:space="preserve"/>
        </x:is>
      </x:c>
      <x:c r="K63" s="75" t="inlineStr">
        <x:is>
          <x:t xml:space="preserve">No</x:t>
        </x:is>
      </x:c>
      <x:c r="L63" s="75" t="inlineStr">
        <x:is>
          <x:t xml:space="preserve"/>
        </x:is>
      </x:c>
    </x:row>
    <x:row r="64">
      <x:c r="A64" s="30" t="inlineStr">
        <x:is>
          <x:t xml:space="preserve">TXN060</x:t>
        </x:is>
      </x:c>
      <x:c r="B64" s="82" t="inlineStr">
        <x:is>
          <x:t xml:space="preserve"/>
        </x:is>
      </x:c>
      <x:c r="C64" s="83" t="str">
        <x:f>IF(B64="","",MAX(1,MIN(24,INT((B64-Assumptions!$B$7)/7)+1)))</x:f>
      </x:c>
      <x:c r="D64" s="76" t="inlineStr">
        <x:is>
          <x:t xml:space="preserve"/>
        </x:is>
      </x:c>
      <x:c r="E64" s="76" t="inlineStr">
        <x:is>
          <x:t xml:space="preserve"/>
        </x:is>
      </x:c>
      <x:c r="F64" s="76" t="inlineStr">
        <x:is>
          <x:t xml:space="preserve"/>
        </x:is>
      </x:c>
      <x:c r="G64" s="52" t="n">
        <x:v>0</x:v>
      </x:c>
      <x:c r="H64" s="76" t="inlineStr">
        <x:is>
          <x:t xml:space="preserve"/>
        </x:is>
      </x:c>
      <x:c r="I64" s="76" t="inlineStr">
        <x:is>
          <x:t xml:space="preserve"/>
        </x:is>
      </x:c>
      <x:c r="J64" s="76" t="inlineStr">
        <x:is>
          <x:t xml:space="preserve"/>
        </x:is>
      </x:c>
      <x:c r="K64" s="76" t="inlineStr">
        <x:is>
          <x:t xml:space="preserve">No</x:t>
        </x:is>
      </x:c>
      <x:c r="L64" s="76" t="inlineStr">
        <x:is>
          <x:t xml:space="preserve"/>
        </x:is>
      </x:c>
    </x:row>
    <x:row r="65">
      <x:c r="A65" s="31" t="inlineStr">
        <x:is>
          <x:t xml:space="preserve">TXN061</x:t>
        </x:is>
      </x:c>
      <x:c r="B65" s="80" t="inlineStr">
        <x:is>
          <x:t xml:space="preserve"/>
        </x:is>
      </x:c>
      <x:c r="C65" s="81" t="str">
        <x:f>IF(B65="","",MAX(1,MIN(24,INT((B65-Assumptions!$B$7)/7)+1)))</x:f>
      </x:c>
      <x:c r="D65" s="75" t="inlineStr">
        <x:is>
          <x:t xml:space="preserve"/>
        </x:is>
      </x:c>
      <x:c r="E65" s="75" t="inlineStr">
        <x:is>
          <x:t xml:space="preserve"/>
        </x:is>
      </x:c>
      <x:c r="F65" s="75" t="inlineStr">
        <x:is>
          <x:t xml:space="preserve"/>
        </x:is>
      </x:c>
      <x:c r="G65" s="52" t="n">
        <x:v>0</x:v>
      </x:c>
      <x:c r="H65" s="75" t="inlineStr">
        <x:is>
          <x:t xml:space="preserve"/>
        </x:is>
      </x:c>
      <x:c r="I65" s="75" t="inlineStr">
        <x:is>
          <x:t xml:space="preserve"/>
        </x:is>
      </x:c>
      <x:c r="J65" s="75" t="inlineStr">
        <x:is>
          <x:t xml:space="preserve"/>
        </x:is>
      </x:c>
      <x:c r="K65" s="75" t="inlineStr">
        <x:is>
          <x:t xml:space="preserve">No</x:t>
        </x:is>
      </x:c>
      <x:c r="L65" s="75" t="inlineStr">
        <x:is>
          <x:t xml:space="preserve"/>
        </x:is>
      </x:c>
    </x:row>
    <x:row r="66">
      <x:c r="A66" s="30" t="inlineStr">
        <x:is>
          <x:t xml:space="preserve">TXN062</x:t>
        </x:is>
      </x:c>
      <x:c r="B66" s="82" t="inlineStr">
        <x:is>
          <x:t xml:space="preserve"/>
        </x:is>
      </x:c>
      <x:c r="C66" s="83" t="str">
        <x:f>IF(B66="","",MAX(1,MIN(24,INT((B66-Assumptions!$B$7)/7)+1)))</x:f>
      </x:c>
      <x:c r="D66" s="76" t="inlineStr">
        <x:is>
          <x:t xml:space="preserve"/>
        </x:is>
      </x:c>
      <x:c r="E66" s="76" t="inlineStr">
        <x:is>
          <x:t xml:space="preserve"/>
        </x:is>
      </x:c>
      <x:c r="F66" s="76" t="inlineStr">
        <x:is>
          <x:t xml:space="preserve"/>
        </x:is>
      </x:c>
      <x:c r="G66" s="52" t="n">
        <x:v>0</x:v>
      </x:c>
      <x:c r="H66" s="76" t="inlineStr">
        <x:is>
          <x:t xml:space="preserve"/>
        </x:is>
      </x:c>
      <x:c r="I66" s="76" t="inlineStr">
        <x:is>
          <x:t xml:space="preserve"/>
        </x:is>
      </x:c>
      <x:c r="J66" s="76" t="inlineStr">
        <x:is>
          <x:t xml:space="preserve"/>
        </x:is>
      </x:c>
      <x:c r="K66" s="76" t="inlineStr">
        <x:is>
          <x:t xml:space="preserve">No</x:t>
        </x:is>
      </x:c>
      <x:c r="L66" s="76" t="inlineStr">
        <x:is>
          <x:t xml:space="preserve"/>
        </x:is>
      </x:c>
    </x:row>
    <x:row r="67">
      <x:c r="A67" s="31" t="inlineStr">
        <x:is>
          <x:t xml:space="preserve">TXN063</x:t>
        </x:is>
      </x:c>
      <x:c r="B67" s="80" t="inlineStr">
        <x:is>
          <x:t xml:space="preserve"/>
        </x:is>
      </x:c>
      <x:c r="C67" s="81" t="str">
        <x:f>IF(B67="","",MAX(1,MIN(24,INT((B67-Assumptions!$B$7)/7)+1)))</x:f>
      </x:c>
      <x:c r="D67" s="75" t="inlineStr">
        <x:is>
          <x:t xml:space="preserve"/>
        </x:is>
      </x:c>
      <x:c r="E67" s="75" t="inlineStr">
        <x:is>
          <x:t xml:space="preserve"/>
        </x:is>
      </x:c>
      <x:c r="F67" s="75" t="inlineStr">
        <x:is>
          <x:t xml:space="preserve"/>
        </x:is>
      </x:c>
      <x:c r="G67" s="52" t="n">
        <x:v>0</x:v>
      </x:c>
      <x:c r="H67" s="75" t="inlineStr">
        <x:is>
          <x:t xml:space="preserve"/>
        </x:is>
      </x:c>
      <x:c r="I67" s="75" t="inlineStr">
        <x:is>
          <x:t xml:space="preserve"/>
        </x:is>
      </x:c>
      <x:c r="J67" s="75" t="inlineStr">
        <x:is>
          <x:t xml:space="preserve"/>
        </x:is>
      </x:c>
      <x:c r="K67" s="75" t="inlineStr">
        <x:is>
          <x:t xml:space="preserve">No</x:t>
        </x:is>
      </x:c>
      <x:c r="L67" s="75" t="inlineStr">
        <x:is>
          <x:t xml:space="preserve"/>
        </x:is>
      </x:c>
    </x:row>
    <x:row r="68">
      <x:c r="A68" s="30" t="inlineStr">
        <x:is>
          <x:t xml:space="preserve">TXN064</x:t>
        </x:is>
      </x:c>
      <x:c r="B68" s="82" t="inlineStr">
        <x:is>
          <x:t xml:space="preserve"/>
        </x:is>
      </x:c>
      <x:c r="C68" s="83" t="str">
        <x:f>IF(B68="","",MAX(1,MIN(24,INT((B68-Assumptions!$B$7)/7)+1)))</x:f>
      </x:c>
      <x:c r="D68" s="76" t="inlineStr">
        <x:is>
          <x:t xml:space="preserve"/>
        </x:is>
      </x:c>
      <x:c r="E68" s="76" t="inlineStr">
        <x:is>
          <x:t xml:space="preserve"/>
        </x:is>
      </x:c>
      <x:c r="F68" s="76" t="inlineStr">
        <x:is>
          <x:t xml:space="preserve"/>
        </x:is>
      </x:c>
      <x:c r="G68" s="52" t="n">
        <x:v>0</x:v>
      </x:c>
      <x:c r="H68" s="76" t="inlineStr">
        <x:is>
          <x:t xml:space="preserve"/>
        </x:is>
      </x:c>
      <x:c r="I68" s="76" t="inlineStr">
        <x:is>
          <x:t xml:space="preserve"/>
        </x:is>
      </x:c>
      <x:c r="J68" s="76" t="inlineStr">
        <x:is>
          <x:t xml:space="preserve"/>
        </x:is>
      </x:c>
      <x:c r="K68" s="76" t="inlineStr">
        <x:is>
          <x:t xml:space="preserve">No</x:t>
        </x:is>
      </x:c>
      <x:c r="L68" s="76" t="inlineStr">
        <x:is>
          <x:t xml:space="preserve"/>
        </x:is>
      </x:c>
    </x:row>
    <x:row r="69">
      <x:c r="A69" s="31" t="inlineStr">
        <x:is>
          <x:t xml:space="preserve">TXN065</x:t>
        </x:is>
      </x:c>
      <x:c r="B69" s="80" t="inlineStr">
        <x:is>
          <x:t xml:space="preserve"/>
        </x:is>
      </x:c>
      <x:c r="C69" s="81" t="str">
        <x:f>IF(B69="","",MAX(1,MIN(24,INT((B69-Assumptions!$B$7)/7)+1)))</x:f>
      </x:c>
      <x:c r="D69" s="75" t="inlineStr">
        <x:is>
          <x:t xml:space="preserve"/>
        </x:is>
      </x:c>
      <x:c r="E69" s="75" t="inlineStr">
        <x:is>
          <x:t xml:space="preserve"/>
        </x:is>
      </x:c>
      <x:c r="F69" s="75" t="inlineStr">
        <x:is>
          <x:t xml:space="preserve"/>
        </x:is>
      </x:c>
      <x:c r="G69" s="52" t="n">
        <x:v>0</x:v>
      </x:c>
      <x:c r="H69" s="75" t="inlineStr">
        <x:is>
          <x:t xml:space="preserve"/>
        </x:is>
      </x:c>
      <x:c r="I69" s="75" t="inlineStr">
        <x:is>
          <x:t xml:space="preserve"/>
        </x:is>
      </x:c>
      <x:c r="J69" s="75" t="inlineStr">
        <x:is>
          <x:t xml:space="preserve"/>
        </x:is>
      </x:c>
      <x:c r="K69" s="75" t="inlineStr">
        <x:is>
          <x:t xml:space="preserve">No</x:t>
        </x:is>
      </x:c>
      <x:c r="L69" s="75" t="inlineStr">
        <x:is>
          <x:t xml:space="preserve"/>
        </x:is>
      </x:c>
    </x:row>
    <x:row r="70">
      <x:c r="A70" s="30" t="inlineStr">
        <x:is>
          <x:t xml:space="preserve">TXN066</x:t>
        </x:is>
      </x:c>
      <x:c r="B70" s="82" t="inlineStr">
        <x:is>
          <x:t xml:space="preserve"/>
        </x:is>
      </x:c>
      <x:c r="C70" s="83" t="str">
        <x:f>IF(B70="","",MAX(1,MIN(24,INT((B70-Assumptions!$B$7)/7)+1)))</x:f>
      </x:c>
      <x:c r="D70" s="76" t="inlineStr">
        <x:is>
          <x:t xml:space="preserve"/>
        </x:is>
      </x:c>
      <x:c r="E70" s="76" t="inlineStr">
        <x:is>
          <x:t xml:space="preserve"/>
        </x:is>
      </x:c>
      <x:c r="F70" s="76" t="inlineStr">
        <x:is>
          <x:t xml:space="preserve"/>
        </x:is>
      </x:c>
      <x:c r="G70" s="52" t="n">
        <x:v>0</x:v>
      </x:c>
      <x:c r="H70" s="76" t="inlineStr">
        <x:is>
          <x:t xml:space="preserve"/>
        </x:is>
      </x:c>
      <x:c r="I70" s="76" t="inlineStr">
        <x:is>
          <x:t xml:space="preserve"/>
        </x:is>
      </x:c>
      <x:c r="J70" s="76" t="inlineStr">
        <x:is>
          <x:t xml:space="preserve"/>
        </x:is>
      </x:c>
      <x:c r="K70" s="76" t="inlineStr">
        <x:is>
          <x:t xml:space="preserve">No</x:t>
        </x:is>
      </x:c>
      <x:c r="L70" s="76" t="inlineStr">
        <x:is>
          <x:t xml:space="preserve"/>
        </x:is>
      </x:c>
    </x:row>
    <x:row r="71">
      <x:c r="A71" s="31" t="inlineStr">
        <x:is>
          <x:t xml:space="preserve">TXN067</x:t>
        </x:is>
      </x:c>
      <x:c r="B71" s="80" t="inlineStr">
        <x:is>
          <x:t xml:space="preserve"/>
        </x:is>
      </x:c>
      <x:c r="C71" s="81" t="str">
        <x:f>IF(B71="","",MAX(1,MIN(24,INT((B71-Assumptions!$B$7)/7)+1)))</x:f>
      </x:c>
      <x:c r="D71" s="75" t="inlineStr">
        <x:is>
          <x:t xml:space="preserve"/>
        </x:is>
      </x:c>
      <x:c r="E71" s="75" t="inlineStr">
        <x:is>
          <x:t xml:space="preserve"/>
        </x:is>
      </x:c>
      <x:c r="F71" s="75" t="inlineStr">
        <x:is>
          <x:t xml:space="preserve"/>
        </x:is>
      </x:c>
      <x:c r="G71" s="52" t="n">
        <x:v>0</x:v>
      </x:c>
      <x:c r="H71" s="75" t="inlineStr">
        <x:is>
          <x:t xml:space="preserve"/>
        </x:is>
      </x:c>
      <x:c r="I71" s="75" t="inlineStr">
        <x:is>
          <x:t xml:space="preserve"/>
        </x:is>
      </x:c>
      <x:c r="J71" s="75" t="inlineStr">
        <x:is>
          <x:t xml:space="preserve"/>
        </x:is>
      </x:c>
      <x:c r="K71" s="75" t="inlineStr">
        <x:is>
          <x:t xml:space="preserve">No</x:t>
        </x:is>
      </x:c>
      <x:c r="L71" s="75" t="inlineStr">
        <x:is>
          <x:t xml:space="preserve"/>
        </x:is>
      </x:c>
    </x:row>
    <x:row r="72">
      <x:c r="A72" s="30" t="inlineStr">
        <x:is>
          <x:t xml:space="preserve">TXN068</x:t>
        </x:is>
      </x:c>
      <x:c r="B72" s="82" t="inlineStr">
        <x:is>
          <x:t xml:space="preserve"/>
        </x:is>
      </x:c>
      <x:c r="C72" s="83" t="str">
        <x:f>IF(B72="","",MAX(1,MIN(24,INT((B72-Assumptions!$B$7)/7)+1)))</x:f>
      </x:c>
      <x:c r="D72" s="76" t="inlineStr">
        <x:is>
          <x:t xml:space="preserve"/>
        </x:is>
      </x:c>
      <x:c r="E72" s="76" t="inlineStr">
        <x:is>
          <x:t xml:space="preserve"/>
        </x:is>
      </x:c>
      <x:c r="F72" s="76" t="inlineStr">
        <x:is>
          <x:t xml:space="preserve"/>
        </x:is>
      </x:c>
      <x:c r="G72" s="52" t="n">
        <x:v>0</x:v>
      </x:c>
      <x:c r="H72" s="76" t="inlineStr">
        <x:is>
          <x:t xml:space="preserve"/>
        </x:is>
      </x:c>
      <x:c r="I72" s="76" t="inlineStr">
        <x:is>
          <x:t xml:space="preserve"/>
        </x:is>
      </x:c>
      <x:c r="J72" s="76" t="inlineStr">
        <x:is>
          <x:t xml:space="preserve"/>
        </x:is>
      </x:c>
      <x:c r="K72" s="76" t="inlineStr">
        <x:is>
          <x:t xml:space="preserve">No</x:t>
        </x:is>
      </x:c>
      <x:c r="L72" s="76" t="inlineStr">
        <x:is>
          <x:t xml:space="preserve"/>
        </x:is>
      </x:c>
    </x:row>
    <x:row r="73">
      <x:c r="A73" s="31" t="inlineStr">
        <x:is>
          <x:t xml:space="preserve">TXN069</x:t>
        </x:is>
      </x:c>
      <x:c r="B73" s="80" t="inlineStr">
        <x:is>
          <x:t xml:space="preserve"/>
        </x:is>
      </x:c>
      <x:c r="C73" s="81" t="str">
        <x:f>IF(B73="","",MAX(1,MIN(24,INT((B73-Assumptions!$B$7)/7)+1)))</x:f>
      </x:c>
      <x:c r="D73" s="75" t="inlineStr">
        <x:is>
          <x:t xml:space="preserve"/>
        </x:is>
      </x:c>
      <x:c r="E73" s="75" t="inlineStr">
        <x:is>
          <x:t xml:space="preserve"/>
        </x:is>
      </x:c>
      <x:c r="F73" s="75" t="inlineStr">
        <x:is>
          <x:t xml:space="preserve"/>
        </x:is>
      </x:c>
      <x:c r="G73" s="52" t="n">
        <x:v>0</x:v>
      </x:c>
      <x:c r="H73" s="75" t="inlineStr">
        <x:is>
          <x:t xml:space="preserve"/>
        </x:is>
      </x:c>
      <x:c r="I73" s="75" t="inlineStr">
        <x:is>
          <x:t xml:space="preserve"/>
        </x:is>
      </x:c>
      <x:c r="J73" s="75" t="inlineStr">
        <x:is>
          <x:t xml:space="preserve"/>
        </x:is>
      </x:c>
      <x:c r="K73" s="75" t="inlineStr">
        <x:is>
          <x:t xml:space="preserve">No</x:t>
        </x:is>
      </x:c>
      <x:c r="L73" s="75" t="inlineStr">
        <x:is>
          <x:t xml:space="preserve"/>
        </x:is>
      </x:c>
    </x:row>
    <x:row r="74">
      <x:c r="A74" s="30" t="inlineStr">
        <x:is>
          <x:t xml:space="preserve">TXN070</x:t>
        </x:is>
      </x:c>
      <x:c r="B74" s="82" t="inlineStr">
        <x:is>
          <x:t xml:space="preserve"/>
        </x:is>
      </x:c>
      <x:c r="C74" s="83" t="str">
        <x:f>IF(B74="","",MAX(1,MIN(24,INT((B74-Assumptions!$B$7)/7)+1)))</x:f>
      </x:c>
      <x:c r="D74" s="76" t="inlineStr">
        <x:is>
          <x:t xml:space="preserve"/>
        </x:is>
      </x:c>
      <x:c r="E74" s="76" t="inlineStr">
        <x:is>
          <x:t xml:space="preserve"/>
        </x:is>
      </x:c>
      <x:c r="F74" s="76" t="inlineStr">
        <x:is>
          <x:t xml:space="preserve"/>
        </x:is>
      </x:c>
      <x:c r="G74" s="52" t="n">
        <x:v>0</x:v>
      </x:c>
      <x:c r="H74" s="76" t="inlineStr">
        <x:is>
          <x:t xml:space="preserve"/>
        </x:is>
      </x:c>
      <x:c r="I74" s="76" t="inlineStr">
        <x:is>
          <x:t xml:space="preserve"/>
        </x:is>
      </x:c>
      <x:c r="J74" s="76" t="inlineStr">
        <x:is>
          <x:t xml:space="preserve"/>
        </x:is>
      </x:c>
      <x:c r="K74" s="76" t="inlineStr">
        <x:is>
          <x:t xml:space="preserve">No</x:t>
        </x:is>
      </x:c>
      <x:c r="L74" s="76" t="inlineStr">
        <x:is>
          <x:t xml:space="preserve"/>
        </x:is>
      </x:c>
    </x:row>
    <x:row r="75">
      <x:c r="A75" s="31" t="inlineStr">
        <x:is>
          <x:t xml:space="preserve">TXN071</x:t>
        </x:is>
      </x:c>
      <x:c r="B75" s="80" t="inlineStr">
        <x:is>
          <x:t xml:space="preserve"/>
        </x:is>
      </x:c>
      <x:c r="C75" s="81" t="str">
        <x:f>IF(B75="","",MAX(1,MIN(24,INT((B75-Assumptions!$B$7)/7)+1)))</x:f>
      </x:c>
      <x:c r="D75" s="75" t="inlineStr">
        <x:is>
          <x:t xml:space="preserve"/>
        </x:is>
      </x:c>
      <x:c r="E75" s="75" t="inlineStr">
        <x:is>
          <x:t xml:space="preserve"/>
        </x:is>
      </x:c>
      <x:c r="F75" s="75" t="inlineStr">
        <x:is>
          <x:t xml:space="preserve"/>
        </x:is>
      </x:c>
      <x:c r="G75" s="52" t="n">
        <x:v>0</x:v>
      </x:c>
      <x:c r="H75" s="75" t="inlineStr">
        <x:is>
          <x:t xml:space="preserve"/>
        </x:is>
      </x:c>
      <x:c r="I75" s="75" t="inlineStr">
        <x:is>
          <x:t xml:space="preserve"/>
        </x:is>
      </x:c>
      <x:c r="J75" s="75" t="inlineStr">
        <x:is>
          <x:t xml:space="preserve"/>
        </x:is>
      </x:c>
      <x:c r="K75" s="75" t="inlineStr">
        <x:is>
          <x:t xml:space="preserve">No</x:t>
        </x:is>
      </x:c>
      <x:c r="L75" s="75" t="inlineStr">
        <x:is>
          <x:t xml:space="preserve"/>
        </x:is>
      </x:c>
    </x:row>
    <x:row r="76">
      <x:c r="A76" s="30" t="inlineStr">
        <x:is>
          <x:t xml:space="preserve">TXN072</x:t>
        </x:is>
      </x:c>
      <x:c r="B76" s="82" t="inlineStr">
        <x:is>
          <x:t xml:space="preserve"/>
        </x:is>
      </x:c>
      <x:c r="C76" s="83" t="str">
        <x:f>IF(B76="","",MAX(1,MIN(24,INT((B76-Assumptions!$B$7)/7)+1)))</x:f>
      </x:c>
      <x:c r="D76" s="76" t="inlineStr">
        <x:is>
          <x:t xml:space="preserve"/>
        </x:is>
      </x:c>
      <x:c r="E76" s="76" t="inlineStr">
        <x:is>
          <x:t xml:space="preserve"/>
        </x:is>
      </x:c>
      <x:c r="F76" s="76" t="inlineStr">
        <x:is>
          <x:t xml:space="preserve"/>
        </x:is>
      </x:c>
      <x:c r="G76" s="52" t="n">
        <x:v>0</x:v>
      </x:c>
      <x:c r="H76" s="76" t="inlineStr">
        <x:is>
          <x:t xml:space="preserve"/>
        </x:is>
      </x:c>
      <x:c r="I76" s="76" t="inlineStr">
        <x:is>
          <x:t xml:space="preserve"/>
        </x:is>
      </x:c>
      <x:c r="J76" s="76" t="inlineStr">
        <x:is>
          <x:t xml:space="preserve"/>
        </x:is>
      </x:c>
      <x:c r="K76" s="76" t="inlineStr">
        <x:is>
          <x:t xml:space="preserve">No</x:t>
        </x:is>
      </x:c>
      <x:c r="L76" s="76" t="inlineStr">
        <x:is>
          <x:t xml:space="preserve"/>
        </x:is>
      </x:c>
    </x:row>
    <x:row r="77">
      <x:c r="A77" s="31" t="inlineStr">
        <x:is>
          <x:t xml:space="preserve">TXN073</x:t>
        </x:is>
      </x:c>
      <x:c r="B77" s="80" t="inlineStr">
        <x:is>
          <x:t xml:space="preserve"/>
        </x:is>
      </x:c>
      <x:c r="C77" s="81" t="str">
        <x:f>IF(B77="","",MAX(1,MIN(24,INT((B77-Assumptions!$B$7)/7)+1)))</x:f>
      </x:c>
      <x:c r="D77" s="75" t="inlineStr">
        <x:is>
          <x:t xml:space="preserve"/>
        </x:is>
      </x:c>
      <x:c r="E77" s="75" t="inlineStr">
        <x:is>
          <x:t xml:space="preserve"/>
        </x:is>
      </x:c>
      <x:c r="F77" s="75" t="inlineStr">
        <x:is>
          <x:t xml:space="preserve"/>
        </x:is>
      </x:c>
      <x:c r="G77" s="52" t="n">
        <x:v>0</x:v>
      </x:c>
      <x:c r="H77" s="75" t="inlineStr">
        <x:is>
          <x:t xml:space="preserve"/>
        </x:is>
      </x:c>
      <x:c r="I77" s="75" t="inlineStr">
        <x:is>
          <x:t xml:space="preserve"/>
        </x:is>
      </x:c>
      <x:c r="J77" s="75" t="inlineStr">
        <x:is>
          <x:t xml:space="preserve"/>
        </x:is>
      </x:c>
      <x:c r="K77" s="75" t="inlineStr">
        <x:is>
          <x:t xml:space="preserve">No</x:t>
        </x:is>
      </x:c>
      <x:c r="L77" s="75" t="inlineStr">
        <x:is>
          <x:t xml:space="preserve"/>
        </x:is>
      </x:c>
    </x:row>
    <x:row r="78">
      <x:c r="A78" s="30" t="inlineStr">
        <x:is>
          <x:t xml:space="preserve">TXN074</x:t>
        </x:is>
      </x:c>
      <x:c r="B78" s="82" t="inlineStr">
        <x:is>
          <x:t xml:space="preserve"/>
        </x:is>
      </x:c>
      <x:c r="C78" s="83" t="str">
        <x:f>IF(B78="","",MAX(1,MIN(24,INT((B78-Assumptions!$B$7)/7)+1)))</x:f>
      </x:c>
      <x:c r="D78" s="76" t="inlineStr">
        <x:is>
          <x:t xml:space="preserve"/>
        </x:is>
      </x:c>
      <x:c r="E78" s="76" t="inlineStr">
        <x:is>
          <x:t xml:space="preserve"/>
        </x:is>
      </x:c>
      <x:c r="F78" s="76" t="inlineStr">
        <x:is>
          <x:t xml:space="preserve"/>
        </x:is>
      </x:c>
      <x:c r="G78" s="52" t="n">
        <x:v>0</x:v>
      </x:c>
      <x:c r="H78" s="76" t="inlineStr">
        <x:is>
          <x:t xml:space="preserve"/>
        </x:is>
      </x:c>
      <x:c r="I78" s="76" t="inlineStr">
        <x:is>
          <x:t xml:space="preserve"/>
        </x:is>
      </x:c>
      <x:c r="J78" s="76" t="inlineStr">
        <x:is>
          <x:t xml:space="preserve"/>
        </x:is>
      </x:c>
      <x:c r="K78" s="76" t="inlineStr">
        <x:is>
          <x:t xml:space="preserve">No</x:t>
        </x:is>
      </x:c>
      <x:c r="L78" s="76" t="inlineStr">
        <x:is>
          <x:t xml:space="preserve"/>
        </x:is>
      </x:c>
    </x:row>
    <x:row r="79">
      <x:c r="A79" s="31" t="inlineStr">
        <x:is>
          <x:t xml:space="preserve">TXN075</x:t>
        </x:is>
      </x:c>
      <x:c r="B79" s="80" t="inlineStr">
        <x:is>
          <x:t xml:space="preserve"/>
        </x:is>
      </x:c>
      <x:c r="C79" s="81" t="str">
        <x:f>IF(B79="","",MAX(1,MIN(24,INT((B79-Assumptions!$B$7)/7)+1)))</x:f>
      </x:c>
      <x:c r="D79" s="75" t="inlineStr">
        <x:is>
          <x:t xml:space="preserve"/>
        </x:is>
      </x:c>
      <x:c r="E79" s="75" t="inlineStr">
        <x:is>
          <x:t xml:space="preserve"/>
        </x:is>
      </x:c>
      <x:c r="F79" s="75" t="inlineStr">
        <x:is>
          <x:t xml:space="preserve"/>
        </x:is>
      </x:c>
      <x:c r="G79" s="52" t="n">
        <x:v>0</x:v>
      </x:c>
      <x:c r="H79" s="75" t="inlineStr">
        <x:is>
          <x:t xml:space="preserve"/>
        </x:is>
      </x:c>
      <x:c r="I79" s="75" t="inlineStr">
        <x:is>
          <x:t xml:space="preserve"/>
        </x:is>
      </x:c>
      <x:c r="J79" s="75" t="inlineStr">
        <x:is>
          <x:t xml:space="preserve"/>
        </x:is>
      </x:c>
      <x:c r="K79" s="75" t="inlineStr">
        <x:is>
          <x:t xml:space="preserve">No</x:t>
        </x:is>
      </x:c>
      <x:c r="L79" s="75" t="inlineStr">
        <x:is>
          <x:t xml:space="preserve"/>
        </x:is>
      </x:c>
    </x:row>
    <x:row r="80">
      <x:c r="A80" s="30" t="inlineStr">
        <x:is>
          <x:t xml:space="preserve">TXN076</x:t>
        </x:is>
      </x:c>
      <x:c r="B80" s="82" t="inlineStr">
        <x:is>
          <x:t xml:space="preserve"/>
        </x:is>
      </x:c>
      <x:c r="C80" s="83" t="str">
        <x:f>IF(B80="","",MAX(1,MIN(24,INT((B80-Assumptions!$B$7)/7)+1)))</x:f>
      </x:c>
      <x:c r="D80" s="76" t="inlineStr">
        <x:is>
          <x:t xml:space="preserve"/>
        </x:is>
      </x:c>
      <x:c r="E80" s="76" t="inlineStr">
        <x:is>
          <x:t xml:space="preserve"/>
        </x:is>
      </x:c>
      <x:c r="F80" s="76" t="inlineStr">
        <x:is>
          <x:t xml:space="preserve"/>
        </x:is>
      </x:c>
      <x:c r="G80" s="52" t="n">
        <x:v>0</x:v>
      </x:c>
      <x:c r="H80" s="76" t="inlineStr">
        <x:is>
          <x:t xml:space="preserve"/>
        </x:is>
      </x:c>
      <x:c r="I80" s="76" t="inlineStr">
        <x:is>
          <x:t xml:space="preserve"/>
        </x:is>
      </x:c>
      <x:c r="J80" s="76" t="inlineStr">
        <x:is>
          <x:t xml:space="preserve"/>
        </x:is>
      </x:c>
      <x:c r="K80" s="76" t="inlineStr">
        <x:is>
          <x:t xml:space="preserve">No</x:t>
        </x:is>
      </x:c>
      <x:c r="L80" s="76" t="inlineStr">
        <x:is>
          <x:t xml:space="preserve"/>
        </x:is>
      </x:c>
    </x:row>
    <x:row r="81">
      <x:c r="A81" s="31" t="inlineStr">
        <x:is>
          <x:t xml:space="preserve">TXN077</x:t>
        </x:is>
      </x:c>
      <x:c r="B81" s="80" t="inlineStr">
        <x:is>
          <x:t xml:space="preserve"/>
        </x:is>
      </x:c>
      <x:c r="C81" s="81" t="str">
        <x:f>IF(B81="","",MAX(1,MIN(24,INT((B81-Assumptions!$B$7)/7)+1)))</x:f>
      </x:c>
      <x:c r="D81" s="75" t="inlineStr">
        <x:is>
          <x:t xml:space="preserve"/>
        </x:is>
      </x:c>
      <x:c r="E81" s="75" t="inlineStr">
        <x:is>
          <x:t xml:space="preserve"/>
        </x:is>
      </x:c>
      <x:c r="F81" s="75" t="inlineStr">
        <x:is>
          <x:t xml:space="preserve"/>
        </x:is>
      </x:c>
      <x:c r="G81" s="52" t="n">
        <x:v>0</x:v>
      </x:c>
      <x:c r="H81" s="75" t="inlineStr">
        <x:is>
          <x:t xml:space="preserve"/>
        </x:is>
      </x:c>
      <x:c r="I81" s="75" t="inlineStr">
        <x:is>
          <x:t xml:space="preserve"/>
        </x:is>
      </x:c>
      <x:c r="J81" s="75" t="inlineStr">
        <x:is>
          <x:t xml:space="preserve"/>
        </x:is>
      </x:c>
      <x:c r="K81" s="75" t="inlineStr">
        <x:is>
          <x:t xml:space="preserve">No</x:t>
        </x:is>
      </x:c>
      <x:c r="L81" s="75" t="inlineStr">
        <x:is>
          <x:t xml:space="preserve"/>
        </x:is>
      </x:c>
    </x:row>
    <x:row r="82">
      <x:c r="A82" s="30" t="inlineStr">
        <x:is>
          <x:t xml:space="preserve">TXN078</x:t>
        </x:is>
      </x:c>
      <x:c r="B82" s="82" t="inlineStr">
        <x:is>
          <x:t xml:space="preserve"/>
        </x:is>
      </x:c>
      <x:c r="C82" s="83" t="str">
        <x:f>IF(B82="","",MAX(1,MIN(24,INT((B82-Assumptions!$B$7)/7)+1)))</x:f>
      </x:c>
      <x:c r="D82" s="76" t="inlineStr">
        <x:is>
          <x:t xml:space="preserve"/>
        </x:is>
      </x:c>
      <x:c r="E82" s="76" t="inlineStr">
        <x:is>
          <x:t xml:space="preserve"/>
        </x:is>
      </x:c>
      <x:c r="F82" s="76" t="inlineStr">
        <x:is>
          <x:t xml:space="preserve"/>
        </x:is>
      </x:c>
      <x:c r="G82" s="52" t="n">
        <x:v>0</x:v>
      </x:c>
      <x:c r="H82" s="76" t="inlineStr">
        <x:is>
          <x:t xml:space="preserve"/>
        </x:is>
      </x:c>
      <x:c r="I82" s="76" t="inlineStr">
        <x:is>
          <x:t xml:space="preserve"/>
        </x:is>
      </x:c>
      <x:c r="J82" s="76" t="inlineStr">
        <x:is>
          <x:t xml:space="preserve"/>
        </x:is>
      </x:c>
      <x:c r="K82" s="76" t="inlineStr">
        <x:is>
          <x:t xml:space="preserve">No</x:t>
        </x:is>
      </x:c>
      <x:c r="L82" s="76" t="inlineStr">
        <x:is>
          <x:t xml:space="preserve"/>
        </x:is>
      </x:c>
    </x:row>
    <x:row r="83">
      <x:c r="A83" s="31" t="inlineStr">
        <x:is>
          <x:t xml:space="preserve">TXN079</x:t>
        </x:is>
      </x:c>
      <x:c r="B83" s="80" t="inlineStr">
        <x:is>
          <x:t xml:space="preserve"/>
        </x:is>
      </x:c>
      <x:c r="C83" s="81" t="str">
        <x:f>IF(B83="","",MAX(1,MIN(24,INT((B83-Assumptions!$B$7)/7)+1)))</x:f>
      </x:c>
      <x:c r="D83" s="75" t="inlineStr">
        <x:is>
          <x:t xml:space="preserve"/>
        </x:is>
      </x:c>
      <x:c r="E83" s="75" t="inlineStr">
        <x:is>
          <x:t xml:space="preserve"/>
        </x:is>
      </x:c>
      <x:c r="F83" s="75" t="inlineStr">
        <x:is>
          <x:t xml:space="preserve"/>
        </x:is>
      </x:c>
      <x:c r="G83" s="52" t="n">
        <x:v>0</x:v>
      </x:c>
      <x:c r="H83" s="75" t="inlineStr">
        <x:is>
          <x:t xml:space="preserve"/>
        </x:is>
      </x:c>
      <x:c r="I83" s="75" t="inlineStr">
        <x:is>
          <x:t xml:space="preserve"/>
        </x:is>
      </x:c>
      <x:c r="J83" s="75" t="inlineStr">
        <x:is>
          <x:t xml:space="preserve"/>
        </x:is>
      </x:c>
      <x:c r="K83" s="75" t="inlineStr">
        <x:is>
          <x:t xml:space="preserve">No</x:t>
        </x:is>
      </x:c>
      <x:c r="L83" s="75" t="inlineStr">
        <x:is>
          <x:t xml:space="preserve"/>
        </x:is>
      </x:c>
    </x:row>
    <x:row r="84">
      <x:c r="A84" s="30" t="inlineStr">
        <x:is>
          <x:t xml:space="preserve">TXN080</x:t>
        </x:is>
      </x:c>
      <x:c r="B84" s="82" t="inlineStr">
        <x:is>
          <x:t xml:space="preserve"/>
        </x:is>
      </x:c>
      <x:c r="C84" s="83" t="str">
        <x:f>IF(B84="","",MAX(1,MIN(24,INT((B84-Assumptions!$B$7)/7)+1)))</x:f>
      </x:c>
      <x:c r="D84" s="76" t="inlineStr">
        <x:is>
          <x:t xml:space="preserve"/>
        </x:is>
      </x:c>
      <x:c r="E84" s="76" t="inlineStr">
        <x:is>
          <x:t xml:space="preserve"/>
        </x:is>
      </x:c>
      <x:c r="F84" s="76" t="inlineStr">
        <x:is>
          <x:t xml:space="preserve"/>
        </x:is>
      </x:c>
      <x:c r="G84" s="52" t="n">
        <x:v>0</x:v>
      </x:c>
      <x:c r="H84" s="76" t="inlineStr">
        <x:is>
          <x:t xml:space="preserve"/>
        </x:is>
      </x:c>
      <x:c r="I84" s="76" t="inlineStr">
        <x:is>
          <x:t xml:space="preserve"/>
        </x:is>
      </x:c>
      <x:c r="J84" s="76" t="inlineStr">
        <x:is>
          <x:t xml:space="preserve"/>
        </x:is>
      </x:c>
      <x:c r="K84" s="76" t="inlineStr">
        <x:is>
          <x:t xml:space="preserve">No</x:t>
        </x:is>
      </x:c>
      <x:c r="L84" s="76" t="inlineStr">
        <x:is>
          <x:t xml:space="preserve"/>
        </x:is>
      </x:c>
    </x:row>
    <x:row r="85">
      <x:c r="A85" s="31" t="inlineStr">
        <x:is>
          <x:t xml:space="preserve">TXN081</x:t>
        </x:is>
      </x:c>
      <x:c r="B85" s="80" t="inlineStr">
        <x:is>
          <x:t xml:space="preserve"/>
        </x:is>
      </x:c>
      <x:c r="C85" s="81" t="str">
        <x:f>IF(B85="","",MAX(1,MIN(24,INT((B85-Assumptions!$B$7)/7)+1)))</x:f>
      </x:c>
      <x:c r="D85" s="75" t="inlineStr">
        <x:is>
          <x:t xml:space="preserve"/>
        </x:is>
      </x:c>
      <x:c r="E85" s="75" t="inlineStr">
        <x:is>
          <x:t xml:space="preserve"/>
        </x:is>
      </x:c>
      <x:c r="F85" s="75" t="inlineStr">
        <x:is>
          <x:t xml:space="preserve"/>
        </x:is>
      </x:c>
      <x:c r="G85" s="52" t="n">
        <x:v>0</x:v>
      </x:c>
      <x:c r="H85" s="75" t="inlineStr">
        <x:is>
          <x:t xml:space="preserve"/>
        </x:is>
      </x:c>
      <x:c r="I85" s="75" t="inlineStr">
        <x:is>
          <x:t xml:space="preserve"/>
        </x:is>
      </x:c>
      <x:c r="J85" s="75" t="inlineStr">
        <x:is>
          <x:t xml:space="preserve"/>
        </x:is>
      </x:c>
      <x:c r="K85" s="75" t="inlineStr">
        <x:is>
          <x:t xml:space="preserve">No</x:t>
        </x:is>
      </x:c>
      <x:c r="L85" s="75" t="inlineStr">
        <x:is>
          <x:t xml:space="preserve"/>
        </x:is>
      </x:c>
    </x:row>
    <x:row r="86">
      <x:c r="A86" s="30" t="inlineStr">
        <x:is>
          <x:t xml:space="preserve">TXN082</x:t>
        </x:is>
      </x:c>
      <x:c r="B86" s="82" t="inlineStr">
        <x:is>
          <x:t xml:space="preserve"/>
        </x:is>
      </x:c>
      <x:c r="C86" s="83" t="str">
        <x:f>IF(B86="","",MAX(1,MIN(24,INT((B86-Assumptions!$B$7)/7)+1)))</x:f>
      </x:c>
      <x:c r="D86" s="76" t="inlineStr">
        <x:is>
          <x:t xml:space="preserve"/>
        </x:is>
      </x:c>
      <x:c r="E86" s="76" t="inlineStr">
        <x:is>
          <x:t xml:space="preserve"/>
        </x:is>
      </x:c>
      <x:c r="F86" s="76" t="inlineStr">
        <x:is>
          <x:t xml:space="preserve"/>
        </x:is>
      </x:c>
      <x:c r="G86" s="52" t="n">
        <x:v>0</x:v>
      </x:c>
      <x:c r="H86" s="76" t="inlineStr">
        <x:is>
          <x:t xml:space="preserve"/>
        </x:is>
      </x:c>
      <x:c r="I86" s="76" t="inlineStr">
        <x:is>
          <x:t xml:space="preserve"/>
        </x:is>
      </x:c>
      <x:c r="J86" s="76" t="inlineStr">
        <x:is>
          <x:t xml:space="preserve"/>
        </x:is>
      </x:c>
      <x:c r="K86" s="76" t="inlineStr">
        <x:is>
          <x:t xml:space="preserve">No</x:t>
        </x:is>
      </x:c>
      <x:c r="L86" s="76" t="inlineStr">
        <x:is>
          <x:t xml:space="preserve"/>
        </x:is>
      </x:c>
    </x:row>
    <x:row r="87">
      <x:c r="A87" s="31" t="inlineStr">
        <x:is>
          <x:t xml:space="preserve">TXN083</x:t>
        </x:is>
      </x:c>
      <x:c r="B87" s="80" t="inlineStr">
        <x:is>
          <x:t xml:space="preserve"/>
        </x:is>
      </x:c>
      <x:c r="C87" s="81" t="str">
        <x:f>IF(B87="","",MAX(1,MIN(24,INT((B87-Assumptions!$B$7)/7)+1)))</x:f>
      </x:c>
      <x:c r="D87" s="75" t="inlineStr">
        <x:is>
          <x:t xml:space="preserve"/>
        </x:is>
      </x:c>
      <x:c r="E87" s="75" t="inlineStr">
        <x:is>
          <x:t xml:space="preserve"/>
        </x:is>
      </x:c>
      <x:c r="F87" s="75" t="inlineStr">
        <x:is>
          <x:t xml:space="preserve"/>
        </x:is>
      </x:c>
      <x:c r="G87" s="52" t="n">
        <x:v>0</x:v>
      </x:c>
      <x:c r="H87" s="75" t="inlineStr">
        <x:is>
          <x:t xml:space="preserve"/>
        </x:is>
      </x:c>
      <x:c r="I87" s="75" t="inlineStr">
        <x:is>
          <x:t xml:space="preserve"/>
        </x:is>
      </x:c>
      <x:c r="J87" s="75" t="inlineStr">
        <x:is>
          <x:t xml:space="preserve"/>
        </x:is>
      </x:c>
      <x:c r="K87" s="75" t="inlineStr">
        <x:is>
          <x:t xml:space="preserve">No</x:t>
        </x:is>
      </x:c>
      <x:c r="L87" s="75" t="inlineStr">
        <x:is>
          <x:t xml:space="preserve"/>
        </x:is>
      </x:c>
    </x:row>
    <x:row r="88">
      <x:c r="A88" s="30" t="inlineStr">
        <x:is>
          <x:t xml:space="preserve">TXN084</x:t>
        </x:is>
      </x:c>
      <x:c r="B88" s="82" t="inlineStr">
        <x:is>
          <x:t xml:space="preserve"/>
        </x:is>
      </x:c>
      <x:c r="C88" s="83" t="str">
        <x:f>IF(B88="","",MAX(1,MIN(24,INT((B88-Assumptions!$B$7)/7)+1)))</x:f>
      </x:c>
      <x:c r="D88" s="76" t="inlineStr">
        <x:is>
          <x:t xml:space="preserve"/>
        </x:is>
      </x:c>
      <x:c r="E88" s="76" t="inlineStr">
        <x:is>
          <x:t xml:space="preserve"/>
        </x:is>
      </x:c>
      <x:c r="F88" s="76" t="inlineStr">
        <x:is>
          <x:t xml:space="preserve"/>
        </x:is>
      </x:c>
      <x:c r="G88" s="52" t="n">
        <x:v>0</x:v>
      </x:c>
      <x:c r="H88" s="76" t="inlineStr">
        <x:is>
          <x:t xml:space="preserve"/>
        </x:is>
      </x:c>
      <x:c r="I88" s="76" t="inlineStr">
        <x:is>
          <x:t xml:space="preserve"/>
        </x:is>
      </x:c>
      <x:c r="J88" s="76" t="inlineStr">
        <x:is>
          <x:t xml:space="preserve"/>
        </x:is>
      </x:c>
      <x:c r="K88" s="76" t="inlineStr">
        <x:is>
          <x:t xml:space="preserve">No</x:t>
        </x:is>
      </x:c>
      <x:c r="L88" s="76" t="inlineStr">
        <x:is>
          <x:t xml:space="preserve"/>
        </x:is>
      </x:c>
    </x:row>
    <x:row r="89">
      <x:c r="A89" s="31" t="inlineStr">
        <x:is>
          <x:t xml:space="preserve">TXN085</x:t>
        </x:is>
      </x:c>
      <x:c r="B89" s="80" t="inlineStr">
        <x:is>
          <x:t xml:space="preserve"/>
        </x:is>
      </x:c>
      <x:c r="C89" s="81" t="str">
        <x:f>IF(B89="","",MAX(1,MIN(24,INT((B89-Assumptions!$B$7)/7)+1)))</x:f>
      </x:c>
      <x:c r="D89" s="75" t="inlineStr">
        <x:is>
          <x:t xml:space="preserve"/>
        </x:is>
      </x:c>
      <x:c r="E89" s="75" t="inlineStr">
        <x:is>
          <x:t xml:space="preserve"/>
        </x:is>
      </x:c>
      <x:c r="F89" s="75" t="inlineStr">
        <x:is>
          <x:t xml:space="preserve"/>
        </x:is>
      </x:c>
      <x:c r="G89" s="52" t="n">
        <x:v>0</x:v>
      </x:c>
      <x:c r="H89" s="75" t="inlineStr">
        <x:is>
          <x:t xml:space="preserve"/>
        </x:is>
      </x:c>
      <x:c r="I89" s="75" t="inlineStr">
        <x:is>
          <x:t xml:space="preserve"/>
        </x:is>
      </x:c>
      <x:c r="J89" s="75" t="inlineStr">
        <x:is>
          <x:t xml:space="preserve"/>
        </x:is>
      </x:c>
      <x:c r="K89" s="75" t="inlineStr">
        <x:is>
          <x:t xml:space="preserve">No</x:t>
        </x:is>
      </x:c>
      <x:c r="L89" s="75" t="inlineStr">
        <x:is>
          <x:t xml:space="preserve"/>
        </x:is>
      </x:c>
    </x:row>
    <x:row r="90">
      <x:c r="A90" s="30" t="inlineStr">
        <x:is>
          <x:t xml:space="preserve">TXN086</x:t>
        </x:is>
      </x:c>
      <x:c r="B90" s="82" t="inlineStr">
        <x:is>
          <x:t xml:space="preserve"/>
        </x:is>
      </x:c>
      <x:c r="C90" s="83" t="str">
        <x:f>IF(B90="","",MAX(1,MIN(24,INT((B90-Assumptions!$B$7)/7)+1)))</x:f>
      </x:c>
      <x:c r="D90" s="76" t="inlineStr">
        <x:is>
          <x:t xml:space="preserve"/>
        </x:is>
      </x:c>
      <x:c r="E90" s="76" t="inlineStr">
        <x:is>
          <x:t xml:space="preserve"/>
        </x:is>
      </x:c>
      <x:c r="F90" s="76" t="inlineStr">
        <x:is>
          <x:t xml:space="preserve"/>
        </x:is>
      </x:c>
      <x:c r="G90" s="52" t="n">
        <x:v>0</x:v>
      </x:c>
      <x:c r="H90" s="76" t="inlineStr">
        <x:is>
          <x:t xml:space="preserve"/>
        </x:is>
      </x:c>
      <x:c r="I90" s="76" t="inlineStr">
        <x:is>
          <x:t xml:space="preserve"/>
        </x:is>
      </x:c>
      <x:c r="J90" s="76" t="inlineStr">
        <x:is>
          <x:t xml:space="preserve"/>
        </x:is>
      </x:c>
      <x:c r="K90" s="76" t="inlineStr">
        <x:is>
          <x:t xml:space="preserve">No</x:t>
        </x:is>
      </x:c>
      <x:c r="L90" s="76" t="inlineStr">
        <x:is>
          <x:t xml:space="preserve"/>
        </x:is>
      </x:c>
    </x:row>
    <x:row r="91">
      <x:c r="A91" s="31" t="inlineStr">
        <x:is>
          <x:t xml:space="preserve">TXN087</x:t>
        </x:is>
      </x:c>
      <x:c r="B91" s="80" t="inlineStr">
        <x:is>
          <x:t xml:space="preserve"/>
        </x:is>
      </x:c>
      <x:c r="C91" s="81" t="str">
        <x:f>IF(B91="","",MAX(1,MIN(24,INT((B91-Assumptions!$B$7)/7)+1)))</x:f>
      </x:c>
      <x:c r="D91" s="75" t="inlineStr">
        <x:is>
          <x:t xml:space="preserve"/>
        </x:is>
      </x:c>
      <x:c r="E91" s="75" t="inlineStr">
        <x:is>
          <x:t xml:space="preserve"/>
        </x:is>
      </x:c>
      <x:c r="F91" s="75" t="inlineStr">
        <x:is>
          <x:t xml:space="preserve"/>
        </x:is>
      </x:c>
      <x:c r="G91" s="52" t="n">
        <x:v>0</x:v>
      </x:c>
      <x:c r="H91" s="75" t="inlineStr">
        <x:is>
          <x:t xml:space="preserve"/>
        </x:is>
      </x:c>
      <x:c r="I91" s="75" t="inlineStr">
        <x:is>
          <x:t xml:space="preserve"/>
        </x:is>
      </x:c>
      <x:c r="J91" s="75" t="inlineStr">
        <x:is>
          <x:t xml:space="preserve"/>
        </x:is>
      </x:c>
      <x:c r="K91" s="75" t="inlineStr">
        <x:is>
          <x:t xml:space="preserve">No</x:t>
        </x:is>
      </x:c>
      <x:c r="L91" s="75" t="inlineStr">
        <x:is>
          <x:t xml:space="preserve"/>
        </x:is>
      </x:c>
    </x:row>
    <x:row r="92">
      <x:c r="A92" s="30" t="inlineStr">
        <x:is>
          <x:t xml:space="preserve">TXN088</x:t>
        </x:is>
      </x:c>
      <x:c r="B92" s="82" t="inlineStr">
        <x:is>
          <x:t xml:space="preserve"/>
        </x:is>
      </x:c>
      <x:c r="C92" s="83" t="str">
        <x:f>IF(B92="","",MAX(1,MIN(24,INT((B92-Assumptions!$B$7)/7)+1)))</x:f>
      </x:c>
      <x:c r="D92" s="76" t="inlineStr">
        <x:is>
          <x:t xml:space="preserve"/>
        </x:is>
      </x:c>
      <x:c r="E92" s="76" t="inlineStr">
        <x:is>
          <x:t xml:space="preserve"/>
        </x:is>
      </x:c>
      <x:c r="F92" s="76" t="inlineStr">
        <x:is>
          <x:t xml:space="preserve"/>
        </x:is>
      </x:c>
      <x:c r="G92" s="52" t="n">
        <x:v>0</x:v>
      </x:c>
      <x:c r="H92" s="76" t="inlineStr">
        <x:is>
          <x:t xml:space="preserve"/>
        </x:is>
      </x:c>
      <x:c r="I92" s="76" t="inlineStr">
        <x:is>
          <x:t xml:space="preserve"/>
        </x:is>
      </x:c>
      <x:c r="J92" s="76" t="inlineStr">
        <x:is>
          <x:t xml:space="preserve"/>
        </x:is>
      </x:c>
      <x:c r="K92" s="76" t="inlineStr">
        <x:is>
          <x:t xml:space="preserve">No</x:t>
        </x:is>
      </x:c>
      <x:c r="L92" s="76" t="inlineStr">
        <x:is>
          <x:t xml:space="preserve"/>
        </x:is>
      </x:c>
    </x:row>
    <x:row r="93">
      <x:c r="A93" s="31" t="inlineStr">
        <x:is>
          <x:t xml:space="preserve">TXN089</x:t>
        </x:is>
      </x:c>
      <x:c r="B93" s="80" t="inlineStr">
        <x:is>
          <x:t xml:space="preserve"/>
        </x:is>
      </x:c>
      <x:c r="C93" s="81" t="str">
        <x:f>IF(B93="","",MAX(1,MIN(24,INT((B93-Assumptions!$B$7)/7)+1)))</x:f>
      </x:c>
      <x:c r="D93" s="75" t="inlineStr">
        <x:is>
          <x:t xml:space="preserve"/>
        </x:is>
      </x:c>
      <x:c r="E93" s="75" t="inlineStr">
        <x:is>
          <x:t xml:space="preserve"/>
        </x:is>
      </x:c>
      <x:c r="F93" s="75" t="inlineStr">
        <x:is>
          <x:t xml:space="preserve"/>
        </x:is>
      </x:c>
      <x:c r="G93" s="52" t="n">
        <x:v>0</x:v>
      </x:c>
      <x:c r="H93" s="75" t="inlineStr">
        <x:is>
          <x:t xml:space="preserve"/>
        </x:is>
      </x:c>
      <x:c r="I93" s="75" t="inlineStr">
        <x:is>
          <x:t xml:space="preserve"/>
        </x:is>
      </x:c>
      <x:c r="J93" s="75" t="inlineStr">
        <x:is>
          <x:t xml:space="preserve"/>
        </x:is>
      </x:c>
      <x:c r="K93" s="75" t="inlineStr">
        <x:is>
          <x:t xml:space="preserve">No</x:t>
        </x:is>
      </x:c>
      <x:c r="L93" s="75" t="inlineStr">
        <x:is>
          <x:t xml:space="preserve"/>
        </x:is>
      </x:c>
    </x:row>
    <x:row r="94">
      <x:c r="A94" s="30" t="inlineStr">
        <x:is>
          <x:t xml:space="preserve">TXN090</x:t>
        </x:is>
      </x:c>
      <x:c r="B94" s="82" t="inlineStr">
        <x:is>
          <x:t xml:space="preserve"/>
        </x:is>
      </x:c>
      <x:c r="C94" s="83" t="str">
        <x:f>IF(B94="","",MAX(1,MIN(24,INT((B94-Assumptions!$B$7)/7)+1)))</x:f>
      </x:c>
      <x:c r="D94" s="76" t="inlineStr">
        <x:is>
          <x:t xml:space="preserve"/>
        </x:is>
      </x:c>
      <x:c r="E94" s="76" t="inlineStr">
        <x:is>
          <x:t xml:space="preserve"/>
        </x:is>
      </x:c>
      <x:c r="F94" s="76" t="inlineStr">
        <x:is>
          <x:t xml:space="preserve"/>
        </x:is>
      </x:c>
      <x:c r="G94" s="52" t="n">
        <x:v>0</x:v>
      </x:c>
      <x:c r="H94" s="76" t="inlineStr">
        <x:is>
          <x:t xml:space="preserve"/>
        </x:is>
      </x:c>
      <x:c r="I94" s="76" t="inlineStr">
        <x:is>
          <x:t xml:space="preserve"/>
        </x:is>
      </x:c>
      <x:c r="J94" s="76" t="inlineStr">
        <x:is>
          <x:t xml:space="preserve"/>
        </x:is>
      </x:c>
      <x:c r="K94" s="76" t="inlineStr">
        <x:is>
          <x:t xml:space="preserve">No</x:t>
        </x:is>
      </x:c>
      <x:c r="L94" s="76" t="inlineStr">
        <x:is>
          <x:t xml:space="preserve"/>
        </x:is>
      </x:c>
    </x:row>
    <x:row r="95">
      <x:c r="A95" s="31" t="inlineStr">
        <x:is>
          <x:t xml:space="preserve">TXN091</x:t>
        </x:is>
      </x:c>
      <x:c r="B95" s="80" t="inlineStr">
        <x:is>
          <x:t xml:space="preserve"/>
        </x:is>
      </x:c>
      <x:c r="C95" s="81" t="str">
        <x:f>IF(B95="","",MAX(1,MIN(24,INT((B95-Assumptions!$B$7)/7)+1)))</x:f>
      </x:c>
      <x:c r="D95" s="75" t="inlineStr">
        <x:is>
          <x:t xml:space="preserve"/>
        </x:is>
      </x:c>
      <x:c r="E95" s="75" t="inlineStr">
        <x:is>
          <x:t xml:space="preserve"/>
        </x:is>
      </x:c>
      <x:c r="F95" s="75" t="inlineStr">
        <x:is>
          <x:t xml:space="preserve"/>
        </x:is>
      </x:c>
      <x:c r="G95" s="52" t="n">
        <x:v>0</x:v>
      </x:c>
      <x:c r="H95" s="75" t="inlineStr">
        <x:is>
          <x:t xml:space="preserve"/>
        </x:is>
      </x:c>
      <x:c r="I95" s="75" t="inlineStr">
        <x:is>
          <x:t xml:space="preserve"/>
        </x:is>
      </x:c>
      <x:c r="J95" s="75" t="inlineStr">
        <x:is>
          <x:t xml:space="preserve"/>
        </x:is>
      </x:c>
      <x:c r="K95" s="75" t="inlineStr">
        <x:is>
          <x:t xml:space="preserve">No</x:t>
        </x:is>
      </x:c>
      <x:c r="L95" s="75" t="inlineStr">
        <x:is>
          <x:t xml:space="preserve"/>
        </x:is>
      </x:c>
    </x:row>
    <x:row r="96">
      <x:c r="A96" s="30" t="inlineStr">
        <x:is>
          <x:t xml:space="preserve">TXN092</x:t>
        </x:is>
      </x:c>
      <x:c r="B96" s="82" t="inlineStr">
        <x:is>
          <x:t xml:space="preserve"/>
        </x:is>
      </x:c>
      <x:c r="C96" s="83" t="str">
        <x:f>IF(B96="","",MAX(1,MIN(24,INT((B96-Assumptions!$B$7)/7)+1)))</x:f>
      </x:c>
      <x:c r="D96" s="76" t="inlineStr">
        <x:is>
          <x:t xml:space="preserve"/>
        </x:is>
      </x:c>
      <x:c r="E96" s="76" t="inlineStr">
        <x:is>
          <x:t xml:space="preserve"/>
        </x:is>
      </x:c>
      <x:c r="F96" s="76" t="inlineStr">
        <x:is>
          <x:t xml:space="preserve"/>
        </x:is>
      </x:c>
      <x:c r="G96" s="52" t="n">
        <x:v>0</x:v>
      </x:c>
      <x:c r="H96" s="76" t="inlineStr">
        <x:is>
          <x:t xml:space="preserve"/>
        </x:is>
      </x:c>
      <x:c r="I96" s="76" t="inlineStr">
        <x:is>
          <x:t xml:space="preserve"/>
        </x:is>
      </x:c>
      <x:c r="J96" s="76" t="inlineStr">
        <x:is>
          <x:t xml:space="preserve"/>
        </x:is>
      </x:c>
      <x:c r="K96" s="76" t="inlineStr">
        <x:is>
          <x:t xml:space="preserve">No</x:t>
        </x:is>
      </x:c>
      <x:c r="L96" s="76" t="inlineStr">
        <x:is>
          <x:t xml:space="preserve"/>
        </x:is>
      </x:c>
    </x:row>
    <x:row r="97">
      <x:c r="A97" s="31" t="inlineStr">
        <x:is>
          <x:t xml:space="preserve">TXN093</x:t>
        </x:is>
      </x:c>
      <x:c r="B97" s="80" t="inlineStr">
        <x:is>
          <x:t xml:space="preserve"/>
        </x:is>
      </x:c>
      <x:c r="C97" s="81" t="str">
        <x:f>IF(B97="","",MAX(1,MIN(24,INT((B97-Assumptions!$B$7)/7)+1)))</x:f>
      </x:c>
      <x:c r="D97" s="75" t="inlineStr">
        <x:is>
          <x:t xml:space="preserve"/>
        </x:is>
      </x:c>
      <x:c r="E97" s="75" t="inlineStr">
        <x:is>
          <x:t xml:space="preserve"/>
        </x:is>
      </x:c>
      <x:c r="F97" s="75" t="inlineStr">
        <x:is>
          <x:t xml:space="preserve"/>
        </x:is>
      </x:c>
      <x:c r="G97" s="52" t="n">
        <x:v>0</x:v>
      </x:c>
      <x:c r="H97" s="75" t="inlineStr">
        <x:is>
          <x:t xml:space="preserve"/>
        </x:is>
      </x:c>
      <x:c r="I97" s="75" t="inlineStr">
        <x:is>
          <x:t xml:space="preserve"/>
        </x:is>
      </x:c>
      <x:c r="J97" s="75" t="inlineStr">
        <x:is>
          <x:t xml:space="preserve"/>
        </x:is>
      </x:c>
      <x:c r="K97" s="75" t="inlineStr">
        <x:is>
          <x:t xml:space="preserve">No</x:t>
        </x:is>
      </x:c>
      <x:c r="L97" s="75" t="inlineStr">
        <x:is>
          <x:t xml:space="preserve"/>
        </x:is>
      </x:c>
    </x:row>
    <x:row r="98">
      <x:c r="A98" s="30" t="inlineStr">
        <x:is>
          <x:t xml:space="preserve">TXN094</x:t>
        </x:is>
      </x:c>
      <x:c r="B98" s="82" t="inlineStr">
        <x:is>
          <x:t xml:space="preserve"/>
        </x:is>
      </x:c>
      <x:c r="C98" s="83" t="str">
        <x:f>IF(B98="","",MAX(1,MIN(24,INT((B98-Assumptions!$B$7)/7)+1)))</x:f>
      </x:c>
      <x:c r="D98" s="76" t="inlineStr">
        <x:is>
          <x:t xml:space="preserve"/>
        </x:is>
      </x:c>
      <x:c r="E98" s="76" t="inlineStr">
        <x:is>
          <x:t xml:space="preserve"/>
        </x:is>
      </x:c>
      <x:c r="F98" s="76" t="inlineStr">
        <x:is>
          <x:t xml:space="preserve"/>
        </x:is>
      </x:c>
      <x:c r="G98" s="52" t="n">
        <x:v>0</x:v>
      </x:c>
      <x:c r="H98" s="76" t="inlineStr">
        <x:is>
          <x:t xml:space="preserve"/>
        </x:is>
      </x:c>
      <x:c r="I98" s="76" t="inlineStr">
        <x:is>
          <x:t xml:space="preserve"/>
        </x:is>
      </x:c>
      <x:c r="J98" s="76" t="inlineStr">
        <x:is>
          <x:t xml:space="preserve"/>
        </x:is>
      </x:c>
      <x:c r="K98" s="76" t="inlineStr">
        <x:is>
          <x:t xml:space="preserve">No</x:t>
        </x:is>
      </x:c>
      <x:c r="L98" s="76" t="inlineStr">
        <x:is>
          <x:t xml:space="preserve"/>
        </x:is>
      </x:c>
    </x:row>
    <x:row r="99">
      <x:c r="A99" s="31" t="inlineStr">
        <x:is>
          <x:t xml:space="preserve">TXN095</x:t>
        </x:is>
      </x:c>
      <x:c r="B99" s="80" t="inlineStr">
        <x:is>
          <x:t xml:space="preserve"/>
        </x:is>
      </x:c>
      <x:c r="C99" s="81" t="str">
        <x:f>IF(B99="","",MAX(1,MIN(24,INT((B99-Assumptions!$B$7)/7)+1)))</x:f>
      </x:c>
      <x:c r="D99" s="75" t="inlineStr">
        <x:is>
          <x:t xml:space="preserve"/>
        </x:is>
      </x:c>
      <x:c r="E99" s="75" t="inlineStr">
        <x:is>
          <x:t xml:space="preserve"/>
        </x:is>
      </x:c>
      <x:c r="F99" s="75" t="inlineStr">
        <x:is>
          <x:t xml:space="preserve"/>
        </x:is>
      </x:c>
      <x:c r="G99" s="52" t="n">
        <x:v>0</x:v>
      </x:c>
      <x:c r="H99" s="75" t="inlineStr">
        <x:is>
          <x:t xml:space="preserve"/>
        </x:is>
      </x:c>
      <x:c r="I99" s="75" t="inlineStr">
        <x:is>
          <x:t xml:space="preserve"/>
        </x:is>
      </x:c>
      <x:c r="J99" s="75" t="inlineStr">
        <x:is>
          <x:t xml:space="preserve"/>
        </x:is>
      </x:c>
      <x:c r="K99" s="75" t="inlineStr">
        <x:is>
          <x:t xml:space="preserve">No</x:t>
        </x:is>
      </x:c>
      <x:c r="L99" s="75" t="inlineStr">
        <x:is>
          <x:t xml:space="preserve"/>
        </x:is>
      </x:c>
    </x:row>
    <x:row r="100">
      <x:c r="A100" s="30" t="inlineStr">
        <x:is>
          <x:t xml:space="preserve">TXN096</x:t>
        </x:is>
      </x:c>
      <x:c r="B100" s="82" t="inlineStr">
        <x:is>
          <x:t xml:space="preserve"/>
        </x:is>
      </x:c>
      <x:c r="C100" s="83" t="str">
        <x:f>IF(B100="","",MAX(1,MIN(24,INT((B100-Assumptions!$B$7)/7)+1)))</x:f>
      </x:c>
      <x:c r="D100" s="76" t="inlineStr">
        <x:is>
          <x:t xml:space="preserve"/>
        </x:is>
      </x:c>
      <x:c r="E100" s="76" t="inlineStr">
        <x:is>
          <x:t xml:space="preserve"/>
        </x:is>
      </x:c>
      <x:c r="F100" s="76" t="inlineStr">
        <x:is>
          <x:t xml:space="preserve"/>
        </x:is>
      </x:c>
      <x:c r="G100" s="52" t="n">
        <x:v>0</x:v>
      </x:c>
      <x:c r="H100" s="76" t="inlineStr">
        <x:is>
          <x:t xml:space="preserve"/>
        </x:is>
      </x:c>
      <x:c r="I100" s="76" t="inlineStr">
        <x:is>
          <x:t xml:space="preserve"/>
        </x:is>
      </x:c>
      <x:c r="J100" s="76" t="inlineStr">
        <x:is>
          <x:t xml:space="preserve"/>
        </x:is>
      </x:c>
      <x:c r="K100" s="76" t="inlineStr">
        <x:is>
          <x:t xml:space="preserve">No</x:t>
        </x:is>
      </x:c>
      <x:c r="L100" s="76" t="inlineStr">
        <x:is>
          <x:t xml:space="preserve"/>
        </x:is>
      </x:c>
    </x:row>
    <x:row r="101">
      <x:c r="A101" s="31" t="inlineStr">
        <x:is>
          <x:t xml:space="preserve">TXN097</x:t>
        </x:is>
      </x:c>
      <x:c r="B101" s="80" t="inlineStr">
        <x:is>
          <x:t xml:space="preserve"/>
        </x:is>
      </x:c>
      <x:c r="C101" s="81" t="str">
        <x:f>IF(B101="","",MAX(1,MIN(24,INT((B101-Assumptions!$B$7)/7)+1)))</x:f>
      </x:c>
      <x:c r="D101" s="75" t="inlineStr">
        <x:is>
          <x:t xml:space="preserve"/>
        </x:is>
      </x:c>
      <x:c r="E101" s="75" t="inlineStr">
        <x:is>
          <x:t xml:space="preserve"/>
        </x:is>
      </x:c>
      <x:c r="F101" s="75" t="inlineStr">
        <x:is>
          <x:t xml:space="preserve"/>
        </x:is>
      </x:c>
      <x:c r="G101" s="52" t="n">
        <x:v>0</x:v>
      </x:c>
      <x:c r="H101" s="75" t="inlineStr">
        <x:is>
          <x:t xml:space="preserve"/>
        </x:is>
      </x:c>
      <x:c r="I101" s="75" t="inlineStr">
        <x:is>
          <x:t xml:space="preserve"/>
        </x:is>
      </x:c>
      <x:c r="J101" s="75" t="inlineStr">
        <x:is>
          <x:t xml:space="preserve"/>
        </x:is>
      </x:c>
      <x:c r="K101" s="75" t="inlineStr">
        <x:is>
          <x:t xml:space="preserve">No</x:t>
        </x:is>
      </x:c>
      <x:c r="L101" s="75" t="inlineStr">
        <x:is>
          <x:t xml:space="preserve"/>
        </x:is>
      </x:c>
    </x:row>
    <x:row r="102">
      <x:c r="A102" s="30" t="inlineStr">
        <x:is>
          <x:t xml:space="preserve">TXN098</x:t>
        </x:is>
      </x:c>
      <x:c r="B102" s="82" t="inlineStr">
        <x:is>
          <x:t xml:space="preserve"/>
        </x:is>
      </x:c>
      <x:c r="C102" s="83" t="str">
        <x:f>IF(B102="","",MAX(1,MIN(24,INT((B102-Assumptions!$B$7)/7)+1)))</x:f>
      </x:c>
      <x:c r="D102" s="76" t="inlineStr">
        <x:is>
          <x:t xml:space="preserve"/>
        </x:is>
      </x:c>
      <x:c r="E102" s="76" t="inlineStr">
        <x:is>
          <x:t xml:space="preserve"/>
        </x:is>
      </x:c>
      <x:c r="F102" s="76" t="inlineStr">
        <x:is>
          <x:t xml:space="preserve"/>
        </x:is>
      </x:c>
      <x:c r="G102" s="52" t="n">
        <x:v>0</x:v>
      </x:c>
      <x:c r="H102" s="76" t="inlineStr">
        <x:is>
          <x:t xml:space="preserve"/>
        </x:is>
      </x:c>
      <x:c r="I102" s="76" t="inlineStr">
        <x:is>
          <x:t xml:space="preserve"/>
        </x:is>
      </x:c>
      <x:c r="J102" s="76" t="inlineStr">
        <x:is>
          <x:t xml:space="preserve"/>
        </x:is>
      </x:c>
      <x:c r="K102" s="76" t="inlineStr">
        <x:is>
          <x:t xml:space="preserve">No</x:t>
        </x:is>
      </x:c>
      <x:c r="L102" s="76" t="inlineStr">
        <x:is>
          <x:t xml:space="preserve"/>
        </x:is>
      </x:c>
    </x:row>
    <x:row r="103">
      <x:c r="A103" s="31" t="inlineStr">
        <x:is>
          <x:t xml:space="preserve">TXN099</x:t>
        </x:is>
      </x:c>
      <x:c r="B103" s="80" t="inlineStr">
        <x:is>
          <x:t xml:space="preserve"/>
        </x:is>
      </x:c>
      <x:c r="C103" s="81" t="str">
        <x:f>IF(B103="","",MAX(1,MIN(24,INT((B103-Assumptions!$B$7)/7)+1)))</x:f>
      </x:c>
      <x:c r="D103" s="75" t="inlineStr">
        <x:is>
          <x:t xml:space="preserve"/>
        </x:is>
      </x:c>
      <x:c r="E103" s="75" t="inlineStr">
        <x:is>
          <x:t xml:space="preserve"/>
        </x:is>
      </x:c>
      <x:c r="F103" s="75" t="inlineStr">
        <x:is>
          <x:t xml:space="preserve"/>
        </x:is>
      </x:c>
      <x:c r="G103" s="52" t="n">
        <x:v>0</x:v>
      </x:c>
      <x:c r="H103" s="75" t="inlineStr">
        <x:is>
          <x:t xml:space="preserve"/>
        </x:is>
      </x:c>
      <x:c r="I103" s="75" t="inlineStr">
        <x:is>
          <x:t xml:space="preserve"/>
        </x:is>
      </x:c>
      <x:c r="J103" s="75" t="inlineStr">
        <x:is>
          <x:t xml:space="preserve"/>
        </x:is>
      </x:c>
      <x:c r="K103" s="75" t="inlineStr">
        <x:is>
          <x:t xml:space="preserve">No</x:t>
        </x:is>
      </x:c>
      <x:c r="L103" s="75" t="inlineStr">
        <x:is>
          <x:t xml:space="preserve"/>
        </x:is>
      </x:c>
    </x:row>
    <x:row r="104">
      <x:c r="A104" s="30" t="inlineStr">
        <x:is>
          <x:t xml:space="preserve">TXN100</x:t>
        </x:is>
      </x:c>
      <x:c r="B104" s="82" t="inlineStr">
        <x:is>
          <x:t xml:space="preserve"/>
        </x:is>
      </x:c>
      <x:c r="C104" s="83" t="str">
        <x:f>IF(B104="","",MAX(1,MIN(24,INT((B104-Assumptions!$B$7)/7)+1)))</x:f>
      </x:c>
      <x:c r="D104" s="76" t="inlineStr">
        <x:is>
          <x:t xml:space="preserve"/>
        </x:is>
      </x:c>
      <x:c r="E104" s="76" t="inlineStr">
        <x:is>
          <x:t xml:space="preserve"/>
        </x:is>
      </x:c>
      <x:c r="F104" s="76" t="inlineStr">
        <x:is>
          <x:t xml:space="preserve"/>
        </x:is>
      </x:c>
      <x:c r="G104" s="52" t="n">
        <x:v>0</x:v>
      </x:c>
      <x:c r="H104" s="76" t="inlineStr">
        <x:is>
          <x:t xml:space="preserve"/>
        </x:is>
      </x:c>
      <x:c r="I104" s="76" t="inlineStr">
        <x:is>
          <x:t xml:space="preserve"/>
        </x:is>
      </x:c>
      <x:c r="J104" s="76" t="inlineStr">
        <x:is>
          <x:t xml:space="preserve"/>
        </x:is>
      </x:c>
      <x:c r="K104" s="76" t="inlineStr">
        <x:is>
          <x:t xml:space="preserve">No</x:t>
        </x:is>
      </x:c>
      <x:c r="L104" s="76" t="inlineStr">
        <x:is>
          <x:t xml:space="preserve"/>
        </x:is>
      </x:c>
    </x:row>
    <x:row r="105">
      <x:c r="A105" s="31" t="inlineStr">
        <x:is>
          <x:t xml:space="preserve">TXN101</x:t>
        </x:is>
      </x:c>
      <x:c r="B105" s="80" t="inlineStr">
        <x:is>
          <x:t xml:space="preserve"/>
        </x:is>
      </x:c>
      <x:c r="C105" s="81" t="str">
        <x:f>IF(B105="","",MAX(1,MIN(24,INT((B105-Assumptions!$B$7)/7)+1)))</x:f>
      </x:c>
      <x:c r="D105" s="75" t="inlineStr">
        <x:is>
          <x:t xml:space="preserve"/>
        </x:is>
      </x:c>
      <x:c r="E105" s="75" t="inlineStr">
        <x:is>
          <x:t xml:space="preserve"/>
        </x:is>
      </x:c>
      <x:c r="F105" s="75" t="inlineStr">
        <x:is>
          <x:t xml:space="preserve"/>
        </x:is>
      </x:c>
      <x:c r="G105" s="52" t="n">
        <x:v>0</x:v>
      </x:c>
      <x:c r="H105" s="75" t="inlineStr">
        <x:is>
          <x:t xml:space="preserve"/>
        </x:is>
      </x:c>
      <x:c r="I105" s="75" t="inlineStr">
        <x:is>
          <x:t xml:space="preserve"/>
        </x:is>
      </x:c>
      <x:c r="J105" s="75" t="inlineStr">
        <x:is>
          <x:t xml:space="preserve"/>
        </x:is>
      </x:c>
      <x:c r="K105" s="75" t="inlineStr">
        <x:is>
          <x:t xml:space="preserve">No</x:t>
        </x:is>
      </x:c>
      <x:c r="L105" s="75" t="inlineStr">
        <x:is>
          <x:t xml:space="preserve"/>
        </x:is>
      </x:c>
    </x:row>
    <x:row r="106">
      <x:c r="A106" s="30" t="inlineStr">
        <x:is>
          <x:t xml:space="preserve">TXN102</x:t>
        </x:is>
      </x:c>
      <x:c r="B106" s="82" t="inlineStr">
        <x:is>
          <x:t xml:space="preserve"/>
        </x:is>
      </x:c>
      <x:c r="C106" s="83" t="str">
        <x:f>IF(B106="","",MAX(1,MIN(24,INT((B106-Assumptions!$B$7)/7)+1)))</x:f>
      </x:c>
      <x:c r="D106" s="76" t="inlineStr">
        <x:is>
          <x:t xml:space="preserve"/>
        </x:is>
      </x:c>
      <x:c r="E106" s="76" t="inlineStr">
        <x:is>
          <x:t xml:space="preserve"/>
        </x:is>
      </x:c>
      <x:c r="F106" s="76" t="inlineStr">
        <x:is>
          <x:t xml:space="preserve"/>
        </x:is>
      </x:c>
      <x:c r="G106" s="52" t="n">
        <x:v>0</x:v>
      </x:c>
      <x:c r="H106" s="76" t="inlineStr">
        <x:is>
          <x:t xml:space="preserve"/>
        </x:is>
      </x:c>
      <x:c r="I106" s="76" t="inlineStr">
        <x:is>
          <x:t xml:space="preserve"/>
        </x:is>
      </x:c>
      <x:c r="J106" s="76" t="inlineStr">
        <x:is>
          <x:t xml:space="preserve"/>
        </x:is>
      </x:c>
      <x:c r="K106" s="76" t="inlineStr">
        <x:is>
          <x:t xml:space="preserve">No</x:t>
        </x:is>
      </x:c>
      <x:c r="L106" s="76" t="inlineStr">
        <x:is>
          <x:t xml:space="preserve"/>
        </x:is>
      </x:c>
    </x:row>
    <x:row r="107">
      <x:c r="A107" s="31" t="inlineStr">
        <x:is>
          <x:t xml:space="preserve">TXN103</x:t>
        </x:is>
      </x:c>
      <x:c r="B107" s="80" t="inlineStr">
        <x:is>
          <x:t xml:space="preserve"/>
        </x:is>
      </x:c>
      <x:c r="C107" s="81" t="str">
        <x:f>IF(B107="","",MAX(1,MIN(24,INT((B107-Assumptions!$B$7)/7)+1)))</x:f>
      </x:c>
      <x:c r="D107" s="75" t="inlineStr">
        <x:is>
          <x:t xml:space="preserve"/>
        </x:is>
      </x:c>
      <x:c r="E107" s="75" t="inlineStr">
        <x:is>
          <x:t xml:space="preserve"/>
        </x:is>
      </x:c>
      <x:c r="F107" s="75" t="inlineStr">
        <x:is>
          <x:t xml:space="preserve"/>
        </x:is>
      </x:c>
      <x:c r="G107" s="52" t="n">
        <x:v>0</x:v>
      </x:c>
      <x:c r="H107" s="75" t="inlineStr">
        <x:is>
          <x:t xml:space="preserve"/>
        </x:is>
      </x:c>
      <x:c r="I107" s="75" t="inlineStr">
        <x:is>
          <x:t xml:space="preserve"/>
        </x:is>
      </x:c>
      <x:c r="J107" s="75" t="inlineStr">
        <x:is>
          <x:t xml:space="preserve"/>
        </x:is>
      </x:c>
      <x:c r="K107" s="75" t="inlineStr">
        <x:is>
          <x:t xml:space="preserve">No</x:t>
        </x:is>
      </x:c>
      <x:c r="L107" s="75" t="inlineStr">
        <x:is>
          <x:t xml:space="preserve"/>
        </x:is>
      </x:c>
    </x:row>
    <x:row r="108">
      <x:c r="A108" s="30" t="inlineStr">
        <x:is>
          <x:t xml:space="preserve">TXN104</x:t>
        </x:is>
      </x:c>
      <x:c r="B108" s="82" t="inlineStr">
        <x:is>
          <x:t xml:space="preserve"/>
        </x:is>
      </x:c>
      <x:c r="C108" s="83" t="str">
        <x:f>IF(B108="","",MAX(1,MIN(24,INT((B108-Assumptions!$B$7)/7)+1)))</x:f>
      </x:c>
      <x:c r="D108" s="76" t="inlineStr">
        <x:is>
          <x:t xml:space="preserve"/>
        </x:is>
      </x:c>
      <x:c r="E108" s="76" t="inlineStr">
        <x:is>
          <x:t xml:space="preserve"/>
        </x:is>
      </x:c>
      <x:c r="F108" s="76" t="inlineStr">
        <x:is>
          <x:t xml:space="preserve"/>
        </x:is>
      </x:c>
      <x:c r="G108" s="52" t="n">
        <x:v>0</x:v>
      </x:c>
      <x:c r="H108" s="76" t="inlineStr">
        <x:is>
          <x:t xml:space="preserve"/>
        </x:is>
      </x:c>
      <x:c r="I108" s="76" t="inlineStr">
        <x:is>
          <x:t xml:space="preserve"/>
        </x:is>
      </x:c>
      <x:c r="J108" s="76" t="inlineStr">
        <x:is>
          <x:t xml:space="preserve"/>
        </x:is>
      </x:c>
      <x:c r="K108" s="76" t="inlineStr">
        <x:is>
          <x:t xml:space="preserve">No</x:t>
        </x:is>
      </x:c>
      <x:c r="L108" s="76" t="inlineStr">
        <x:is>
          <x:t xml:space="preserve"/>
        </x:is>
      </x:c>
    </x:row>
    <x:row r="109">
      <x:c r="A109" s="31" t="inlineStr">
        <x:is>
          <x:t xml:space="preserve">TXN105</x:t>
        </x:is>
      </x:c>
      <x:c r="B109" s="80" t="inlineStr">
        <x:is>
          <x:t xml:space="preserve"/>
        </x:is>
      </x:c>
      <x:c r="C109" s="81" t="str">
        <x:f>IF(B109="","",MAX(1,MIN(24,INT((B109-Assumptions!$B$7)/7)+1)))</x:f>
      </x:c>
      <x:c r="D109" s="75" t="inlineStr">
        <x:is>
          <x:t xml:space="preserve"/>
        </x:is>
      </x:c>
      <x:c r="E109" s="75" t="inlineStr">
        <x:is>
          <x:t xml:space="preserve"/>
        </x:is>
      </x:c>
      <x:c r="F109" s="75" t="inlineStr">
        <x:is>
          <x:t xml:space="preserve"/>
        </x:is>
      </x:c>
      <x:c r="G109" s="52" t="n">
        <x:v>0</x:v>
      </x:c>
      <x:c r="H109" s="75" t="inlineStr">
        <x:is>
          <x:t xml:space="preserve"/>
        </x:is>
      </x:c>
      <x:c r="I109" s="75" t="inlineStr">
        <x:is>
          <x:t xml:space="preserve"/>
        </x:is>
      </x:c>
      <x:c r="J109" s="75" t="inlineStr">
        <x:is>
          <x:t xml:space="preserve"/>
        </x:is>
      </x:c>
      <x:c r="K109" s="75" t="inlineStr">
        <x:is>
          <x:t xml:space="preserve">No</x:t>
        </x:is>
      </x:c>
      <x:c r="L109" s="75" t="inlineStr">
        <x:is>
          <x:t xml:space="preserve"/>
        </x:is>
      </x:c>
    </x:row>
    <x:row r="110">
      <x:c r="A110" s="30" t="inlineStr">
        <x:is>
          <x:t xml:space="preserve">TXN106</x:t>
        </x:is>
      </x:c>
      <x:c r="B110" s="82" t="inlineStr">
        <x:is>
          <x:t xml:space="preserve"/>
        </x:is>
      </x:c>
      <x:c r="C110" s="83" t="str">
        <x:f>IF(B110="","",MAX(1,MIN(24,INT((B110-Assumptions!$B$7)/7)+1)))</x:f>
      </x:c>
      <x:c r="D110" s="76" t="inlineStr">
        <x:is>
          <x:t xml:space="preserve"/>
        </x:is>
      </x:c>
      <x:c r="E110" s="76" t="inlineStr">
        <x:is>
          <x:t xml:space="preserve"/>
        </x:is>
      </x:c>
      <x:c r="F110" s="76" t="inlineStr">
        <x:is>
          <x:t xml:space="preserve"/>
        </x:is>
      </x:c>
      <x:c r="G110" s="52" t="n">
        <x:v>0</x:v>
      </x:c>
      <x:c r="H110" s="76" t="inlineStr">
        <x:is>
          <x:t xml:space="preserve"/>
        </x:is>
      </x:c>
      <x:c r="I110" s="76" t="inlineStr">
        <x:is>
          <x:t xml:space="preserve"/>
        </x:is>
      </x:c>
      <x:c r="J110" s="76" t="inlineStr">
        <x:is>
          <x:t xml:space="preserve"/>
        </x:is>
      </x:c>
      <x:c r="K110" s="76" t="inlineStr">
        <x:is>
          <x:t xml:space="preserve">No</x:t>
        </x:is>
      </x:c>
      <x:c r="L110" s="76" t="inlineStr">
        <x:is>
          <x:t xml:space="preserve"/>
        </x:is>
      </x:c>
    </x:row>
    <x:row r="111">
      <x:c r="A111" s="31" t="inlineStr">
        <x:is>
          <x:t xml:space="preserve">TXN107</x:t>
        </x:is>
      </x:c>
      <x:c r="B111" s="80" t="inlineStr">
        <x:is>
          <x:t xml:space="preserve"/>
        </x:is>
      </x:c>
      <x:c r="C111" s="81" t="str">
        <x:f>IF(B111="","",MAX(1,MIN(24,INT((B111-Assumptions!$B$7)/7)+1)))</x:f>
      </x:c>
      <x:c r="D111" s="75" t="inlineStr">
        <x:is>
          <x:t xml:space="preserve"/>
        </x:is>
      </x:c>
      <x:c r="E111" s="75" t="inlineStr">
        <x:is>
          <x:t xml:space="preserve"/>
        </x:is>
      </x:c>
      <x:c r="F111" s="75" t="inlineStr">
        <x:is>
          <x:t xml:space="preserve"/>
        </x:is>
      </x:c>
      <x:c r="G111" s="52" t="n">
        <x:v>0</x:v>
      </x:c>
      <x:c r="H111" s="75" t="inlineStr">
        <x:is>
          <x:t xml:space="preserve"/>
        </x:is>
      </x:c>
      <x:c r="I111" s="75" t="inlineStr">
        <x:is>
          <x:t xml:space="preserve"/>
        </x:is>
      </x:c>
      <x:c r="J111" s="75" t="inlineStr">
        <x:is>
          <x:t xml:space="preserve"/>
        </x:is>
      </x:c>
      <x:c r="K111" s="75" t="inlineStr">
        <x:is>
          <x:t xml:space="preserve">No</x:t>
        </x:is>
      </x:c>
      <x:c r="L111" s="75" t="inlineStr">
        <x:is>
          <x:t xml:space="preserve"/>
        </x:is>
      </x:c>
    </x:row>
    <x:row r="112">
      <x:c r="A112" s="30" t="inlineStr">
        <x:is>
          <x:t xml:space="preserve">TXN108</x:t>
        </x:is>
      </x:c>
      <x:c r="B112" s="82" t="inlineStr">
        <x:is>
          <x:t xml:space="preserve"/>
        </x:is>
      </x:c>
      <x:c r="C112" s="83" t="str">
        <x:f>IF(B112="","",MAX(1,MIN(24,INT((B112-Assumptions!$B$7)/7)+1)))</x:f>
      </x:c>
      <x:c r="D112" s="76" t="inlineStr">
        <x:is>
          <x:t xml:space="preserve"/>
        </x:is>
      </x:c>
      <x:c r="E112" s="76" t="inlineStr">
        <x:is>
          <x:t xml:space="preserve"/>
        </x:is>
      </x:c>
      <x:c r="F112" s="76" t="inlineStr">
        <x:is>
          <x:t xml:space="preserve"/>
        </x:is>
      </x:c>
      <x:c r="G112" s="52" t="n">
        <x:v>0</x:v>
      </x:c>
      <x:c r="H112" s="76" t="inlineStr">
        <x:is>
          <x:t xml:space="preserve"/>
        </x:is>
      </x:c>
      <x:c r="I112" s="76" t="inlineStr">
        <x:is>
          <x:t xml:space="preserve"/>
        </x:is>
      </x:c>
      <x:c r="J112" s="76" t="inlineStr">
        <x:is>
          <x:t xml:space="preserve"/>
        </x:is>
      </x:c>
      <x:c r="K112" s="76" t="inlineStr">
        <x:is>
          <x:t xml:space="preserve">No</x:t>
        </x:is>
      </x:c>
      <x:c r="L112" s="76" t="inlineStr">
        <x:is>
          <x:t xml:space="preserve"/>
        </x:is>
      </x:c>
    </x:row>
    <x:row r="113">
      <x:c r="A113" s="31" t="inlineStr">
        <x:is>
          <x:t xml:space="preserve">TXN109</x:t>
        </x:is>
      </x:c>
      <x:c r="B113" s="80" t="inlineStr">
        <x:is>
          <x:t xml:space="preserve"/>
        </x:is>
      </x:c>
      <x:c r="C113" s="81" t="str">
        <x:f>IF(B113="","",MAX(1,MIN(24,INT((B113-Assumptions!$B$7)/7)+1)))</x:f>
      </x:c>
      <x:c r="D113" s="75" t="inlineStr">
        <x:is>
          <x:t xml:space="preserve"/>
        </x:is>
      </x:c>
      <x:c r="E113" s="75" t="inlineStr">
        <x:is>
          <x:t xml:space="preserve"/>
        </x:is>
      </x:c>
      <x:c r="F113" s="75" t="inlineStr">
        <x:is>
          <x:t xml:space="preserve"/>
        </x:is>
      </x:c>
      <x:c r="G113" s="52" t="n">
        <x:v>0</x:v>
      </x:c>
      <x:c r="H113" s="75" t="inlineStr">
        <x:is>
          <x:t xml:space="preserve"/>
        </x:is>
      </x:c>
      <x:c r="I113" s="75" t="inlineStr">
        <x:is>
          <x:t xml:space="preserve"/>
        </x:is>
      </x:c>
      <x:c r="J113" s="75" t="inlineStr">
        <x:is>
          <x:t xml:space="preserve"/>
        </x:is>
      </x:c>
      <x:c r="K113" s="75" t="inlineStr">
        <x:is>
          <x:t xml:space="preserve">No</x:t>
        </x:is>
      </x:c>
      <x:c r="L113" s="75" t="inlineStr">
        <x:is>
          <x:t xml:space="preserve"/>
        </x:is>
      </x:c>
    </x:row>
    <x:row r="114">
      <x:c r="A114" s="30" t="inlineStr">
        <x:is>
          <x:t xml:space="preserve">TXN110</x:t>
        </x:is>
      </x:c>
      <x:c r="B114" s="82" t="inlineStr">
        <x:is>
          <x:t xml:space="preserve"/>
        </x:is>
      </x:c>
      <x:c r="C114" s="83" t="str">
        <x:f>IF(B114="","",MAX(1,MIN(24,INT((B114-Assumptions!$B$7)/7)+1)))</x:f>
      </x:c>
      <x:c r="D114" s="76" t="inlineStr">
        <x:is>
          <x:t xml:space="preserve"/>
        </x:is>
      </x:c>
      <x:c r="E114" s="76" t="inlineStr">
        <x:is>
          <x:t xml:space="preserve"/>
        </x:is>
      </x:c>
      <x:c r="F114" s="76" t="inlineStr">
        <x:is>
          <x:t xml:space="preserve"/>
        </x:is>
      </x:c>
      <x:c r="G114" s="52" t="n">
        <x:v>0</x:v>
      </x:c>
      <x:c r="H114" s="76" t="inlineStr">
        <x:is>
          <x:t xml:space="preserve"/>
        </x:is>
      </x:c>
      <x:c r="I114" s="76" t="inlineStr">
        <x:is>
          <x:t xml:space="preserve"/>
        </x:is>
      </x:c>
      <x:c r="J114" s="76" t="inlineStr">
        <x:is>
          <x:t xml:space="preserve"/>
        </x:is>
      </x:c>
      <x:c r="K114" s="76" t="inlineStr">
        <x:is>
          <x:t xml:space="preserve">No</x:t>
        </x:is>
      </x:c>
      <x:c r="L114" s="76" t="inlineStr">
        <x:is>
          <x:t xml:space="preserve"/>
        </x:is>
      </x:c>
    </x:row>
    <x:row r="115">
      <x:c r="A115" s="31" t="inlineStr">
        <x:is>
          <x:t xml:space="preserve">TXN111</x:t>
        </x:is>
      </x:c>
      <x:c r="B115" s="80" t="inlineStr">
        <x:is>
          <x:t xml:space="preserve"/>
        </x:is>
      </x:c>
      <x:c r="C115" s="81" t="str">
        <x:f>IF(B115="","",MAX(1,MIN(24,INT((B115-Assumptions!$B$7)/7)+1)))</x:f>
      </x:c>
      <x:c r="D115" s="75" t="inlineStr">
        <x:is>
          <x:t xml:space="preserve"/>
        </x:is>
      </x:c>
      <x:c r="E115" s="75" t="inlineStr">
        <x:is>
          <x:t xml:space="preserve"/>
        </x:is>
      </x:c>
      <x:c r="F115" s="75" t="inlineStr">
        <x:is>
          <x:t xml:space="preserve"/>
        </x:is>
      </x:c>
      <x:c r="G115" s="52" t="n">
        <x:v>0</x:v>
      </x:c>
      <x:c r="H115" s="75" t="inlineStr">
        <x:is>
          <x:t xml:space="preserve"/>
        </x:is>
      </x:c>
      <x:c r="I115" s="75" t="inlineStr">
        <x:is>
          <x:t xml:space="preserve"/>
        </x:is>
      </x:c>
      <x:c r="J115" s="75" t="inlineStr">
        <x:is>
          <x:t xml:space="preserve"/>
        </x:is>
      </x:c>
      <x:c r="K115" s="75" t="inlineStr">
        <x:is>
          <x:t xml:space="preserve">No</x:t>
        </x:is>
      </x:c>
      <x:c r="L115" s="75" t="inlineStr">
        <x:is>
          <x:t xml:space="preserve"/>
        </x:is>
      </x:c>
    </x:row>
    <x:row r="116">
      <x:c r="A116" s="30" t="inlineStr">
        <x:is>
          <x:t xml:space="preserve">TXN112</x:t>
        </x:is>
      </x:c>
      <x:c r="B116" s="82" t="inlineStr">
        <x:is>
          <x:t xml:space="preserve"/>
        </x:is>
      </x:c>
      <x:c r="C116" s="83" t="str">
        <x:f>IF(B116="","",MAX(1,MIN(24,INT((B116-Assumptions!$B$7)/7)+1)))</x:f>
      </x:c>
      <x:c r="D116" s="76" t="inlineStr">
        <x:is>
          <x:t xml:space="preserve"/>
        </x:is>
      </x:c>
      <x:c r="E116" s="76" t="inlineStr">
        <x:is>
          <x:t xml:space="preserve"/>
        </x:is>
      </x:c>
      <x:c r="F116" s="76" t="inlineStr">
        <x:is>
          <x:t xml:space="preserve"/>
        </x:is>
      </x:c>
      <x:c r="G116" s="52" t="n">
        <x:v>0</x:v>
      </x:c>
      <x:c r="H116" s="76" t="inlineStr">
        <x:is>
          <x:t xml:space="preserve"/>
        </x:is>
      </x:c>
      <x:c r="I116" s="76" t="inlineStr">
        <x:is>
          <x:t xml:space="preserve"/>
        </x:is>
      </x:c>
      <x:c r="J116" s="76" t="inlineStr">
        <x:is>
          <x:t xml:space="preserve"/>
        </x:is>
      </x:c>
      <x:c r="K116" s="76" t="inlineStr">
        <x:is>
          <x:t xml:space="preserve">No</x:t>
        </x:is>
      </x:c>
      <x:c r="L116" s="76" t="inlineStr">
        <x:is>
          <x:t xml:space="preserve"/>
        </x:is>
      </x:c>
    </x:row>
    <x:row r="117">
      <x:c r="A117" s="31" t="inlineStr">
        <x:is>
          <x:t xml:space="preserve">TXN113</x:t>
        </x:is>
      </x:c>
      <x:c r="B117" s="80" t="inlineStr">
        <x:is>
          <x:t xml:space="preserve"/>
        </x:is>
      </x:c>
      <x:c r="C117" s="81" t="str">
        <x:f>IF(B117="","",MAX(1,MIN(24,INT((B117-Assumptions!$B$7)/7)+1)))</x:f>
      </x:c>
      <x:c r="D117" s="75" t="inlineStr">
        <x:is>
          <x:t xml:space="preserve"/>
        </x:is>
      </x:c>
      <x:c r="E117" s="75" t="inlineStr">
        <x:is>
          <x:t xml:space="preserve"/>
        </x:is>
      </x:c>
      <x:c r="F117" s="75" t="inlineStr">
        <x:is>
          <x:t xml:space="preserve"/>
        </x:is>
      </x:c>
      <x:c r="G117" s="52" t="n">
        <x:v>0</x:v>
      </x:c>
      <x:c r="H117" s="75" t="inlineStr">
        <x:is>
          <x:t xml:space="preserve"/>
        </x:is>
      </x:c>
      <x:c r="I117" s="75" t="inlineStr">
        <x:is>
          <x:t xml:space="preserve"/>
        </x:is>
      </x:c>
      <x:c r="J117" s="75" t="inlineStr">
        <x:is>
          <x:t xml:space="preserve"/>
        </x:is>
      </x:c>
      <x:c r="K117" s="75" t="inlineStr">
        <x:is>
          <x:t xml:space="preserve">No</x:t>
        </x:is>
      </x:c>
      <x:c r="L117" s="75" t="inlineStr">
        <x:is>
          <x:t xml:space="preserve"/>
        </x:is>
      </x:c>
    </x:row>
    <x:row r="118">
      <x:c r="A118" s="30" t="inlineStr">
        <x:is>
          <x:t xml:space="preserve">TXN114</x:t>
        </x:is>
      </x:c>
      <x:c r="B118" s="82" t="inlineStr">
        <x:is>
          <x:t xml:space="preserve"/>
        </x:is>
      </x:c>
      <x:c r="C118" s="83" t="str">
        <x:f>IF(B118="","",MAX(1,MIN(24,INT((B118-Assumptions!$B$7)/7)+1)))</x:f>
      </x:c>
      <x:c r="D118" s="76" t="inlineStr">
        <x:is>
          <x:t xml:space="preserve"/>
        </x:is>
      </x:c>
      <x:c r="E118" s="76" t="inlineStr">
        <x:is>
          <x:t xml:space="preserve"/>
        </x:is>
      </x:c>
      <x:c r="F118" s="76" t="inlineStr">
        <x:is>
          <x:t xml:space="preserve"/>
        </x:is>
      </x:c>
      <x:c r="G118" s="52" t="n">
        <x:v>0</x:v>
      </x:c>
      <x:c r="H118" s="76" t="inlineStr">
        <x:is>
          <x:t xml:space="preserve"/>
        </x:is>
      </x:c>
      <x:c r="I118" s="76" t="inlineStr">
        <x:is>
          <x:t xml:space="preserve"/>
        </x:is>
      </x:c>
      <x:c r="J118" s="76" t="inlineStr">
        <x:is>
          <x:t xml:space="preserve"/>
        </x:is>
      </x:c>
      <x:c r="K118" s="76" t="inlineStr">
        <x:is>
          <x:t xml:space="preserve">No</x:t>
        </x:is>
      </x:c>
      <x:c r="L118" s="76" t="inlineStr">
        <x:is>
          <x:t xml:space="preserve"/>
        </x:is>
      </x:c>
    </x:row>
    <x:row r="119">
      <x:c r="A119" s="31" t="inlineStr">
        <x:is>
          <x:t xml:space="preserve">TXN115</x:t>
        </x:is>
      </x:c>
      <x:c r="B119" s="80" t="inlineStr">
        <x:is>
          <x:t xml:space="preserve"/>
        </x:is>
      </x:c>
      <x:c r="C119" s="81" t="str">
        <x:f>IF(B119="","",MAX(1,MIN(24,INT((B119-Assumptions!$B$7)/7)+1)))</x:f>
      </x:c>
      <x:c r="D119" s="75" t="inlineStr">
        <x:is>
          <x:t xml:space="preserve"/>
        </x:is>
      </x:c>
      <x:c r="E119" s="75" t="inlineStr">
        <x:is>
          <x:t xml:space="preserve"/>
        </x:is>
      </x:c>
      <x:c r="F119" s="75" t="inlineStr">
        <x:is>
          <x:t xml:space="preserve"/>
        </x:is>
      </x:c>
      <x:c r="G119" s="52" t="n">
        <x:v>0</x:v>
      </x:c>
      <x:c r="H119" s="75" t="inlineStr">
        <x:is>
          <x:t xml:space="preserve"/>
        </x:is>
      </x:c>
      <x:c r="I119" s="75" t="inlineStr">
        <x:is>
          <x:t xml:space="preserve"/>
        </x:is>
      </x:c>
      <x:c r="J119" s="75" t="inlineStr">
        <x:is>
          <x:t xml:space="preserve"/>
        </x:is>
      </x:c>
      <x:c r="K119" s="75" t="inlineStr">
        <x:is>
          <x:t xml:space="preserve">No</x:t>
        </x:is>
      </x:c>
      <x:c r="L119" s="75" t="inlineStr">
        <x:is>
          <x:t xml:space="preserve"/>
        </x:is>
      </x:c>
    </x:row>
    <x:row r="120">
      <x:c r="A120" s="30" t="inlineStr">
        <x:is>
          <x:t xml:space="preserve">TXN116</x:t>
        </x:is>
      </x:c>
      <x:c r="B120" s="82" t="inlineStr">
        <x:is>
          <x:t xml:space="preserve"/>
        </x:is>
      </x:c>
      <x:c r="C120" s="83" t="str">
        <x:f>IF(B120="","",MAX(1,MIN(24,INT((B120-Assumptions!$B$7)/7)+1)))</x:f>
      </x:c>
      <x:c r="D120" s="76" t="inlineStr">
        <x:is>
          <x:t xml:space="preserve"/>
        </x:is>
      </x:c>
      <x:c r="E120" s="76" t="inlineStr">
        <x:is>
          <x:t xml:space="preserve"/>
        </x:is>
      </x:c>
      <x:c r="F120" s="76" t="inlineStr">
        <x:is>
          <x:t xml:space="preserve"/>
        </x:is>
      </x:c>
      <x:c r="G120" s="52" t="n">
        <x:v>0</x:v>
      </x:c>
      <x:c r="H120" s="76" t="inlineStr">
        <x:is>
          <x:t xml:space="preserve"/>
        </x:is>
      </x:c>
      <x:c r="I120" s="76" t="inlineStr">
        <x:is>
          <x:t xml:space="preserve"/>
        </x:is>
      </x:c>
      <x:c r="J120" s="76" t="inlineStr">
        <x:is>
          <x:t xml:space="preserve"/>
        </x:is>
      </x:c>
      <x:c r="K120" s="76" t="inlineStr">
        <x:is>
          <x:t xml:space="preserve">No</x:t>
        </x:is>
      </x:c>
      <x:c r="L120" s="76" t="inlineStr">
        <x:is>
          <x:t xml:space="preserve"/>
        </x:is>
      </x:c>
    </x:row>
    <x:row r="121">
      <x:c r="A121" s="31" t="inlineStr">
        <x:is>
          <x:t xml:space="preserve">TXN117</x:t>
        </x:is>
      </x:c>
      <x:c r="B121" s="80" t="inlineStr">
        <x:is>
          <x:t xml:space="preserve"/>
        </x:is>
      </x:c>
      <x:c r="C121" s="81" t="str">
        <x:f>IF(B121="","",MAX(1,MIN(24,INT((B121-Assumptions!$B$7)/7)+1)))</x:f>
      </x:c>
      <x:c r="D121" s="75" t="inlineStr">
        <x:is>
          <x:t xml:space="preserve"/>
        </x:is>
      </x:c>
      <x:c r="E121" s="75" t="inlineStr">
        <x:is>
          <x:t xml:space="preserve"/>
        </x:is>
      </x:c>
      <x:c r="F121" s="75" t="inlineStr">
        <x:is>
          <x:t xml:space="preserve"/>
        </x:is>
      </x:c>
      <x:c r="G121" s="52" t="n">
        <x:v>0</x:v>
      </x:c>
      <x:c r="H121" s="75" t="inlineStr">
        <x:is>
          <x:t xml:space="preserve"/>
        </x:is>
      </x:c>
      <x:c r="I121" s="75" t="inlineStr">
        <x:is>
          <x:t xml:space="preserve"/>
        </x:is>
      </x:c>
      <x:c r="J121" s="75" t="inlineStr">
        <x:is>
          <x:t xml:space="preserve"/>
        </x:is>
      </x:c>
      <x:c r="K121" s="75" t="inlineStr">
        <x:is>
          <x:t xml:space="preserve">No</x:t>
        </x:is>
      </x:c>
      <x:c r="L121" s="75" t="inlineStr">
        <x:is>
          <x:t xml:space="preserve"/>
        </x:is>
      </x:c>
    </x:row>
    <x:row r="122">
      <x:c r="A122" s="30" t="inlineStr">
        <x:is>
          <x:t xml:space="preserve">TXN118</x:t>
        </x:is>
      </x:c>
      <x:c r="B122" s="82" t="inlineStr">
        <x:is>
          <x:t xml:space="preserve"/>
        </x:is>
      </x:c>
      <x:c r="C122" s="83" t="str">
        <x:f>IF(B122="","",MAX(1,MIN(24,INT((B122-Assumptions!$B$7)/7)+1)))</x:f>
      </x:c>
      <x:c r="D122" s="76" t="inlineStr">
        <x:is>
          <x:t xml:space="preserve"/>
        </x:is>
      </x:c>
      <x:c r="E122" s="76" t="inlineStr">
        <x:is>
          <x:t xml:space="preserve"/>
        </x:is>
      </x:c>
      <x:c r="F122" s="76" t="inlineStr">
        <x:is>
          <x:t xml:space="preserve"/>
        </x:is>
      </x:c>
      <x:c r="G122" s="52" t="n">
        <x:v>0</x:v>
      </x:c>
      <x:c r="H122" s="76" t="inlineStr">
        <x:is>
          <x:t xml:space="preserve"/>
        </x:is>
      </x:c>
      <x:c r="I122" s="76" t="inlineStr">
        <x:is>
          <x:t xml:space="preserve"/>
        </x:is>
      </x:c>
      <x:c r="J122" s="76" t="inlineStr">
        <x:is>
          <x:t xml:space="preserve"/>
        </x:is>
      </x:c>
      <x:c r="K122" s="76" t="inlineStr">
        <x:is>
          <x:t xml:space="preserve">No</x:t>
        </x:is>
      </x:c>
      <x:c r="L122" s="76" t="inlineStr">
        <x:is>
          <x:t xml:space="preserve"/>
        </x:is>
      </x:c>
    </x:row>
    <x:row r="123">
      <x:c r="A123" s="31" t="inlineStr">
        <x:is>
          <x:t xml:space="preserve">TXN119</x:t>
        </x:is>
      </x:c>
      <x:c r="B123" s="80" t="inlineStr">
        <x:is>
          <x:t xml:space="preserve"/>
        </x:is>
      </x:c>
      <x:c r="C123" s="81" t="str">
        <x:f>IF(B123="","",MAX(1,MIN(24,INT((B123-Assumptions!$B$7)/7)+1)))</x:f>
      </x:c>
      <x:c r="D123" s="75" t="inlineStr">
        <x:is>
          <x:t xml:space="preserve"/>
        </x:is>
      </x:c>
      <x:c r="E123" s="75" t="inlineStr">
        <x:is>
          <x:t xml:space="preserve"/>
        </x:is>
      </x:c>
      <x:c r="F123" s="75" t="inlineStr">
        <x:is>
          <x:t xml:space="preserve"/>
        </x:is>
      </x:c>
      <x:c r="G123" s="52" t="n">
        <x:v>0</x:v>
      </x:c>
      <x:c r="H123" s="75" t="inlineStr">
        <x:is>
          <x:t xml:space="preserve"/>
        </x:is>
      </x:c>
      <x:c r="I123" s="75" t="inlineStr">
        <x:is>
          <x:t xml:space="preserve"/>
        </x:is>
      </x:c>
      <x:c r="J123" s="75" t="inlineStr">
        <x:is>
          <x:t xml:space="preserve"/>
        </x:is>
      </x:c>
      <x:c r="K123" s="75" t="inlineStr">
        <x:is>
          <x:t xml:space="preserve">No</x:t>
        </x:is>
      </x:c>
      <x:c r="L123" s="75" t="inlineStr">
        <x:is>
          <x:t xml:space="preserve"/>
        </x:is>
      </x:c>
    </x:row>
    <x:row r="124">
      <x:c r="A124" s="30" t="inlineStr">
        <x:is>
          <x:t xml:space="preserve">TXN120</x:t>
        </x:is>
      </x:c>
      <x:c r="B124" s="82" t="inlineStr">
        <x:is>
          <x:t xml:space="preserve"/>
        </x:is>
      </x:c>
      <x:c r="C124" s="83" t="str">
        <x:f>IF(B124="","",MAX(1,MIN(24,INT((B124-Assumptions!$B$7)/7)+1)))</x:f>
      </x:c>
      <x:c r="D124" s="76" t="inlineStr">
        <x:is>
          <x:t xml:space="preserve"/>
        </x:is>
      </x:c>
      <x:c r="E124" s="76" t="inlineStr">
        <x:is>
          <x:t xml:space="preserve"/>
        </x:is>
      </x:c>
      <x:c r="F124" s="76" t="inlineStr">
        <x:is>
          <x:t xml:space="preserve"/>
        </x:is>
      </x:c>
      <x:c r="G124" s="52" t="n">
        <x:v>0</x:v>
      </x:c>
      <x:c r="H124" s="76" t="inlineStr">
        <x:is>
          <x:t xml:space="preserve"/>
        </x:is>
      </x:c>
      <x:c r="I124" s="76" t="inlineStr">
        <x:is>
          <x:t xml:space="preserve"/>
        </x:is>
      </x:c>
      <x:c r="J124" s="76" t="inlineStr">
        <x:is>
          <x:t xml:space="preserve"/>
        </x:is>
      </x:c>
      <x:c r="K124" s="76" t="inlineStr">
        <x:is>
          <x:t xml:space="preserve">No</x:t>
        </x:is>
      </x:c>
      <x:c r="L124" s="76" t="inlineStr">
        <x:is>
          <x:t xml:space="preserve"/>
        </x:is>
      </x:c>
    </x:row>
    <x:row r="125">
      <x:c r="A125" s="31" t="inlineStr">
        <x:is>
          <x:t xml:space="preserve">TXN121</x:t>
        </x:is>
      </x:c>
      <x:c r="B125" s="80" t="inlineStr">
        <x:is>
          <x:t xml:space="preserve"/>
        </x:is>
      </x:c>
      <x:c r="C125" s="81" t="str">
        <x:f>IF(B125="","",MAX(1,MIN(24,INT((B125-Assumptions!$B$7)/7)+1)))</x:f>
      </x:c>
      <x:c r="D125" s="75" t="inlineStr">
        <x:is>
          <x:t xml:space="preserve"/>
        </x:is>
      </x:c>
      <x:c r="E125" s="75" t="inlineStr">
        <x:is>
          <x:t xml:space="preserve"/>
        </x:is>
      </x:c>
      <x:c r="F125" s="75" t="inlineStr">
        <x:is>
          <x:t xml:space="preserve"/>
        </x:is>
      </x:c>
      <x:c r="G125" s="52" t="n">
        <x:v>0</x:v>
      </x:c>
      <x:c r="H125" s="75" t="inlineStr">
        <x:is>
          <x:t xml:space="preserve"/>
        </x:is>
      </x:c>
      <x:c r="I125" s="75" t="inlineStr">
        <x:is>
          <x:t xml:space="preserve"/>
        </x:is>
      </x:c>
      <x:c r="J125" s="75" t="inlineStr">
        <x:is>
          <x:t xml:space="preserve"/>
        </x:is>
      </x:c>
      <x:c r="K125" s="75" t="inlineStr">
        <x:is>
          <x:t xml:space="preserve">No</x:t>
        </x:is>
      </x:c>
      <x:c r="L125" s="75" t="inlineStr">
        <x:is>
          <x:t xml:space="preserve"/>
        </x:is>
      </x:c>
    </x:row>
    <x:row r="126">
      <x:c r="A126" s="30" t="inlineStr">
        <x:is>
          <x:t xml:space="preserve">TXN122</x:t>
        </x:is>
      </x:c>
      <x:c r="B126" s="82" t="inlineStr">
        <x:is>
          <x:t xml:space="preserve"/>
        </x:is>
      </x:c>
      <x:c r="C126" s="83" t="str">
        <x:f>IF(B126="","",MAX(1,MIN(24,INT((B126-Assumptions!$B$7)/7)+1)))</x:f>
      </x:c>
      <x:c r="D126" s="76" t="inlineStr">
        <x:is>
          <x:t xml:space="preserve"/>
        </x:is>
      </x:c>
      <x:c r="E126" s="76" t="inlineStr">
        <x:is>
          <x:t xml:space="preserve"/>
        </x:is>
      </x:c>
      <x:c r="F126" s="76" t="inlineStr">
        <x:is>
          <x:t xml:space="preserve"/>
        </x:is>
      </x:c>
      <x:c r="G126" s="52" t="n">
        <x:v>0</x:v>
      </x:c>
      <x:c r="H126" s="76" t="inlineStr">
        <x:is>
          <x:t xml:space="preserve"/>
        </x:is>
      </x:c>
      <x:c r="I126" s="76" t="inlineStr">
        <x:is>
          <x:t xml:space="preserve"/>
        </x:is>
      </x:c>
      <x:c r="J126" s="76" t="inlineStr">
        <x:is>
          <x:t xml:space="preserve"/>
        </x:is>
      </x:c>
      <x:c r="K126" s="76" t="inlineStr">
        <x:is>
          <x:t xml:space="preserve">No</x:t>
        </x:is>
      </x:c>
      <x:c r="L126" s="76" t="inlineStr">
        <x:is>
          <x:t xml:space="preserve"/>
        </x:is>
      </x:c>
    </x:row>
    <x:row r="127">
      <x:c r="A127" s="31" t="inlineStr">
        <x:is>
          <x:t xml:space="preserve">TXN123</x:t>
        </x:is>
      </x:c>
      <x:c r="B127" s="80" t="inlineStr">
        <x:is>
          <x:t xml:space="preserve"/>
        </x:is>
      </x:c>
      <x:c r="C127" s="81" t="str">
        <x:f>IF(B127="","",MAX(1,MIN(24,INT((B127-Assumptions!$B$7)/7)+1)))</x:f>
      </x:c>
      <x:c r="D127" s="75" t="inlineStr">
        <x:is>
          <x:t xml:space="preserve"/>
        </x:is>
      </x:c>
      <x:c r="E127" s="75" t="inlineStr">
        <x:is>
          <x:t xml:space="preserve"/>
        </x:is>
      </x:c>
      <x:c r="F127" s="75" t="inlineStr">
        <x:is>
          <x:t xml:space="preserve"/>
        </x:is>
      </x:c>
      <x:c r="G127" s="52" t="n">
        <x:v>0</x:v>
      </x:c>
      <x:c r="H127" s="75" t="inlineStr">
        <x:is>
          <x:t xml:space="preserve"/>
        </x:is>
      </x:c>
      <x:c r="I127" s="75" t="inlineStr">
        <x:is>
          <x:t xml:space="preserve"/>
        </x:is>
      </x:c>
      <x:c r="J127" s="75" t="inlineStr">
        <x:is>
          <x:t xml:space="preserve"/>
        </x:is>
      </x:c>
      <x:c r="K127" s="75" t="inlineStr">
        <x:is>
          <x:t xml:space="preserve">No</x:t>
        </x:is>
      </x:c>
      <x:c r="L127" s="75" t="inlineStr">
        <x:is>
          <x:t xml:space="preserve"/>
        </x:is>
      </x:c>
    </x:row>
    <x:row r="128">
      <x:c r="A128" s="30" t="inlineStr">
        <x:is>
          <x:t xml:space="preserve">TXN124</x:t>
        </x:is>
      </x:c>
      <x:c r="B128" s="82" t="inlineStr">
        <x:is>
          <x:t xml:space="preserve"/>
        </x:is>
      </x:c>
      <x:c r="C128" s="83" t="str">
        <x:f>IF(B128="","",MAX(1,MIN(24,INT((B128-Assumptions!$B$7)/7)+1)))</x:f>
      </x:c>
      <x:c r="D128" s="76" t="inlineStr">
        <x:is>
          <x:t xml:space="preserve"/>
        </x:is>
      </x:c>
      <x:c r="E128" s="76" t="inlineStr">
        <x:is>
          <x:t xml:space="preserve"/>
        </x:is>
      </x:c>
      <x:c r="F128" s="76" t="inlineStr">
        <x:is>
          <x:t xml:space="preserve"/>
        </x:is>
      </x:c>
      <x:c r="G128" s="52" t="n">
        <x:v>0</x:v>
      </x:c>
      <x:c r="H128" s="76" t="inlineStr">
        <x:is>
          <x:t xml:space="preserve"/>
        </x:is>
      </x:c>
      <x:c r="I128" s="76" t="inlineStr">
        <x:is>
          <x:t xml:space="preserve"/>
        </x:is>
      </x:c>
      <x:c r="J128" s="76" t="inlineStr">
        <x:is>
          <x:t xml:space="preserve"/>
        </x:is>
      </x:c>
      <x:c r="K128" s="76" t="inlineStr">
        <x:is>
          <x:t xml:space="preserve">No</x:t>
        </x:is>
      </x:c>
      <x:c r="L128" s="76" t="inlineStr">
        <x:is>
          <x:t xml:space="preserve"/>
        </x:is>
      </x:c>
    </x:row>
    <x:row r="129">
      <x:c r="A129" s="31" t="inlineStr">
        <x:is>
          <x:t xml:space="preserve">TXN125</x:t>
        </x:is>
      </x:c>
      <x:c r="B129" s="80" t="inlineStr">
        <x:is>
          <x:t xml:space="preserve"/>
        </x:is>
      </x:c>
      <x:c r="C129" s="81" t="str">
        <x:f>IF(B129="","",MAX(1,MIN(24,INT((B129-Assumptions!$B$7)/7)+1)))</x:f>
      </x:c>
      <x:c r="D129" s="75" t="inlineStr">
        <x:is>
          <x:t xml:space="preserve"/>
        </x:is>
      </x:c>
      <x:c r="E129" s="75" t="inlineStr">
        <x:is>
          <x:t xml:space="preserve"/>
        </x:is>
      </x:c>
      <x:c r="F129" s="75" t="inlineStr">
        <x:is>
          <x:t xml:space="preserve"/>
        </x:is>
      </x:c>
      <x:c r="G129" s="52" t="n">
        <x:v>0</x:v>
      </x:c>
      <x:c r="H129" s="75" t="inlineStr">
        <x:is>
          <x:t xml:space="preserve"/>
        </x:is>
      </x:c>
      <x:c r="I129" s="75" t="inlineStr">
        <x:is>
          <x:t xml:space="preserve"/>
        </x:is>
      </x:c>
      <x:c r="J129" s="75" t="inlineStr">
        <x:is>
          <x:t xml:space="preserve"/>
        </x:is>
      </x:c>
      <x:c r="K129" s="75" t="inlineStr">
        <x:is>
          <x:t xml:space="preserve">No</x:t>
        </x:is>
      </x:c>
      <x:c r="L129" s="75" t="inlineStr">
        <x:is>
          <x:t xml:space="preserve"/>
        </x:is>
      </x:c>
    </x:row>
    <x:row r="130">
      <x:c r="A130" s="30" t="inlineStr">
        <x:is>
          <x:t xml:space="preserve">TXN126</x:t>
        </x:is>
      </x:c>
      <x:c r="B130" s="82" t="inlineStr">
        <x:is>
          <x:t xml:space="preserve"/>
        </x:is>
      </x:c>
      <x:c r="C130" s="83" t="str">
        <x:f>IF(B130="","",MAX(1,MIN(24,INT((B130-Assumptions!$B$7)/7)+1)))</x:f>
      </x:c>
      <x:c r="D130" s="76" t="inlineStr">
        <x:is>
          <x:t xml:space="preserve"/>
        </x:is>
      </x:c>
      <x:c r="E130" s="76" t="inlineStr">
        <x:is>
          <x:t xml:space="preserve"/>
        </x:is>
      </x:c>
      <x:c r="F130" s="76" t="inlineStr">
        <x:is>
          <x:t xml:space="preserve"/>
        </x:is>
      </x:c>
      <x:c r="G130" s="52" t="n">
        <x:v>0</x:v>
      </x:c>
      <x:c r="H130" s="76" t="inlineStr">
        <x:is>
          <x:t xml:space="preserve"/>
        </x:is>
      </x:c>
      <x:c r="I130" s="76" t="inlineStr">
        <x:is>
          <x:t xml:space="preserve"/>
        </x:is>
      </x:c>
      <x:c r="J130" s="76" t="inlineStr">
        <x:is>
          <x:t xml:space="preserve"/>
        </x:is>
      </x:c>
      <x:c r="K130" s="76" t="inlineStr">
        <x:is>
          <x:t xml:space="preserve">No</x:t>
        </x:is>
      </x:c>
      <x:c r="L130" s="76" t="inlineStr">
        <x:is>
          <x:t xml:space="preserve"/>
        </x:is>
      </x:c>
    </x:row>
    <x:row r="131">
      <x:c r="A131" s="31" t="inlineStr">
        <x:is>
          <x:t xml:space="preserve">TXN127</x:t>
        </x:is>
      </x:c>
      <x:c r="B131" s="80" t="inlineStr">
        <x:is>
          <x:t xml:space="preserve"/>
        </x:is>
      </x:c>
      <x:c r="C131" s="81" t="str">
        <x:f>IF(B131="","",MAX(1,MIN(24,INT((B131-Assumptions!$B$7)/7)+1)))</x:f>
      </x:c>
      <x:c r="D131" s="75" t="inlineStr">
        <x:is>
          <x:t xml:space="preserve"/>
        </x:is>
      </x:c>
      <x:c r="E131" s="75" t="inlineStr">
        <x:is>
          <x:t xml:space="preserve"/>
        </x:is>
      </x:c>
      <x:c r="F131" s="75" t="inlineStr">
        <x:is>
          <x:t xml:space="preserve"/>
        </x:is>
      </x:c>
      <x:c r="G131" s="52" t="n">
        <x:v>0</x:v>
      </x:c>
      <x:c r="H131" s="75" t="inlineStr">
        <x:is>
          <x:t xml:space="preserve"/>
        </x:is>
      </x:c>
      <x:c r="I131" s="75" t="inlineStr">
        <x:is>
          <x:t xml:space="preserve"/>
        </x:is>
      </x:c>
      <x:c r="J131" s="75" t="inlineStr">
        <x:is>
          <x:t xml:space="preserve"/>
        </x:is>
      </x:c>
      <x:c r="K131" s="75" t="inlineStr">
        <x:is>
          <x:t xml:space="preserve">No</x:t>
        </x:is>
      </x:c>
      <x:c r="L131" s="75" t="inlineStr">
        <x:is>
          <x:t xml:space="preserve"/>
        </x:is>
      </x:c>
    </x:row>
    <x:row r="132">
      <x:c r="A132" s="30" t="inlineStr">
        <x:is>
          <x:t xml:space="preserve">TXN128</x:t>
        </x:is>
      </x:c>
      <x:c r="B132" s="82" t="inlineStr">
        <x:is>
          <x:t xml:space="preserve"/>
        </x:is>
      </x:c>
      <x:c r="C132" s="83" t="str">
        <x:f>IF(B132="","",MAX(1,MIN(24,INT((B132-Assumptions!$B$7)/7)+1)))</x:f>
      </x:c>
      <x:c r="D132" s="76" t="inlineStr">
        <x:is>
          <x:t xml:space="preserve"/>
        </x:is>
      </x:c>
      <x:c r="E132" s="76" t="inlineStr">
        <x:is>
          <x:t xml:space="preserve"/>
        </x:is>
      </x:c>
      <x:c r="F132" s="76" t="inlineStr">
        <x:is>
          <x:t xml:space="preserve"/>
        </x:is>
      </x:c>
      <x:c r="G132" s="52" t="n">
        <x:v>0</x:v>
      </x:c>
      <x:c r="H132" s="76" t="inlineStr">
        <x:is>
          <x:t xml:space="preserve"/>
        </x:is>
      </x:c>
      <x:c r="I132" s="76" t="inlineStr">
        <x:is>
          <x:t xml:space="preserve"/>
        </x:is>
      </x:c>
      <x:c r="J132" s="76" t="inlineStr">
        <x:is>
          <x:t xml:space="preserve"/>
        </x:is>
      </x:c>
      <x:c r="K132" s="76" t="inlineStr">
        <x:is>
          <x:t xml:space="preserve">No</x:t>
        </x:is>
      </x:c>
      <x:c r="L132" s="76" t="inlineStr">
        <x:is>
          <x:t xml:space="preserve"/>
        </x:is>
      </x:c>
    </x:row>
    <x:row r="133">
      <x:c r="A133" s="31" t="inlineStr">
        <x:is>
          <x:t xml:space="preserve">TXN129</x:t>
        </x:is>
      </x:c>
      <x:c r="B133" s="80" t="inlineStr">
        <x:is>
          <x:t xml:space="preserve"/>
        </x:is>
      </x:c>
      <x:c r="C133" s="81" t="str">
        <x:f>IF(B133="","",MAX(1,MIN(24,INT((B133-Assumptions!$B$7)/7)+1)))</x:f>
      </x:c>
      <x:c r="D133" s="75" t="inlineStr">
        <x:is>
          <x:t xml:space="preserve"/>
        </x:is>
      </x:c>
      <x:c r="E133" s="75" t="inlineStr">
        <x:is>
          <x:t xml:space="preserve"/>
        </x:is>
      </x:c>
      <x:c r="F133" s="75" t="inlineStr">
        <x:is>
          <x:t xml:space="preserve"/>
        </x:is>
      </x:c>
      <x:c r="G133" s="52" t="n">
        <x:v>0</x:v>
      </x:c>
      <x:c r="H133" s="75" t="inlineStr">
        <x:is>
          <x:t xml:space="preserve"/>
        </x:is>
      </x:c>
      <x:c r="I133" s="75" t="inlineStr">
        <x:is>
          <x:t xml:space="preserve"/>
        </x:is>
      </x:c>
      <x:c r="J133" s="75" t="inlineStr">
        <x:is>
          <x:t xml:space="preserve"/>
        </x:is>
      </x:c>
      <x:c r="K133" s="75" t="inlineStr">
        <x:is>
          <x:t xml:space="preserve">No</x:t>
        </x:is>
      </x:c>
      <x:c r="L133" s="75" t="inlineStr">
        <x:is>
          <x:t xml:space="preserve"/>
        </x:is>
      </x:c>
    </x:row>
    <x:row r="134">
      <x:c r="A134" s="30" t="inlineStr">
        <x:is>
          <x:t xml:space="preserve">TXN130</x:t>
        </x:is>
      </x:c>
      <x:c r="B134" s="82" t="inlineStr">
        <x:is>
          <x:t xml:space="preserve"/>
        </x:is>
      </x:c>
      <x:c r="C134" s="83" t="str">
        <x:f>IF(B134="","",MAX(1,MIN(24,INT((B134-Assumptions!$B$7)/7)+1)))</x:f>
      </x:c>
      <x:c r="D134" s="76" t="inlineStr">
        <x:is>
          <x:t xml:space="preserve"/>
        </x:is>
      </x:c>
      <x:c r="E134" s="76" t="inlineStr">
        <x:is>
          <x:t xml:space="preserve"/>
        </x:is>
      </x:c>
      <x:c r="F134" s="76" t="inlineStr">
        <x:is>
          <x:t xml:space="preserve"/>
        </x:is>
      </x:c>
      <x:c r="G134" s="52" t="n">
        <x:v>0</x:v>
      </x:c>
      <x:c r="H134" s="76" t="inlineStr">
        <x:is>
          <x:t xml:space="preserve"/>
        </x:is>
      </x:c>
      <x:c r="I134" s="76" t="inlineStr">
        <x:is>
          <x:t xml:space="preserve"/>
        </x:is>
      </x:c>
      <x:c r="J134" s="76" t="inlineStr">
        <x:is>
          <x:t xml:space="preserve"/>
        </x:is>
      </x:c>
      <x:c r="K134" s="76" t="inlineStr">
        <x:is>
          <x:t xml:space="preserve">No</x:t>
        </x:is>
      </x:c>
      <x:c r="L134" s="76" t="inlineStr">
        <x:is>
          <x:t xml:space="preserve"/>
        </x:is>
      </x:c>
    </x:row>
    <x:row r="135">
      <x:c r="A135" s="31" t="inlineStr">
        <x:is>
          <x:t xml:space="preserve">TXN131</x:t>
        </x:is>
      </x:c>
      <x:c r="B135" s="80" t="inlineStr">
        <x:is>
          <x:t xml:space="preserve"/>
        </x:is>
      </x:c>
      <x:c r="C135" s="81" t="str">
        <x:f>IF(B135="","",MAX(1,MIN(24,INT((B135-Assumptions!$B$7)/7)+1)))</x:f>
      </x:c>
      <x:c r="D135" s="75" t="inlineStr">
        <x:is>
          <x:t xml:space="preserve"/>
        </x:is>
      </x:c>
      <x:c r="E135" s="75" t="inlineStr">
        <x:is>
          <x:t xml:space="preserve"/>
        </x:is>
      </x:c>
      <x:c r="F135" s="75" t="inlineStr">
        <x:is>
          <x:t xml:space="preserve"/>
        </x:is>
      </x:c>
      <x:c r="G135" s="52" t="n">
        <x:v>0</x:v>
      </x:c>
      <x:c r="H135" s="75" t="inlineStr">
        <x:is>
          <x:t xml:space="preserve"/>
        </x:is>
      </x:c>
      <x:c r="I135" s="75" t="inlineStr">
        <x:is>
          <x:t xml:space="preserve"/>
        </x:is>
      </x:c>
      <x:c r="J135" s="75" t="inlineStr">
        <x:is>
          <x:t xml:space="preserve"/>
        </x:is>
      </x:c>
      <x:c r="K135" s="75" t="inlineStr">
        <x:is>
          <x:t xml:space="preserve">No</x:t>
        </x:is>
      </x:c>
      <x:c r="L135" s="75" t="inlineStr">
        <x:is>
          <x:t xml:space="preserve"/>
        </x:is>
      </x:c>
    </x:row>
    <x:row r="136">
      <x:c r="A136" s="30" t="inlineStr">
        <x:is>
          <x:t xml:space="preserve">TXN132</x:t>
        </x:is>
      </x:c>
      <x:c r="B136" s="82" t="inlineStr">
        <x:is>
          <x:t xml:space="preserve"/>
        </x:is>
      </x:c>
      <x:c r="C136" s="83" t="str">
        <x:f>IF(B136="","",MAX(1,MIN(24,INT((B136-Assumptions!$B$7)/7)+1)))</x:f>
      </x:c>
      <x:c r="D136" s="76" t="inlineStr">
        <x:is>
          <x:t xml:space="preserve"/>
        </x:is>
      </x:c>
      <x:c r="E136" s="76" t="inlineStr">
        <x:is>
          <x:t xml:space="preserve"/>
        </x:is>
      </x:c>
      <x:c r="F136" s="76" t="inlineStr">
        <x:is>
          <x:t xml:space="preserve"/>
        </x:is>
      </x:c>
      <x:c r="G136" s="52" t="n">
        <x:v>0</x:v>
      </x:c>
      <x:c r="H136" s="76" t="inlineStr">
        <x:is>
          <x:t xml:space="preserve"/>
        </x:is>
      </x:c>
      <x:c r="I136" s="76" t="inlineStr">
        <x:is>
          <x:t xml:space="preserve"/>
        </x:is>
      </x:c>
      <x:c r="J136" s="76" t="inlineStr">
        <x:is>
          <x:t xml:space="preserve"/>
        </x:is>
      </x:c>
      <x:c r="K136" s="76" t="inlineStr">
        <x:is>
          <x:t xml:space="preserve">No</x:t>
        </x:is>
      </x:c>
      <x:c r="L136" s="76" t="inlineStr">
        <x:is>
          <x:t xml:space="preserve"/>
        </x:is>
      </x:c>
    </x:row>
    <x:row r="137">
      <x:c r="A137" s="31" t="inlineStr">
        <x:is>
          <x:t xml:space="preserve">TXN133</x:t>
        </x:is>
      </x:c>
      <x:c r="B137" s="80" t="inlineStr">
        <x:is>
          <x:t xml:space="preserve"/>
        </x:is>
      </x:c>
      <x:c r="C137" s="81" t="str">
        <x:f>IF(B137="","",MAX(1,MIN(24,INT((B137-Assumptions!$B$7)/7)+1)))</x:f>
      </x:c>
      <x:c r="D137" s="75" t="inlineStr">
        <x:is>
          <x:t xml:space="preserve"/>
        </x:is>
      </x:c>
      <x:c r="E137" s="75" t="inlineStr">
        <x:is>
          <x:t xml:space="preserve"/>
        </x:is>
      </x:c>
      <x:c r="F137" s="75" t="inlineStr">
        <x:is>
          <x:t xml:space="preserve"/>
        </x:is>
      </x:c>
      <x:c r="G137" s="52" t="n">
        <x:v>0</x:v>
      </x:c>
      <x:c r="H137" s="75" t="inlineStr">
        <x:is>
          <x:t xml:space="preserve"/>
        </x:is>
      </x:c>
      <x:c r="I137" s="75" t="inlineStr">
        <x:is>
          <x:t xml:space="preserve"/>
        </x:is>
      </x:c>
      <x:c r="J137" s="75" t="inlineStr">
        <x:is>
          <x:t xml:space="preserve"/>
        </x:is>
      </x:c>
      <x:c r="K137" s="75" t="inlineStr">
        <x:is>
          <x:t xml:space="preserve">No</x:t>
        </x:is>
      </x:c>
      <x:c r="L137" s="75" t="inlineStr">
        <x:is>
          <x:t xml:space="preserve"/>
        </x:is>
      </x:c>
    </x:row>
    <x:row r="138">
      <x:c r="A138" s="30" t="inlineStr">
        <x:is>
          <x:t xml:space="preserve">TXN134</x:t>
        </x:is>
      </x:c>
      <x:c r="B138" s="82" t="inlineStr">
        <x:is>
          <x:t xml:space="preserve"/>
        </x:is>
      </x:c>
      <x:c r="C138" s="83" t="str">
        <x:f>IF(B138="","",MAX(1,MIN(24,INT((B138-Assumptions!$B$7)/7)+1)))</x:f>
      </x:c>
      <x:c r="D138" s="76" t="inlineStr">
        <x:is>
          <x:t xml:space="preserve"/>
        </x:is>
      </x:c>
      <x:c r="E138" s="76" t="inlineStr">
        <x:is>
          <x:t xml:space="preserve"/>
        </x:is>
      </x:c>
      <x:c r="F138" s="76" t="inlineStr">
        <x:is>
          <x:t xml:space="preserve"/>
        </x:is>
      </x:c>
      <x:c r="G138" s="52" t="n">
        <x:v>0</x:v>
      </x:c>
      <x:c r="H138" s="76" t="inlineStr">
        <x:is>
          <x:t xml:space="preserve"/>
        </x:is>
      </x:c>
      <x:c r="I138" s="76" t="inlineStr">
        <x:is>
          <x:t xml:space="preserve"/>
        </x:is>
      </x:c>
      <x:c r="J138" s="76" t="inlineStr">
        <x:is>
          <x:t xml:space="preserve"/>
        </x:is>
      </x:c>
      <x:c r="K138" s="76" t="inlineStr">
        <x:is>
          <x:t xml:space="preserve">No</x:t>
        </x:is>
      </x:c>
      <x:c r="L138" s="76" t="inlineStr">
        <x:is>
          <x:t xml:space="preserve"/>
        </x:is>
      </x:c>
    </x:row>
    <x:row r="139">
      <x:c r="A139" s="31" t="inlineStr">
        <x:is>
          <x:t xml:space="preserve">TXN135</x:t>
        </x:is>
      </x:c>
      <x:c r="B139" s="80" t="inlineStr">
        <x:is>
          <x:t xml:space="preserve"/>
        </x:is>
      </x:c>
      <x:c r="C139" s="81" t="str">
        <x:f>IF(B139="","",MAX(1,MIN(24,INT((B139-Assumptions!$B$7)/7)+1)))</x:f>
      </x:c>
      <x:c r="D139" s="75" t="inlineStr">
        <x:is>
          <x:t xml:space="preserve"/>
        </x:is>
      </x:c>
      <x:c r="E139" s="75" t="inlineStr">
        <x:is>
          <x:t xml:space="preserve"/>
        </x:is>
      </x:c>
      <x:c r="F139" s="75" t="inlineStr">
        <x:is>
          <x:t xml:space="preserve"/>
        </x:is>
      </x:c>
      <x:c r="G139" s="52" t="n">
        <x:v>0</x:v>
      </x:c>
      <x:c r="H139" s="75" t="inlineStr">
        <x:is>
          <x:t xml:space="preserve"/>
        </x:is>
      </x:c>
      <x:c r="I139" s="75" t="inlineStr">
        <x:is>
          <x:t xml:space="preserve"/>
        </x:is>
      </x:c>
      <x:c r="J139" s="75" t="inlineStr">
        <x:is>
          <x:t xml:space="preserve"/>
        </x:is>
      </x:c>
      <x:c r="K139" s="75" t="inlineStr">
        <x:is>
          <x:t xml:space="preserve">No</x:t>
        </x:is>
      </x:c>
      <x:c r="L139" s="75" t="inlineStr">
        <x:is>
          <x:t xml:space="preserve"/>
        </x:is>
      </x:c>
    </x:row>
    <x:row r="140">
      <x:c r="A140" s="30" t="inlineStr">
        <x:is>
          <x:t xml:space="preserve">TXN136</x:t>
        </x:is>
      </x:c>
      <x:c r="B140" s="82" t="inlineStr">
        <x:is>
          <x:t xml:space="preserve"/>
        </x:is>
      </x:c>
      <x:c r="C140" s="83" t="str">
        <x:f>IF(B140="","",MAX(1,MIN(24,INT((B140-Assumptions!$B$7)/7)+1)))</x:f>
      </x:c>
      <x:c r="D140" s="76" t="inlineStr">
        <x:is>
          <x:t xml:space="preserve"/>
        </x:is>
      </x:c>
      <x:c r="E140" s="76" t="inlineStr">
        <x:is>
          <x:t xml:space="preserve"/>
        </x:is>
      </x:c>
      <x:c r="F140" s="76" t="inlineStr">
        <x:is>
          <x:t xml:space="preserve"/>
        </x:is>
      </x:c>
      <x:c r="G140" s="52" t="n">
        <x:v>0</x:v>
      </x:c>
      <x:c r="H140" s="76" t="inlineStr">
        <x:is>
          <x:t xml:space="preserve"/>
        </x:is>
      </x:c>
      <x:c r="I140" s="76" t="inlineStr">
        <x:is>
          <x:t xml:space="preserve"/>
        </x:is>
      </x:c>
      <x:c r="J140" s="76" t="inlineStr">
        <x:is>
          <x:t xml:space="preserve"/>
        </x:is>
      </x:c>
      <x:c r="K140" s="76" t="inlineStr">
        <x:is>
          <x:t xml:space="preserve">No</x:t>
        </x:is>
      </x:c>
      <x:c r="L140" s="76" t="inlineStr">
        <x:is>
          <x:t xml:space="preserve"/>
        </x:is>
      </x:c>
    </x:row>
    <x:row r="141">
      <x:c r="A141" s="31" t="inlineStr">
        <x:is>
          <x:t xml:space="preserve">TXN137</x:t>
        </x:is>
      </x:c>
      <x:c r="B141" s="80" t="inlineStr">
        <x:is>
          <x:t xml:space="preserve"/>
        </x:is>
      </x:c>
      <x:c r="C141" s="81" t="str">
        <x:f>IF(B141="","",MAX(1,MIN(24,INT((B141-Assumptions!$B$7)/7)+1)))</x:f>
      </x:c>
      <x:c r="D141" s="75" t="inlineStr">
        <x:is>
          <x:t xml:space="preserve"/>
        </x:is>
      </x:c>
      <x:c r="E141" s="75" t="inlineStr">
        <x:is>
          <x:t xml:space="preserve"/>
        </x:is>
      </x:c>
      <x:c r="F141" s="75" t="inlineStr">
        <x:is>
          <x:t xml:space="preserve"/>
        </x:is>
      </x:c>
      <x:c r="G141" s="52" t="n">
        <x:v>0</x:v>
      </x:c>
      <x:c r="H141" s="75" t="inlineStr">
        <x:is>
          <x:t xml:space="preserve"/>
        </x:is>
      </x:c>
      <x:c r="I141" s="75" t="inlineStr">
        <x:is>
          <x:t xml:space="preserve"/>
        </x:is>
      </x:c>
      <x:c r="J141" s="75" t="inlineStr">
        <x:is>
          <x:t xml:space="preserve"/>
        </x:is>
      </x:c>
      <x:c r="K141" s="75" t="inlineStr">
        <x:is>
          <x:t xml:space="preserve">No</x:t>
        </x:is>
      </x:c>
      <x:c r="L141" s="75" t="inlineStr">
        <x:is>
          <x:t xml:space="preserve"/>
        </x:is>
      </x:c>
    </x:row>
    <x:row r="142">
      <x:c r="A142" s="30" t="inlineStr">
        <x:is>
          <x:t xml:space="preserve">TXN138</x:t>
        </x:is>
      </x:c>
      <x:c r="B142" s="82" t="inlineStr">
        <x:is>
          <x:t xml:space="preserve"/>
        </x:is>
      </x:c>
      <x:c r="C142" s="83" t="str">
        <x:f>IF(B142="","",MAX(1,MIN(24,INT((B142-Assumptions!$B$7)/7)+1)))</x:f>
      </x:c>
      <x:c r="D142" s="76" t="inlineStr">
        <x:is>
          <x:t xml:space="preserve"/>
        </x:is>
      </x:c>
      <x:c r="E142" s="76" t="inlineStr">
        <x:is>
          <x:t xml:space="preserve"/>
        </x:is>
      </x:c>
      <x:c r="F142" s="76" t="inlineStr">
        <x:is>
          <x:t xml:space="preserve"/>
        </x:is>
      </x:c>
      <x:c r="G142" s="52" t="n">
        <x:v>0</x:v>
      </x:c>
      <x:c r="H142" s="76" t="inlineStr">
        <x:is>
          <x:t xml:space="preserve"/>
        </x:is>
      </x:c>
      <x:c r="I142" s="76" t="inlineStr">
        <x:is>
          <x:t xml:space="preserve"/>
        </x:is>
      </x:c>
      <x:c r="J142" s="76" t="inlineStr">
        <x:is>
          <x:t xml:space="preserve"/>
        </x:is>
      </x:c>
      <x:c r="K142" s="76" t="inlineStr">
        <x:is>
          <x:t xml:space="preserve">No</x:t>
        </x:is>
      </x:c>
      <x:c r="L142" s="76" t="inlineStr">
        <x:is>
          <x:t xml:space="preserve"/>
        </x:is>
      </x:c>
    </x:row>
    <x:row r="143">
      <x:c r="A143" s="31" t="inlineStr">
        <x:is>
          <x:t xml:space="preserve">TXN139</x:t>
        </x:is>
      </x:c>
      <x:c r="B143" s="80" t="inlineStr">
        <x:is>
          <x:t xml:space="preserve"/>
        </x:is>
      </x:c>
      <x:c r="C143" s="81" t="str">
        <x:f>IF(B143="","",MAX(1,MIN(24,INT((B143-Assumptions!$B$7)/7)+1)))</x:f>
      </x:c>
      <x:c r="D143" s="75" t="inlineStr">
        <x:is>
          <x:t xml:space="preserve"/>
        </x:is>
      </x:c>
      <x:c r="E143" s="75" t="inlineStr">
        <x:is>
          <x:t xml:space="preserve"/>
        </x:is>
      </x:c>
      <x:c r="F143" s="75" t="inlineStr">
        <x:is>
          <x:t xml:space="preserve"/>
        </x:is>
      </x:c>
      <x:c r="G143" s="52" t="n">
        <x:v>0</x:v>
      </x:c>
      <x:c r="H143" s="75" t="inlineStr">
        <x:is>
          <x:t xml:space="preserve"/>
        </x:is>
      </x:c>
      <x:c r="I143" s="75" t="inlineStr">
        <x:is>
          <x:t xml:space="preserve"/>
        </x:is>
      </x:c>
      <x:c r="J143" s="75" t="inlineStr">
        <x:is>
          <x:t xml:space="preserve"/>
        </x:is>
      </x:c>
      <x:c r="K143" s="75" t="inlineStr">
        <x:is>
          <x:t xml:space="preserve">No</x:t>
        </x:is>
      </x:c>
      <x:c r="L143" s="75" t="inlineStr">
        <x:is>
          <x:t xml:space="preserve"/>
        </x:is>
      </x:c>
    </x:row>
    <x:row r="144">
      <x:c r="A144" s="30" t="inlineStr">
        <x:is>
          <x:t xml:space="preserve">TXN140</x:t>
        </x:is>
      </x:c>
      <x:c r="B144" s="82" t="inlineStr">
        <x:is>
          <x:t xml:space="preserve"/>
        </x:is>
      </x:c>
      <x:c r="C144" s="83" t="str">
        <x:f>IF(B144="","",MAX(1,MIN(24,INT((B144-Assumptions!$B$7)/7)+1)))</x:f>
      </x:c>
      <x:c r="D144" s="76" t="inlineStr">
        <x:is>
          <x:t xml:space="preserve"/>
        </x:is>
      </x:c>
      <x:c r="E144" s="76" t="inlineStr">
        <x:is>
          <x:t xml:space="preserve"/>
        </x:is>
      </x:c>
      <x:c r="F144" s="76" t="inlineStr">
        <x:is>
          <x:t xml:space="preserve"/>
        </x:is>
      </x:c>
      <x:c r="G144" s="52" t="n">
        <x:v>0</x:v>
      </x:c>
      <x:c r="H144" s="76" t="inlineStr">
        <x:is>
          <x:t xml:space="preserve"/>
        </x:is>
      </x:c>
      <x:c r="I144" s="76" t="inlineStr">
        <x:is>
          <x:t xml:space="preserve"/>
        </x:is>
      </x:c>
      <x:c r="J144" s="76" t="inlineStr">
        <x:is>
          <x:t xml:space="preserve"/>
        </x:is>
      </x:c>
      <x:c r="K144" s="76" t="inlineStr">
        <x:is>
          <x:t xml:space="preserve">No</x:t>
        </x:is>
      </x:c>
      <x:c r="L144" s="76" t="inlineStr">
        <x:is>
          <x:t xml:space="preserve"/>
        </x:is>
      </x:c>
    </x:row>
    <x:row r="145">
      <x:c r="A145" s="31" t="inlineStr">
        <x:is>
          <x:t xml:space="preserve">TXN141</x:t>
        </x:is>
      </x:c>
      <x:c r="B145" s="80" t="inlineStr">
        <x:is>
          <x:t xml:space="preserve"/>
        </x:is>
      </x:c>
      <x:c r="C145" s="81" t="str">
        <x:f>IF(B145="","",MAX(1,MIN(24,INT((B145-Assumptions!$B$7)/7)+1)))</x:f>
      </x:c>
      <x:c r="D145" s="75" t="inlineStr">
        <x:is>
          <x:t xml:space="preserve"/>
        </x:is>
      </x:c>
      <x:c r="E145" s="75" t="inlineStr">
        <x:is>
          <x:t xml:space="preserve"/>
        </x:is>
      </x:c>
      <x:c r="F145" s="75" t="inlineStr">
        <x:is>
          <x:t xml:space="preserve"/>
        </x:is>
      </x:c>
      <x:c r="G145" s="52" t="n">
        <x:v>0</x:v>
      </x:c>
      <x:c r="H145" s="75" t="inlineStr">
        <x:is>
          <x:t xml:space="preserve"/>
        </x:is>
      </x:c>
      <x:c r="I145" s="75" t="inlineStr">
        <x:is>
          <x:t xml:space="preserve"/>
        </x:is>
      </x:c>
      <x:c r="J145" s="75" t="inlineStr">
        <x:is>
          <x:t xml:space="preserve"/>
        </x:is>
      </x:c>
      <x:c r="K145" s="75" t="inlineStr">
        <x:is>
          <x:t xml:space="preserve">No</x:t>
        </x:is>
      </x:c>
      <x:c r="L145" s="75" t="inlineStr">
        <x:is>
          <x:t xml:space="preserve"/>
        </x:is>
      </x:c>
    </x:row>
    <x:row r="146">
      <x:c r="A146" s="30" t="inlineStr">
        <x:is>
          <x:t xml:space="preserve">TXN142</x:t>
        </x:is>
      </x:c>
      <x:c r="B146" s="82" t="inlineStr">
        <x:is>
          <x:t xml:space="preserve"/>
        </x:is>
      </x:c>
      <x:c r="C146" s="83" t="str">
        <x:f>IF(B146="","",MAX(1,MIN(24,INT((B146-Assumptions!$B$7)/7)+1)))</x:f>
      </x:c>
      <x:c r="D146" s="76" t="inlineStr">
        <x:is>
          <x:t xml:space="preserve"/>
        </x:is>
      </x:c>
      <x:c r="E146" s="76" t="inlineStr">
        <x:is>
          <x:t xml:space="preserve"/>
        </x:is>
      </x:c>
      <x:c r="F146" s="76" t="inlineStr">
        <x:is>
          <x:t xml:space="preserve"/>
        </x:is>
      </x:c>
      <x:c r="G146" s="52" t="n">
        <x:v>0</x:v>
      </x:c>
      <x:c r="H146" s="76" t="inlineStr">
        <x:is>
          <x:t xml:space="preserve"/>
        </x:is>
      </x:c>
      <x:c r="I146" s="76" t="inlineStr">
        <x:is>
          <x:t xml:space="preserve"/>
        </x:is>
      </x:c>
      <x:c r="J146" s="76" t="inlineStr">
        <x:is>
          <x:t xml:space="preserve"/>
        </x:is>
      </x:c>
      <x:c r="K146" s="76" t="inlineStr">
        <x:is>
          <x:t xml:space="preserve">No</x:t>
        </x:is>
      </x:c>
      <x:c r="L146" s="76" t="inlineStr">
        <x:is>
          <x:t xml:space="preserve"/>
        </x:is>
      </x:c>
    </x:row>
    <x:row r="147">
      <x:c r="A147" s="31" t="inlineStr">
        <x:is>
          <x:t xml:space="preserve">TXN143</x:t>
        </x:is>
      </x:c>
      <x:c r="B147" s="80" t="inlineStr">
        <x:is>
          <x:t xml:space="preserve"/>
        </x:is>
      </x:c>
      <x:c r="C147" s="81" t="str">
        <x:f>IF(B147="","",MAX(1,MIN(24,INT((B147-Assumptions!$B$7)/7)+1)))</x:f>
      </x:c>
      <x:c r="D147" s="75" t="inlineStr">
        <x:is>
          <x:t xml:space="preserve"/>
        </x:is>
      </x:c>
      <x:c r="E147" s="75" t="inlineStr">
        <x:is>
          <x:t xml:space="preserve"/>
        </x:is>
      </x:c>
      <x:c r="F147" s="75" t="inlineStr">
        <x:is>
          <x:t xml:space="preserve"/>
        </x:is>
      </x:c>
      <x:c r="G147" s="52" t="n">
        <x:v>0</x:v>
      </x:c>
      <x:c r="H147" s="75" t="inlineStr">
        <x:is>
          <x:t xml:space="preserve"/>
        </x:is>
      </x:c>
      <x:c r="I147" s="75" t="inlineStr">
        <x:is>
          <x:t xml:space="preserve"/>
        </x:is>
      </x:c>
      <x:c r="J147" s="75" t="inlineStr">
        <x:is>
          <x:t xml:space="preserve"/>
        </x:is>
      </x:c>
      <x:c r="K147" s="75" t="inlineStr">
        <x:is>
          <x:t xml:space="preserve">No</x:t>
        </x:is>
      </x:c>
      <x:c r="L147" s="75" t="inlineStr">
        <x:is>
          <x:t xml:space="preserve"/>
        </x:is>
      </x:c>
    </x:row>
    <x:row r="148">
      <x:c r="A148" s="30" t="inlineStr">
        <x:is>
          <x:t xml:space="preserve">TXN144</x:t>
        </x:is>
      </x:c>
      <x:c r="B148" s="82" t="inlineStr">
        <x:is>
          <x:t xml:space="preserve"/>
        </x:is>
      </x:c>
      <x:c r="C148" s="83" t="str">
        <x:f>IF(B148="","",MAX(1,MIN(24,INT((B148-Assumptions!$B$7)/7)+1)))</x:f>
      </x:c>
      <x:c r="D148" s="76" t="inlineStr">
        <x:is>
          <x:t xml:space="preserve"/>
        </x:is>
      </x:c>
      <x:c r="E148" s="76" t="inlineStr">
        <x:is>
          <x:t xml:space="preserve"/>
        </x:is>
      </x:c>
      <x:c r="F148" s="76" t="inlineStr">
        <x:is>
          <x:t xml:space="preserve"/>
        </x:is>
      </x:c>
      <x:c r="G148" s="52" t="n">
        <x:v>0</x:v>
      </x:c>
      <x:c r="H148" s="76" t="inlineStr">
        <x:is>
          <x:t xml:space="preserve"/>
        </x:is>
      </x:c>
      <x:c r="I148" s="76" t="inlineStr">
        <x:is>
          <x:t xml:space="preserve"/>
        </x:is>
      </x:c>
      <x:c r="J148" s="76" t="inlineStr">
        <x:is>
          <x:t xml:space="preserve"/>
        </x:is>
      </x:c>
      <x:c r="K148" s="76" t="inlineStr">
        <x:is>
          <x:t xml:space="preserve">No</x:t>
        </x:is>
      </x:c>
      <x:c r="L148" s="76" t="inlineStr">
        <x:is>
          <x:t xml:space="preserve"/>
        </x:is>
      </x:c>
    </x:row>
    <x:row r="149">
      <x:c r="A149" s="31" t="inlineStr">
        <x:is>
          <x:t xml:space="preserve">TXN145</x:t>
        </x:is>
      </x:c>
      <x:c r="B149" s="80" t="inlineStr">
        <x:is>
          <x:t xml:space="preserve"/>
        </x:is>
      </x:c>
      <x:c r="C149" s="81" t="str">
        <x:f>IF(B149="","",MAX(1,MIN(24,INT((B149-Assumptions!$B$7)/7)+1)))</x:f>
      </x:c>
      <x:c r="D149" s="75" t="inlineStr">
        <x:is>
          <x:t xml:space="preserve"/>
        </x:is>
      </x:c>
      <x:c r="E149" s="75" t="inlineStr">
        <x:is>
          <x:t xml:space="preserve"/>
        </x:is>
      </x:c>
      <x:c r="F149" s="75" t="inlineStr">
        <x:is>
          <x:t xml:space="preserve"/>
        </x:is>
      </x:c>
      <x:c r="G149" s="52" t="n">
        <x:v>0</x:v>
      </x:c>
      <x:c r="H149" s="75" t="inlineStr">
        <x:is>
          <x:t xml:space="preserve"/>
        </x:is>
      </x:c>
      <x:c r="I149" s="75" t="inlineStr">
        <x:is>
          <x:t xml:space="preserve"/>
        </x:is>
      </x:c>
      <x:c r="J149" s="75" t="inlineStr">
        <x:is>
          <x:t xml:space="preserve"/>
        </x:is>
      </x:c>
      <x:c r="K149" s="75" t="inlineStr">
        <x:is>
          <x:t xml:space="preserve">No</x:t>
        </x:is>
      </x:c>
      <x:c r="L149" s="75" t="inlineStr">
        <x:is>
          <x:t xml:space="preserve"/>
        </x:is>
      </x:c>
    </x:row>
    <x:row r="150">
      <x:c r="A150" s="30" t="inlineStr">
        <x:is>
          <x:t xml:space="preserve">TXN146</x:t>
        </x:is>
      </x:c>
      <x:c r="B150" s="82" t="inlineStr">
        <x:is>
          <x:t xml:space="preserve"/>
        </x:is>
      </x:c>
      <x:c r="C150" s="83" t="str">
        <x:f>IF(B150="","",MAX(1,MIN(24,INT((B150-Assumptions!$B$7)/7)+1)))</x:f>
      </x:c>
      <x:c r="D150" s="76" t="inlineStr">
        <x:is>
          <x:t xml:space="preserve"/>
        </x:is>
      </x:c>
      <x:c r="E150" s="76" t="inlineStr">
        <x:is>
          <x:t xml:space="preserve"/>
        </x:is>
      </x:c>
      <x:c r="F150" s="76" t="inlineStr">
        <x:is>
          <x:t xml:space="preserve"/>
        </x:is>
      </x:c>
      <x:c r="G150" s="52" t="n">
        <x:v>0</x:v>
      </x:c>
      <x:c r="H150" s="76" t="inlineStr">
        <x:is>
          <x:t xml:space="preserve"/>
        </x:is>
      </x:c>
      <x:c r="I150" s="76" t="inlineStr">
        <x:is>
          <x:t xml:space="preserve"/>
        </x:is>
      </x:c>
      <x:c r="J150" s="76" t="inlineStr">
        <x:is>
          <x:t xml:space="preserve"/>
        </x:is>
      </x:c>
      <x:c r="K150" s="76" t="inlineStr">
        <x:is>
          <x:t xml:space="preserve">No</x:t>
        </x:is>
      </x:c>
      <x:c r="L150" s="76" t="inlineStr">
        <x:is>
          <x:t xml:space="preserve"/>
        </x:is>
      </x:c>
    </x:row>
    <x:row r="151">
      <x:c r="A151" s="31" t="inlineStr">
        <x:is>
          <x:t xml:space="preserve">TXN147</x:t>
        </x:is>
      </x:c>
      <x:c r="B151" s="80" t="inlineStr">
        <x:is>
          <x:t xml:space="preserve"/>
        </x:is>
      </x:c>
      <x:c r="C151" s="81" t="str">
        <x:f>IF(B151="","",MAX(1,MIN(24,INT((B151-Assumptions!$B$7)/7)+1)))</x:f>
      </x:c>
      <x:c r="D151" s="75" t="inlineStr">
        <x:is>
          <x:t xml:space="preserve"/>
        </x:is>
      </x:c>
      <x:c r="E151" s="75" t="inlineStr">
        <x:is>
          <x:t xml:space="preserve"/>
        </x:is>
      </x:c>
      <x:c r="F151" s="75" t="inlineStr">
        <x:is>
          <x:t xml:space="preserve"/>
        </x:is>
      </x:c>
      <x:c r="G151" s="52" t="n">
        <x:v>0</x:v>
      </x:c>
      <x:c r="H151" s="75" t="inlineStr">
        <x:is>
          <x:t xml:space="preserve"/>
        </x:is>
      </x:c>
      <x:c r="I151" s="75" t="inlineStr">
        <x:is>
          <x:t xml:space="preserve"/>
        </x:is>
      </x:c>
      <x:c r="J151" s="75" t="inlineStr">
        <x:is>
          <x:t xml:space="preserve"/>
        </x:is>
      </x:c>
      <x:c r="K151" s="75" t="inlineStr">
        <x:is>
          <x:t xml:space="preserve">No</x:t>
        </x:is>
      </x:c>
      <x:c r="L151" s="75" t="inlineStr">
        <x:is>
          <x:t xml:space="preserve"/>
        </x:is>
      </x:c>
    </x:row>
    <x:row r="152">
      <x:c r="A152" s="30" t="inlineStr">
        <x:is>
          <x:t xml:space="preserve">TXN148</x:t>
        </x:is>
      </x:c>
      <x:c r="B152" s="82" t="inlineStr">
        <x:is>
          <x:t xml:space="preserve"/>
        </x:is>
      </x:c>
      <x:c r="C152" s="83" t="str">
        <x:f>IF(B152="","",MAX(1,MIN(24,INT((B152-Assumptions!$B$7)/7)+1)))</x:f>
      </x:c>
      <x:c r="D152" s="76" t="inlineStr">
        <x:is>
          <x:t xml:space="preserve"/>
        </x:is>
      </x:c>
      <x:c r="E152" s="76" t="inlineStr">
        <x:is>
          <x:t xml:space="preserve"/>
        </x:is>
      </x:c>
      <x:c r="F152" s="76" t="inlineStr">
        <x:is>
          <x:t xml:space="preserve"/>
        </x:is>
      </x:c>
      <x:c r="G152" s="52" t="n">
        <x:v>0</x:v>
      </x:c>
      <x:c r="H152" s="76" t="inlineStr">
        <x:is>
          <x:t xml:space="preserve"/>
        </x:is>
      </x:c>
      <x:c r="I152" s="76" t="inlineStr">
        <x:is>
          <x:t xml:space="preserve"/>
        </x:is>
      </x:c>
      <x:c r="J152" s="76" t="inlineStr">
        <x:is>
          <x:t xml:space="preserve"/>
        </x:is>
      </x:c>
      <x:c r="K152" s="76" t="inlineStr">
        <x:is>
          <x:t xml:space="preserve">No</x:t>
        </x:is>
      </x:c>
      <x:c r="L152" s="76" t="inlineStr">
        <x:is>
          <x:t xml:space="preserve"/>
        </x:is>
      </x:c>
    </x:row>
    <x:row r="153">
      <x:c r="A153" s="31" t="inlineStr">
        <x:is>
          <x:t xml:space="preserve">TXN149</x:t>
        </x:is>
      </x:c>
      <x:c r="B153" s="80" t="inlineStr">
        <x:is>
          <x:t xml:space="preserve"/>
        </x:is>
      </x:c>
      <x:c r="C153" s="81" t="str">
        <x:f>IF(B153="","",MAX(1,MIN(24,INT((B153-Assumptions!$B$7)/7)+1)))</x:f>
      </x:c>
      <x:c r="D153" s="75" t="inlineStr">
        <x:is>
          <x:t xml:space="preserve"/>
        </x:is>
      </x:c>
      <x:c r="E153" s="75" t="inlineStr">
        <x:is>
          <x:t xml:space="preserve"/>
        </x:is>
      </x:c>
      <x:c r="F153" s="75" t="inlineStr">
        <x:is>
          <x:t xml:space="preserve"/>
        </x:is>
      </x:c>
      <x:c r="G153" s="52" t="n">
        <x:v>0</x:v>
      </x:c>
      <x:c r="H153" s="75" t="inlineStr">
        <x:is>
          <x:t xml:space="preserve"/>
        </x:is>
      </x:c>
      <x:c r="I153" s="75" t="inlineStr">
        <x:is>
          <x:t xml:space="preserve"/>
        </x:is>
      </x:c>
      <x:c r="J153" s="75" t="inlineStr">
        <x:is>
          <x:t xml:space="preserve"/>
        </x:is>
      </x:c>
      <x:c r="K153" s="75" t="inlineStr">
        <x:is>
          <x:t xml:space="preserve">No</x:t>
        </x:is>
      </x:c>
      <x:c r="L153" s="75" t="inlineStr">
        <x:is>
          <x:t xml:space="preserve"/>
        </x:is>
      </x:c>
    </x:row>
    <x:row r="154">
      <x:c r="A154" s="30" t="inlineStr">
        <x:is>
          <x:t xml:space="preserve">TXN150</x:t>
        </x:is>
      </x:c>
      <x:c r="B154" s="82" t="inlineStr">
        <x:is>
          <x:t xml:space="preserve"/>
        </x:is>
      </x:c>
      <x:c r="C154" s="83" t="str">
        <x:f>IF(B154="","",MAX(1,MIN(24,INT((B154-Assumptions!$B$7)/7)+1)))</x:f>
      </x:c>
      <x:c r="D154" s="76" t="inlineStr">
        <x:is>
          <x:t xml:space="preserve"/>
        </x:is>
      </x:c>
      <x:c r="E154" s="76" t="inlineStr">
        <x:is>
          <x:t xml:space="preserve"/>
        </x:is>
      </x:c>
      <x:c r="F154" s="76" t="inlineStr">
        <x:is>
          <x:t xml:space="preserve"/>
        </x:is>
      </x:c>
      <x:c r="G154" s="52" t="n">
        <x:v>0</x:v>
      </x:c>
      <x:c r="H154" s="76" t="inlineStr">
        <x:is>
          <x:t xml:space="preserve"/>
        </x:is>
      </x:c>
      <x:c r="I154" s="76" t="inlineStr">
        <x:is>
          <x:t xml:space="preserve"/>
        </x:is>
      </x:c>
      <x:c r="J154" s="76" t="inlineStr">
        <x:is>
          <x:t xml:space="preserve"/>
        </x:is>
      </x:c>
      <x:c r="K154" s="76" t="inlineStr">
        <x:is>
          <x:t xml:space="preserve">No</x:t>
        </x:is>
      </x:c>
      <x:c r="L154" s="76" t="inlineStr">
        <x:is>
          <x:t xml:space="preserve"/>
        </x:is>
      </x:c>
    </x:row>
    <x:row r="155">
      <x:c r="A155" s="31" t="inlineStr">
        <x:is>
          <x:t xml:space="preserve">TXN151</x:t>
        </x:is>
      </x:c>
      <x:c r="B155" s="80" t="inlineStr">
        <x:is>
          <x:t xml:space="preserve"/>
        </x:is>
      </x:c>
      <x:c r="C155" s="81" t="str">
        <x:f>IF(B155="","",MAX(1,MIN(24,INT((B155-Assumptions!$B$7)/7)+1)))</x:f>
      </x:c>
      <x:c r="D155" s="75" t="inlineStr">
        <x:is>
          <x:t xml:space="preserve"/>
        </x:is>
      </x:c>
      <x:c r="E155" s="75" t="inlineStr">
        <x:is>
          <x:t xml:space="preserve"/>
        </x:is>
      </x:c>
      <x:c r="F155" s="75" t="inlineStr">
        <x:is>
          <x:t xml:space="preserve"/>
        </x:is>
      </x:c>
      <x:c r="G155" s="52" t="n">
        <x:v>0</x:v>
      </x:c>
      <x:c r="H155" s="75" t="inlineStr">
        <x:is>
          <x:t xml:space="preserve"/>
        </x:is>
      </x:c>
      <x:c r="I155" s="75" t="inlineStr">
        <x:is>
          <x:t xml:space="preserve"/>
        </x:is>
      </x:c>
      <x:c r="J155" s="75" t="inlineStr">
        <x:is>
          <x:t xml:space="preserve"/>
        </x:is>
      </x:c>
      <x:c r="K155" s="75" t="inlineStr">
        <x:is>
          <x:t xml:space="preserve">No</x:t>
        </x:is>
      </x:c>
      <x:c r="L155" s="75" t="inlineStr">
        <x:is>
          <x:t xml:space="preserve"/>
        </x:is>
      </x:c>
    </x:row>
    <x:row r="156">
      <x:c r="A156" s="30" t="inlineStr">
        <x:is>
          <x:t xml:space="preserve">TXN152</x:t>
        </x:is>
      </x:c>
      <x:c r="B156" s="82" t="inlineStr">
        <x:is>
          <x:t xml:space="preserve"/>
        </x:is>
      </x:c>
      <x:c r="C156" s="83" t="str">
        <x:f>IF(B156="","",MAX(1,MIN(24,INT((B156-Assumptions!$B$7)/7)+1)))</x:f>
      </x:c>
      <x:c r="D156" s="76" t="inlineStr">
        <x:is>
          <x:t xml:space="preserve"/>
        </x:is>
      </x:c>
      <x:c r="E156" s="76" t="inlineStr">
        <x:is>
          <x:t xml:space="preserve"/>
        </x:is>
      </x:c>
      <x:c r="F156" s="76" t="inlineStr">
        <x:is>
          <x:t xml:space="preserve"/>
        </x:is>
      </x:c>
      <x:c r="G156" s="52" t="n">
        <x:v>0</x:v>
      </x:c>
      <x:c r="H156" s="76" t="inlineStr">
        <x:is>
          <x:t xml:space="preserve"/>
        </x:is>
      </x:c>
      <x:c r="I156" s="76" t="inlineStr">
        <x:is>
          <x:t xml:space="preserve"/>
        </x:is>
      </x:c>
      <x:c r="J156" s="76" t="inlineStr">
        <x:is>
          <x:t xml:space="preserve"/>
        </x:is>
      </x:c>
      <x:c r="K156" s="76" t="inlineStr">
        <x:is>
          <x:t xml:space="preserve">No</x:t>
        </x:is>
      </x:c>
      <x:c r="L156" s="76" t="inlineStr">
        <x:is>
          <x:t xml:space="preserve"/>
        </x:is>
      </x:c>
    </x:row>
    <x:row r="157">
      <x:c r="A157" s="31" t="inlineStr">
        <x:is>
          <x:t xml:space="preserve">TXN153</x:t>
        </x:is>
      </x:c>
      <x:c r="B157" s="80" t="inlineStr">
        <x:is>
          <x:t xml:space="preserve"/>
        </x:is>
      </x:c>
      <x:c r="C157" s="81" t="str">
        <x:f>IF(B157="","",MAX(1,MIN(24,INT((B157-Assumptions!$B$7)/7)+1)))</x:f>
      </x:c>
      <x:c r="D157" s="75" t="inlineStr">
        <x:is>
          <x:t xml:space="preserve"/>
        </x:is>
      </x:c>
      <x:c r="E157" s="75" t="inlineStr">
        <x:is>
          <x:t xml:space="preserve"/>
        </x:is>
      </x:c>
      <x:c r="F157" s="75" t="inlineStr">
        <x:is>
          <x:t xml:space="preserve"/>
        </x:is>
      </x:c>
      <x:c r="G157" s="52" t="n">
        <x:v>0</x:v>
      </x:c>
      <x:c r="H157" s="75" t="inlineStr">
        <x:is>
          <x:t xml:space="preserve"/>
        </x:is>
      </x:c>
      <x:c r="I157" s="75" t="inlineStr">
        <x:is>
          <x:t xml:space="preserve"/>
        </x:is>
      </x:c>
      <x:c r="J157" s="75" t="inlineStr">
        <x:is>
          <x:t xml:space="preserve"/>
        </x:is>
      </x:c>
      <x:c r="K157" s="75" t="inlineStr">
        <x:is>
          <x:t xml:space="preserve">No</x:t>
        </x:is>
      </x:c>
      <x:c r="L157" s="75" t="inlineStr">
        <x:is>
          <x:t xml:space="preserve"/>
        </x:is>
      </x:c>
    </x:row>
    <x:row r="158">
      <x:c r="A158" s="30" t="inlineStr">
        <x:is>
          <x:t xml:space="preserve">TXN154</x:t>
        </x:is>
      </x:c>
      <x:c r="B158" s="82" t="inlineStr">
        <x:is>
          <x:t xml:space="preserve"/>
        </x:is>
      </x:c>
      <x:c r="C158" s="83" t="str">
        <x:f>IF(B158="","",MAX(1,MIN(24,INT((B158-Assumptions!$B$7)/7)+1)))</x:f>
      </x:c>
      <x:c r="D158" s="76" t="inlineStr">
        <x:is>
          <x:t xml:space="preserve"/>
        </x:is>
      </x:c>
      <x:c r="E158" s="76" t="inlineStr">
        <x:is>
          <x:t xml:space="preserve"/>
        </x:is>
      </x:c>
      <x:c r="F158" s="76" t="inlineStr">
        <x:is>
          <x:t xml:space="preserve"/>
        </x:is>
      </x:c>
      <x:c r="G158" s="52" t="n">
        <x:v>0</x:v>
      </x:c>
      <x:c r="H158" s="76" t="inlineStr">
        <x:is>
          <x:t xml:space="preserve"/>
        </x:is>
      </x:c>
      <x:c r="I158" s="76" t="inlineStr">
        <x:is>
          <x:t xml:space="preserve"/>
        </x:is>
      </x:c>
      <x:c r="J158" s="76" t="inlineStr">
        <x:is>
          <x:t xml:space="preserve"/>
        </x:is>
      </x:c>
      <x:c r="K158" s="76" t="inlineStr">
        <x:is>
          <x:t xml:space="preserve">No</x:t>
        </x:is>
      </x:c>
      <x:c r="L158" s="76" t="inlineStr">
        <x:is>
          <x:t xml:space="preserve"/>
        </x:is>
      </x:c>
    </x:row>
    <x:row r="159">
      <x:c r="A159" s="31" t="inlineStr">
        <x:is>
          <x:t xml:space="preserve">TXN155</x:t>
        </x:is>
      </x:c>
      <x:c r="B159" s="80" t="inlineStr">
        <x:is>
          <x:t xml:space="preserve"/>
        </x:is>
      </x:c>
      <x:c r="C159" s="81" t="str">
        <x:f>IF(B159="","",MAX(1,MIN(24,INT((B159-Assumptions!$B$7)/7)+1)))</x:f>
      </x:c>
      <x:c r="D159" s="75" t="inlineStr">
        <x:is>
          <x:t xml:space="preserve"/>
        </x:is>
      </x:c>
      <x:c r="E159" s="75" t="inlineStr">
        <x:is>
          <x:t xml:space="preserve"/>
        </x:is>
      </x:c>
      <x:c r="F159" s="75" t="inlineStr">
        <x:is>
          <x:t xml:space="preserve"/>
        </x:is>
      </x:c>
      <x:c r="G159" s="52" t="n">
        <x:v>0</x:v>
      </x:c>
      <x:c r="H159" s="75" t="inlineStr">
        <x:is>
          <x:t xml:space="preserve"/>
        </x:is>
      </x:c>
      <x:c r="I159" s="75" t="inlineStr">
        <x:is>
          <x:t xml:space="preserve"/>
        </x:is>
      </x:c>
      <x:c r="J159" s="75" t="inlineStr">
        <x:is>
          <x:t xml:space="preserve"/>
        </x:is>
      </x:c>
      <x:c r="K159" s="75" t="inlineStr">
        <x:is>
          <x:t xml:space="preserve">No</x:t>
        </x:is>
      </x:c>
      <x:c r="L159" s="75" t="inlineStr">
        <x:is>
          <x:t xml:space="preserve"/>
        </x:is>
      </x:c>
    </x:row>
    <x:row r="160">
      <x:c r="A160" s="30" t="inlineStr">
        <x:is>
          <x:t xml:space="preserve">TXN156</x:t>
        </x:is>
      </x:c>
      <x:c r="B160" s="82" t="inlineStr">
        <x:is>
          <x:t xml:space="preserve"/>
        </x:is>
      </x:c>
      <x:c r="C160" s="83" t="str">
        <x:f>IF(B160="","",MAX(1,MIN(24,INT((B160-Assumptions!$B$7)/7)+1)))</x:f>
      </x:c>
      <x:c r="D160" s="76" t="inlineStr">
        <x:is>
          <x:t xml:space="preserve"/>
        </x:is>
      </x:c>
      <x:c r="E160" s="76" t="inlineStr">
        <x:is>
          <x:t xml:space="preserve"/>
        </x:is>
      </x:c>
      <x:c r="F160" s="76" t="inlineStr">
        <x:is>
          <x:t xml:space="preserve"/>
        </x:is>
      </x:c>
      <x:c r="G160" s="52" t="n">
        <x:v>0</x:v>
      </x:c>
      <x:c r="H160" s="76" t="inlineStr">
        <x:is>
          <x:t xml:space="preserve"/>
        </x:is>
      </x:c>
      <x:c r="I160" s="76" t="inlineStr">
        <x:is>
          <x:t xml:space="preserve"/>
        </x:is>
      </x:c>
      <x:c r="J160" s="76" t="inlineStr">
        <x:is>
          <x:t xml:space="preserve"/>
        </x:is>
      </x:c>
      <x:c r="K160" s="76" t="inlineStr">
        <x:is>
          <x:t xml:space="preserve">No</x:t>
        </x:is>
      </x:c>
      <x:c r="L160" s="76" t="inlineStr">
        <x:is>
          <x:t xml:space="preserve"/>
        </x:is>
      </x:c>
    </x:row>
    <x:row r="161">
      <x:c r="A161" s="31" t="inlineStr">
        <x:is>
          <x:t xml:space="preserve">TXN157</x:t>
        </x:is>
      </x:c>
      <x:c r="B161" s="80" t="inlineStr">
        <x:is>
          <x:t xml:space="preserve"/>
        </x:is>
      </x:c>
      <x:c r="C161" s="81" t="str">
        <x:f>IF(B161="","",MAX(1,MIN(24,INT((B161-Assumptions!$B$7)/7)+1)))</x:f>
      </x:c>
      <x:c r="D161" s="75" t="inlineStr">
        <x:is>
          <x:t xml:space="preserve"/>
        </x:is>
      </x:c>
      <x:c r="E161" s="75" t="inlineStr">
        <x:is>
          <x:t xml:space="preserve"/>
        </x:is>
      </x:c>
      <x:c r="F161" s="75" t="inlineStr">
        <x:is>
          <x:t xml:space="preserve"/>
        </x:is>
      </x:c>
      <x:c r="G161" s="52" t="n">
        <x:v>0</x:v>
      </x:c>
      <x:c r="H161" s="75" t="inlineStr">
        <x:is>
          <x:t xml:space="preserve"/>
        </x:is>
      </x:c>
      <x:c r="I161" s="75" t="inlineStr">
        <x:is>
          <x:t xml:space="preserve"/>
        </x:is>
      </x:c>
      <x:c r="J161" s="75" t="inlineStr">
        <x:is>
          <x:t xml:space="preserve"/>
        </x:is>
      </x:c>
      <x:c r="K161" s="75" t="inlineStr">
        <x:is>
          <x:t xml:space="preserve">No</x:t>
        </x:is>
      </x:c>
      <x:c r="L161" s="75" t="inlineStr">
        <x:is>
          <x:t xml:space="preserve"/>
        </x:is>
      </x:c>
    </x:row>
    <x:row r="162">
      <x:c r="A162" s="30" t="inlineStr">
        <x:is>
          <x:t xml:space="preserve">TXN158</x:t>
        </x:is>
      </x:c>
      <x:c r="B162" s="82" t="inlineStr">
        <x:is>
          <x:t xml:space="preserve"/>
        </x:is>
      </x:c>
      <x:c r="C162" s="83" t="str">
        <x:f>IF(B162="","",MAX(1,MIN(24,INT((B162-Assumptions!$B$7)/7)+1)))</x:f>
      </x:c>
      <x:c r="D162" s="76" t="inlineStr">
        <x:is>
          <x:t xml:space="preserve"/>
        </x:is>
      </x:c>
      <x:c r="E162" s="76" t="inlineStr">
        <x:is>
          <x:t xml:space="preserve"/>
        </x:is>
      </x:c>
      <x:c r="F162" s="76" t="inlineStr">
        <x:is>
          <x:t xml:space="preserve"/>
        </x:is>
      </x:c>
      <x:c r="G162" s="52" t="n">
        <x:v>0</x:v>
      </x:c>
      <x:c r="H162" s="76" t="inlineStr">
        <x:is>
          <x:t xml:space="preserve"/>
        </x:is>
      </x:c>
      <x:c r="I162" s="76" t="inlineStr">
        <x:is>
          <x:t xml:space="preserve"/>
        </x:is>
      </x:c>
      <x:c r="J162" s="76" t="inlineStr">
        <x:is>
          <x:t xml:space="preserve"/>
        </x:is>
      </x:c>
      <x:c r="K162" s="76" t="inlineStr">
        <x:is>
          <x:t xml:space="preserve">No</x:t>
        </x:is>
      </x:c>
      <x:c r="L162" s="76" t="inlineStr">
        <x:is>
          <x:t xml:space="preserve"/>
        </x:is>
      </x:c>
    </x:row>
    <x:row r="163">
      <x:c r="A163" s="31" t="inlineStr">
        <x:is>
          <x:t xml:space="preserve">TXN159</x:t>
        </x:is>
      </x:c>
      <x:c r="B163" s="80" t="inlineStr">
        <x:is>
          <x:t xml:space="preserve"/>
        </x:is>
      </x:c>
      <x:c r="C163" s="81" t="str">
        <x:f>IF(B163="","",MAX(1,MIN(24,INT((B163-Assumptions!$B$7)/7)+1)))</x:f>
      </x:c>
      <x:c r="D163" s="75" t="inlineStr">
        <x:is>
          <x:t xml:space="preserve"/>
        </x:is>
      </x:c>
      <x:c r="E163" s="75" t="inlineStr">
        <x:is>
          <x:t xml:space="preserve"/>
        </x:is>
      </x:c>
      <x:c r="F163" s="75" t="inlineStr">
        <x:is>
          <x:t xml:space="preserve"/>
        </x:is>
      </x:c>
      <x:c r="G163" s="52" t="n">
        <x:v>0</x:v>
      </x:c>
      <x:c r="H163" s="75" t="inlineStr">
        <x:is>
          <x:t xml:space="preserve"/>
        </x:is>
      </x:c>
      <x:c r="I163" s="75" t="inlineStr">
        <x:is>
          <x:t xml:space="preserve"/>
        </x:is>
      </x:c>
      <x:c r="J163" s="75" t="inlineStr">
        <x:is>
          <x:t xml:space="preserve"/>
        </x:is>
      </x:c>
      <x:c r="K163" s="75" t="inlineStr">
        <x:is>
          <x:t xml:space="preserve">No</x:t>
        </x:is>
      </x:c>
      <x:c r="L163" s="75" t="inlineStr">
        <x:is>
          <x:t xml:space="preserve"/>
        </x:is>
      </x:c>
    </x:row>
    <x:row r="164">
      <x:c r="A164" s="30" t="inlineStr">
        <x:is>
          <x:t xml:space="preserve">TXN160</x:t>
        </x:is>
      </x:c>
      <x:c r="B164" s="82" t="inlineStr">
        <x:is>
          <x:t xml:space="preserve"/>
        </x:is>
      </x:c>
      <x:c r="C164" s="83" t="str">
        <x:f>IF(B164="","",MAX(1,MIN(24,INT((B164-Assumptions!$B$7)/7)+1)))</x:f>
      </x:c>
      <x:c r="D164" s="76" t="inlineStr">
        <x:is>
          <x:t xml:space="preserve"/>
        </x:is>
      </x:c>
      <x:c r="E164" s="76" t="inlineStr">
        <x:is>
          <x:t xml:space="preserve"/>
        </x:is>
      </x:c>
      <x:c r="F164" s="76" t="inlineStr">
        <x:is>
          <x:t xml:space="preserve"/>
        </x:is>
      </x:c>
      <x:c r="G164" s="52" t="n">
        <x:v>0</x:v>
      </x:c>
      <x:c r="H164" s="76" t="inlineStr">
        <x:is>
          <x:t xml:space="preserve"/>
        </x:is>
      </x:c>
      <x:c r="I164" s="76" t="inlineStr">
        <x:is>
          <x:t xml:space="preserve"/>
        </x:is>
      </x:c>
      <x:c r="J164" s="76" t="inlineStr">
        <x:is>
          <x:t xml:space="preserve"/>
        </x:is>
      </x:c>
      <x:c r="K164" s="76" t="inlineStr">
        <x:is>
          <x:t xml:space="preserve">No</x:t>
        </x:is>
      </x:c>
      <x:c r="L164" s="76" t="inlineStr">
        <x:is>
          <x:t xml:space="preserve"/>
        </x:is>
      </x:c>
    </x:row>
    <x:row r="165">
      <x:c r="A165" s="31" t="inlineStr">
        <x:is>
          <x:t xml:space="preserve">TXN161</x:t>
        </x:is>
      </x:c>
      <x:c r="B165" s="80" t="inlineStr">
        <x:is>
          <x:t xml:space="preserve"/>
        </x:is>
      </x:c>
      <x:c r="C165" s="81" t="str">
        <x:f>IF(B165="","",MAX(1,MIN(24,INT((B165-Assumptions!$B$7)/7)+1)))</x:f>
      </x:c>
      <x:c r="D165" s="75" t="inlineStr">
        <x:is>
          <x:t xml:space="preserve"/>
        </x:is>
      </x:c>
      <x:c r="E165" s="75" t="inlineStr">
        <x:is>
          <x:t xml:space="preserve"/>
        </x:is>
      </x:c>
      <x:c r="F165" s="75" t="inlineStr">
        <x:is>
          <x:t xml:space="preserve"/>
        </x:is>
      </x:c>
      <x:c r="G165" s="52" t="n">
        <x:v>0</x:v>
      </x:c>
      <x:c r="H165" s="75" t="inlineStr">
        <x:is>
          <x:t xml:space="preserve"/>
        </x:is>
      </x:c>
      <x:c r="I165" s="75" t="inlineStr">
        <x:is>
          <x:t xml:space="preserve"/>
        </x:is>
      </x:c>
      <x:c r="J165" s="75" t="inlineStr">
        <x:is>
          <x:t xml:space="preserve"/>
        </x:is>
      </x:c>
      <x:c r="K165" s="75" t="inlineStr">
        <x:is>
          <x:t xml:space="preserve">No</x:t>
        </x:is>
      </x:c>
      <x:c r="L165" s="75" t="inlineStr">
        <x:is>
          <x:t xml:space="preserve"/>
        </x:is>
      </x:c>
    </x:row>
    <x:row r="166">
      <x:c r="A166" s="30" t="inlineStr">
        <x:is>
          <x:t xml:space="preserve">TXN162</x:t>
        </x:is>
      </x:c>
      <x:c r="B166" s="82" t="inlineStr">
        <x:is>
          <x:t xml:space="preserve"/>
        </x:is>
      </x:c>
      <x:c r="C166" s="83" t="str">
        <x:f>IF(B166="","",MAX(1,MIN(24,INT((B166-Assumptions!$B$7)/7)+1)))</x:f>
      </x:c>
      <x:c r="D166" s="76" t="inlineStr">
        <x:is>
          <x:t xml:space="preserve"/>
        </x:is>
      </x:c>
      <x:c r="E166" s="76" t="inlineStr">
        <x:is>
          <x:t xml:space="preserve"/>
        </x:is>
      </x:c>
      <x:c r="F166" s="76" t="inlineStr">
        <x:is>
          <x:t xml:space="preserve"/>
        </x:is>
      </x:c>
      <x:c r="G166" s="52" t="n">
        <x:v>0</x:v>
      </x:c>
      <x:c r="H166" s="76" t="inlineStr">
        <x:is>
          <x:t xml:space="preserve"/>
        </x:is>
      </x:c>
      <x:c r="I166" s="76" t="inlineStr">
        <x:is>
          <x:t xml:space="preserve"/>
        </x:is>
      </x:c>
      <x:c r="J166" s="76" t="inlineStr">
        <x:is>
          <x:t xml:space="preserve"/>
        </x:is>
      </x:c>
      <x:c r="K166" s="76" t="inlineStr">
        <x:is>
          <x:t xml:space="preserve">No</x:t>
        </x:is>
      </x:c>
      <x:c r="L166" s="76" t="inlineStr">
        <x:is>
          <x:t xml:space="preserve"/>
        </x:is>
      </x:c>
    </x:row>
    <x:row r="167">
      <x:c r="A167" s="31" t="inlineStr">
        <x:is>
          <x:t xml:space="preserve">TXN163</x:t>
        </x:is>
      </x:c>
      <x:c r="B167" s="80" t="inlineStr">
        <x:is>
          <x:t xml:space="preserve"/>
        </x:is>
      </x:c>
      <x:c r="C167" s="81" t="str">
        <x:f>IF(B167="","",MAX(1,MIN(24,INT((B167-Assumptions!$B$7)/7)+1)))</x:f>
      </x:c>
      <x:c r="D167" s="75" t="inlineStr">
        <x:is>
          <x:t xml:space="preserve"/>
        </x:is>
      </x:c>
      <x:c r="E167" s="75" t="inlineStr">
        <x:is>
          <x:t xml:space="preserve"/>
        </x:is>
      </x:c>
      <x:c r="F167" s="75" t="inlineStr">
        <x:is>
          <x:t xml:space="preserve"/>
        </x:is>
      </x:c>
      <x:c r="G167" s="52" t="n">
        <x:v>0</x:v>
      </x:c>
      <x:c r="H167" s="75" t="inlineStr">
        <x:is>
          <x:t xml:space="preserve"/>
        </x:is>
      </x:c>
      <x:c r="I167" s="75" t="inlineStr">
        <x:is>
          <x:t xml:space="preserve"/>
        </x:is>
      </x:c>
      <x:c r="J167" s="75" t="inlineStr">
        <x:is>
          <x:t xml:space="preserve"/>
        </x:is>
      </x:c>
      <x:c r="K167" s="75" t="inlineStr">
        <x:is>
          <x:t xml:space="preserve">No</x:t>
        </x:is>
      </x:c>
      <x:c r="L167" s="75" t="inlineStr">
        <x:is>
          <x:t xml:space="preserve"/>
        </x:is>
      </x:c>
    </x:row>
    <x:row r="168">
      <x:c r="A168" s="30" t="inlineStr">
        <x:is>
          <x:t xml:space="preserve">TXN164</x:t>
        </x:is>
      </x:c>
      <x:c r="B168" s="82" t="inlineStr">
        <x:is>
          <x:t xml:space="preserve"/>
        </x:is>
      </x:c>
      <x:c r="C168" s="83" t="str">
        <x:f>IF(B168="","",MAX(1,MIN(24,INT((B168-Assumptions!$B$7)/7)+1)))</x:f>
      </x:c>
      <x:c r="D168" s="76" t="inlineStr">
        <x:is>
          <x:t xml:space="preserve"/>
        </x:is>
      </x:c>
      <x:c r="E168" s="76" t="inlineStr">
        <x:is>
          <x:t xml:space="preserve"/>
        </x:is>
      </x:c>
      <x:c r="F168" s="76" t="inlineStr">
        <x:is>
          <x:t xml:space="preserve"/>
        </x:is>
      </x:c>
      <x:c r="G168" s="52" t="n">
        <x:v>0</x:v>
      </x:c>
      <x:c r="H168" s="76" t="inlineStr">
        <x:is>
          <x:t xml:space="preserve"/>
        </x:is>
      </x:c>
      <x:c r="I168" s="76" t="inlineStr">
        <x:is>
          <x:t xml:space="preserve"/>
        </x:is>
      </x:c>
      <x:c r="J168" s="76" t="inlineStr">
        <x:is>
          <x:t xml:space="preserve"/>
        </x:is>
      </x:c>
      <x:c r="K168" s="76" t="inlineStr">
        <x:is>
          <x:t xml:space="preserve">No</x:t>
        </x:is>
      </x:c>
      <x:c r="L168" s="76" t="inlineStr">
        <x:is>
          <x:t xml:space="preserve"/>
        </x:is>
      </x:c>
    </x:row>
    <x:row r="169">
      <x:c r="A169" s="31" t="inlineStr">
        <x:is>
          <x:t xml:space="preserve">TXN165</x:t>
        </x:is>
      </x:c>
      <x:c r="B169" s="80" t="inlineStr">
        <x:is>
          <x:t xml:space="preserve"/>
        </x:is>
      </x:c>
      <x:c r="C169" s="81" t="str">
        <x:f>IF(B169="","",MAX(1,MIN(24,INT((B169-Assumptions!$B$7)/7)+1)))</x:f>
      </x:c>
      <x:c r="D169" s="75" t="inlineStr">
        <x:is>
          <x:t xml:space="preserve"/>
        </x:is>
      </x:c>
      <x:c r="E169" s="75" t="inlineStr">
        <x:is>
          <x:t xml:space="preserve"/>
        </x:is>
      </x:c>
      <x:c r="F169" s="75" t="inlineStr">
        <x:is>
          <x:t xml:space="preserve"/>
        </x:is>
      </x:c>
      <x:c r="G169" s="52" t="n">
        <x:v>0</x:v>
      </x:c>
      <x:c r="H169" s="75" t="inlineStr">
        <x:is>
          <x:t xml:space="preserve"/>
        </x:is>
      </x:c>
      <x:c r="I169" s="75" t="inlineStr">
        <x:is>
          <x:t xml:space="preserve"/>
        </x:is>
      </x:c>
      <x:c r="J169" s="75" t="inlineStr">
        <x:is>
          <x:t xml:space="preserve"/>
        </x:is>
      </x:c>
      <x:c r="K169" s="75" t="inlineStr">
        <x:is>
          <x:t xml:space="preserve">No</x:t>
        </x:is>
      </x:c>
      <x:c r="L169" s="75" t="inlineStr">
        <x:is>
          <x:t xml:space="preserve"/>
        </x:is>
      </x:c>
    </x:row>
    <x:row r="170">
      <x:c r="A170" s="30" t="inlineStr">
        <x:is>
          <x:t xml:space="preserve">TXN166</x:t>
        </x:is>
      </x:c>
      <x:c r="B170" s="82" t="inlineStr">
        <x:is>
          <x:t xml:space="preserve"/>
        </x:is>
      </x:c>
      <x:c r="C170" s="83" t="str">
        <x:f>IF(B170="","",MAX(1,MIN(24,INT((B170-Assumptions!$B$7)/7)+1)))</x:f>
      </x:c>
      <x:c r="D170" s="76" t="inlineStr">
        <x:is>
          <x:t xml:space="preserve"/>
        </x:is>
      </x:c>
      <x:c r="E170" s="76" t="inlineStr">
        <x:is>
          <x:t xml:space="preserve"/>
        </x:is>
      </x:c>
      <x:c r="F170" s="76" t="inlineStr">
        <x:is>
          <x:t xml:space="preserve"/>
        </x:is>
      </x:c>
      <x:c r="G170" s="52" t="n">
        <x:v>0</x:v>
      </x:c>
      <x:c r="H170" s="76" t="inlineStr">
        <x:is>
          <x:t xml:space="preserve"/>
        </x:is>
      </x:c>
      <x:c r="I170" s="76" t="inlineStr">
        <x:is>
          <x:t xml:space="preserve"/>
        </x:is>
      </x:c>
      <x:c r="J170" s="76" t="inlineStr">
        <x:is>
          <x:t xml:space="preserve"/>
        </x:is>
      </x:c>
      <x:c r="K170" s="76" t="inlineStr">
        <x:is>
          <x:t xml:space="preserve">No</x:t>
        </x:is>
      </x:c>
      <x:c r="L170" s="76" t="inlineStr">
        <x:is>
          <x:t xml:space="preserve"/>
        </x:is>
      </x:c>
    </x:row>
    <x:row r="171">
      <x:c r="A171" s="31" t="inlineStr">
        <x:is>
          <x:t xml:space="preserve">TXN167</x:t>
        </x:is>
      </x:c>
      <x:c r="B171" s="80" t="inlineStr">
        <x:is>
          <x:t xml:space="preserve"/>
        </x:is>
      </x:c>
      <x:c r="C171" s="81" t="str">
        <x:f>IF(B171="","",MAX(1,MIN(24,INT((B171-Assumptions!$B$7)/7)+1)))</x:f>
      </x:c>
      <x:c r="D171" s="75" t="inlineStr">
        <x:is>
          <x:t xml:space="preserve"/>
        </x:is>
      </x:c>
      <x:c r="E171" s="75" t="inlineStr">
        <x:is>
          <x:t xml:space="preserve"/>
        </x:is>
      </x:c>
      <x:c r="F171" s="75" t="inlineStr">
        <x:is>
          <x:t xml:space="preserve"/>
        </x:is>
      </x:c>
      <x:c r="G171" s="52" t="n">
        <x:v>0</x:v>
      </x:c>
      <x:c r="H171" s="75" t="inlineStr">
        <x:is>
          <x:t xml:space="preserve"/>
        </x:is>
      </x:c>
      <x:c r="I171" s="75" t="inlineStr">
        <x:is>
          <x:t xml:space="preserve"/>
        </x:is>
      </x:c>
      <x:c r="J171" s="75" t="inlineStr">
        <x:is>
          <x:t xml:space="preserve"/>
        </x:is>
      </x:c>
      <x:c r="K171" s="75" t="inlineStr">
        <x:is>
          <x:t xml:space="preserve">No</x:t>
        </x:is>
      </x:c>
      <x:c r="L171" s="75" t="inlineStr">
        <x:is>
          <x:t xml:space="preserve"/>
        </x:is>
      </x:c>
    </x:row>
    <x:row r="172">
      <x:c r="A172" s="30" t="inlineStr">
        <x:is>
          <x:t xml:space="preserve">TXN168</x:t>
        </x:is>
      </x:c>
      <x:c r="B172" s="82" t="inlineStr">
        <x:is>
          <x:t xml:space="preserve"/>
        </x:is>
      </x:c>
      <x:c r="C172" s="83" t="str">
        <x:f>IF(B172="","",MAX(1,MIN(24,INT((B172-Assumptions!$B$7)/7)+1)))</x:f>
      </x:c>
      <x:c r="D172" s="76" t="inlineStr">
        <x:is>
          <x:t xml:space="preserve"/>
        </x:is>
      </x:c>
      <x:c r="E172" s="76" t="inlineStr">
        <x:is>
          <x:t xml:space="preserve"/>
        </x:is>
      </x:c>
      <x:c r="F172" s="76" t="inlineStr">
        <x:is>
          <x:t xml:space="preserve"/>
        </x:is>
      </x:c>
      <x:c r="G172" s="52" t="n">
        <x:v>0</x:v>
      </x:c>
      <x:c r="H172" s="76" t="inlineStr">
        <x:is>
          <x:t xml:space="preserve"/>
        </x:is>
      </x:c>
      <x:c r="I172" s="76" t="inlineStr">
        <x:is>
          <x:t xml:space="preserve"/>
        </x:is>
      </x:c>
      <x:c r="J172" s="76" t="inlineStr">
        <x:is>
          <x:t xml:space="preserve"/>
        </x:is>
      </x:c>
      <x:c r="K172" s="76" t="inlineStr">
        <x:is>
          <x:t xml:space="preserve">No</x:t>
        </x:is>
      </x:c>
      <x:c r="L172" s="76" t="inlineStr">
        <x:is>
          <x:t xml:space="preserve"/>
        </x:is>
      </x:c>
    </x:row>
    <x:row r="173">
      <x:c r="A173" s="31" t="inlineStr">
        <x:is>
          <x:t xml:space="preserve">TXN169</x:t>
        </x:is>
      </x:c>
      <x:c r="B173" s="80" t="inlineStr">
        <x:is>
          <x:t xml:space="preserve"/>
        </x:is>
      </x:c>
      <x:c r="C173" s="81" t="str">
        <x:f>IF(B173="","",MAX(1,MIN(24,INT((B173-Assumptions!$B$7)/7)+1)))</x:f>
      </x:c>
      <x:c r="D173" s="75" t="inlineStr">
        <x:is>
          <x:t xml:space="preserve"/>
        </x:is>
      </x:c>
      <x:c r="E173" s="75" t="inlineStr">
        <x:is>
          <x:t xml:space="preserve"/>
        </x:is>
      </x:c>
      <x:c r="F173" s="75" t="inlineStr">
        <x:is>
          <x:t xml:space="preserve"/>
        </x:is>
      </x:c>
      <x:c r="G173" s="52" t="n">
        <x:v>0</x:v>
      </x:c>
      <x:c r="H173" s="75" t="inlineStr">
        <x:is>
          <x:t xml:space="preserve"/>
        </x:is>
      </x:c>
      <x:c r="I173" s="75" t="inlineStr">
        <x:is>
          <x:t xml:space="preserve"/>
        </x:is>
      </x:c>
      <x:c r="J173" s="75" t="inlineStr">
        <x:is>
          <x:t xml:space="preserve"/>
        </x:is>
      </x:c>
      <x:c r="K173" s="75" t="inlineStr">
        <x:is>
          <x:t xml:space="preserve">No</x:t>
        </x:is>
      </x:c>
      <x:c r="L173" s="75" t="inlineStr">
        <x:is>
          <x:t xml:space="preserve"/>
        </x:is>
      </x:c>
    </x:row>
    <x:row r="174">
      <x:c r="A174" s="30" t="inlineStr">
        <x:is>
          <x:t xml:space="preserve">TXN170</x:t>
        </x:is>
      </x:c>
      <x:c r="B174" s="82" t="inlineStr">
        <x:is>
          <x:t xml:space="preserve"/>
        </x:is>
      </x:c>
      <x:c r="C174" s="83" t="str">
        <x:f>IF(B174="","",MAX(1,MIN(24,INT((B174-Assumptions!$B$7)/7)+1)))</x:f>
      </x:c>
      <x:c r="D174" s="76" t="inlineStr">
        <x:is>
          <x:t xml:space="preserve"/>
        </x:is>
      </x:c>
      <x:c r="E174" s="76" t="inlineStr">
        <x:is>
          <x:t xml:space="preserve"/>
        </x:is>
      </x:c>
      <x:c r="F174" s="76" t="inlineStr">
        <x:is>
          <x:t xml:space="preserve"/>
        </x:is>
      </x:c>
      <x:c r="G174" s="52" t="n">
        <x:v>0</x:v>
      </x:c>
      <x:c r="H174" s="76" t="inlineStr">
        <x:is>
          <x:t xml:space="preserve"/>
        </x:is>
      </x:c>
      <x:c r="I174" s="76" t="inlineStr">
        <x:is>
          <x:t xml:space="preserve"/>
        </x:is>
      </x:c>
      <x:c r="J174" s="76" t="inlineStr">
        <x:is>
          <x:t xml:space="preserve"/>
        </x:is>
      </x:c>
      <x:c r="K174" s="76" t="inlineStr">
        <x:is>
          <x:t xml:space="preserve">No</x:t>
        </x:is>
      </x:c>
      <x:c r="L174" s="76" t="inlineStr">
        <x:is>
          <x:t xml:space="preserve"/>
        </x:is>
      </x:c>
    </x:row>
    <x:row r="175">
      <x:c r="A175" s="31" t="inlineStr">
        <x:is>
          <x:t xml:space="preserve">TXN171</x:t>
        </x:is>
      </x:c>
      <x:c r="B175" s="80" t="inlineStr">
        <x:is>
          <x:t xml:space="preserve"/>
        </x:is>
      </x:c>
      <x:c r="C175" s="81" t="str">
        <x:f>IF(B175="","",MAX(1,MIN(24,INT((B175-Assumptions!$B$7)/7)+1)))</x:f>
      </x:c>
      <x:c r="D175" s="75" t="inlineStr">
        <x:is>
          <x:t xml:space="preserve"/>
        </x:is>
      </x:c>
      <x:c r="E175" s="75" t="inlineStr">
        <x:is>
          <x:t xml:space="preserve"/>
        </x:is>
      </x:c>
      <x:c r="F175" s="75" t="inlineStr">
        <x:is>
          <x:t xml:space="preserve"/>
        </x:is>
      </x:c>
      <x:c r="G175" s="52" t="n">
        <x:v>0</x:v>
      </x:c>
      <x:c r="H175" s="75" t="inlineStr">
        <x:is>
          <x:t xml:space="preserve"/>
        </x:is>
      </x:c>
      <x:c r="I175" s="75" t="inlineStr">
        <x:is>
          <x:t xml:space="preserve"/>
        </x:is>
      </x:c>
      <x:c r="J175" s="75" t="inlineStr">
        <x:is>
          <x:t xml:space="preserve"/>
        </x:is>
      </x:c>
      <x:c r="K175" s="75" t="inlineStr">
        <x:is>
          <x:t xml:space="preserve">No</x:t>
        </x:is>
      </x:c>
      <x:c r="L175" s="75" t="inlineStr">
        <x:is>
          <x:t xml:space="preserve"/>
        </x:is>
      </x:c>
    </x:row>
    <x:row r="176">
      <x:c r="A176" s="30" t="inlineStr">
        <x:is>
          <x:t xml:space="preserve">TXN172</x:t>
        </x:is>
      </x:c>
      <x:c r="B176" s="82" t="inlineStr">
        <x:is>
          <x:t xml:space="preserve"/>
        </x:is>
      </x:c>
      <x:c r="C176" s="83" t="str">
        <x:f>IF(B176="","",MAX(1,MIN(24,INT((B176-Assumptions!$B$7)/7)+1)))</x:f>
      </x:c>
      <x:c r="D176" s="76" t="inlineStr">
        <x:is>
          <x:t xml:space="preserve"/>
        </x:is>
      </x:c>
      <x:c r="E176" s="76" t="inlineStr">
        <x:is>
          <x:t xml:space="preserve"/>
        </x:is>
      </x:c>
      <x:c r="F176" s="76" t="inlineStr">
        <x:is>
          <x:t xml:space="preserve"/>
        </x:is>
      </x:c>
      <x:c r="G176" s="52" t="n">
        <x:v>0</x:v>
      </x:c>
      <x:c r="H176" s="76" t="inlineStr">
        <x:is>
          <x:t xml:space="preserve"/>
        </x:is>
      </x:c>
      <x:c r="I176" s="76" t="inlineStr">
        <x:is>
          <x:t xml:space="preserve"/>
        </x:is>
      </x:c>
      <x:c r="J176" s="76" t="inlineStr">
        <x:is>
          <x:t xml:space="preserve"/>
        </x:is>
      </x:c>
      <x:c r="K176" s="76" t="inlineStr">
        <x:is>
          <x:t xml:space="preserve">No</x:t>
        </x:is>
      </x:c>
      <x:c r="L176" s="76" t="inlineStr">
        <x:is>
          <x:t xml:space="preserve"/>
        </x:is>
      </x:c>
    </x:row>
    <x:row r="177">
      <x:c r="A177" s="31" t="inlineStr">
        <x:is>
          <x:t xml:space="preserve">TXN173</x:t>
        </x:is>
      </x:c>
      <x:c r="B177" s="80" t="inlineStr">
        <x:is>
          <x:t xml:space="preserve"/>
        </x:is>
      </x:c>
      <x:c r="C177" s="81" t="str">
        <x:f>IF(B177="","",MAX(1,MIN(24,INT((B177-Assumptions!$B$7)/7)+1)))</x:f>
      </x:c>
      <x:c r="D177" s="75" t="inlineStr">
        <x:is>
          <x:t xml:space="preserve"/>
        </x:is>
      </x:c>
      <x:c r="E177" s="75" t="inlineStr">
        <x:is>
          <x:t xml:space="preserve"/>
        </x:is>
      </x:c>
      <x:c r="F177" s="75" t="inlineStr">
        <x:is>
          <x:t xml:space="preserve"/>
        </x:is>
      </x:c>
      <x:c r="G177" s="52" t="n">
        <x:v>0</x:v>
      </x:c>
      <x:c r="H177" s="75" t="inlineStr">
        <x:is>
          <x:t xml:space="preserve"/>
        </x:is>
      </x:c>
      <x:c r="I177" s="75" t="inlineStr">
        <x:is>
          <x:t xml:space="preserve"/>
        </x:is>
      </x:c>
      <x:c r="J177" s="75" t="inlineStr">
        <x:is>
          <x:t xml:space="preserve"/>
        </x:is>
      </x:c>
      <x:c r="K177" s="75" t="inlineStr">
        <x:is>
          <x:t xml:space="preserve">No</x:t>
        </x:is>
      </x:c>
      <x:c r="L177" s="75" t="inlineStr">
        <x:is>
          <x:t xml:space="preserve"/>
        </x:is>
      </x:c>
    </x:row>
    <x:row r="178">
      <x:c r="A178" s="30" t="inlineStr">
        <x:is>
          <x:t xml:space="preserve">TXN174</x:t>
        </x:is>
      </x:c>
      <x:c r="B178" s="82" t="inlineStr">
        <x:is>
          <x:t xml:space="preserve"/>
        </x:is>
      </x:c>
      <x:c r="C178" s="83" t="str">
        <x:f>IF(B178="","",MAX(1,MIN(24,INT((B178-Assumptions!$B$7)/7)+1)))</x:f>
      </x:c>
      <x:c r="D178" s="76" t="inlineStr">
        <x:is>
          <x:t xml:space="preserve"/>
        </x:is>
      </x:c>
      <x:c r="E178" s="76" t="inlineStr">
        <x:is>
          <x:t xml:space="preserve"/>
        </x:is>
      </x:c>
      <x:c r="F178" s="76" t="inlineStr">
        <x:is>
          <x:t xml:space="preserve"/>
        </x:is>
      </x:c>
      <x:c r="G178" s="52" t="n">
        <x:v>0</x:v>
      </x:c>
      <x:c r="H178" s="76" t="inlineStr">
        <x:is>
          <x:t xml:space="preserve"/>
        </x:is>
      </x:c>
      <x:c r="I178" s="76" t="inlineStr">
        <x:is>
          <x:t xml:space="preserve"/>
        </x:is>
      </x:c>
      <x:c r="J178" s="76" t="inlineStr">
        <x:is>
          <x:t xml:space="preserve"/>
        </x:is>
      </x:c>
      <x:c r="K178" s="76" t="inlineStr">
        <x:is>
          <x:t xml:space="preserve">No</x:t>
        </x:is>
      </x:c>
      <x:c r="L178" s="76" t="inlineStr">
        <x:is>
          <x:t xml:space="preserve"/>
        </x:is>
      </x:c>
    </x:row>
    <x:row r="179">
      <x:c r="A179" s="31" t="inlineStr">
        <x:is>
          <x:t xml:space="preserve">TXN175</x:t>
        </x:is>
      </x:c>
      <x:c r="B179" s="80" t="inlineStr">
        <x:is>
          <x:t xml:space="preserve"/>
        </x:is>
      </x:c>
      <x:c r="C179" s="81" t="str">
        <x:f>IF(B179="","",MAX(1,MIN(24,INT((B179-Assumptions!$B$7)/7)+1)))</x:f>
      </x:c>
      <x:c r="D179" s="75" t="inlineStr">
        <x:is>
          <x:t xml:space="preserve"/>
        </x:is>
      </x:c>
      <x:c r="E179" s="75" t="inlineStr">
        <x:is>
          <x:t xml:space="preserve"/>
        </x:is>
      </x:c>
      <x:c r="F179" s="75" t="inlineStr">
        <x:is>
          <x:t xml:space="preserve"/>
        </x:is>
      </x:c>
      <x:c r="G179" s="52" t="n">
        <x:v>0</x:v>
      </x:c>
      <x:c r="H179" s="75" t="inlineStr">
        <x:is>
          <x:t xml:space="preserve"/>
        </x:is>
      </x:c>
      <x:c r="I179" s="75" t="inlineStr">
        <x:is>
          <x:t xml:space="preserve"/>
        </x:is>
      </x:c>
      <x:c r="J179" s="75" t="inlineStr">
        <x:is>
          <x:t xml:space="preserve"/>
        </x:is>
      </x:c>
      <x:c r="K179" s="75" t="inlineStr">
        <x:is>
          <x:t xml:space="preserve">No</x:t>
        </x:is>
      </x:c>
      <x:c r="L179" s="75" t="inlineStr">
        <x:is>
          <x:t xml:space="preserve"/>
        </x:is>
      </x:c>
    </x:row>
    <x:row r="180">
      <x:c r="A180" s="30" t="inlineStr">
        <x:is>
          <x:t xml:space="preserve">TXN176</x:t>
        </x:is>
      </x:c>
      <x:c r="B180" s="82" t="inlineStr">
        <x:is>
          <x:t xml:space="preserve"/>
        </x:is>
      </x:c>
      <x:c r="C180" s="83" t="str">
        <x:f>IF(B180="","",MAX(1,MIN(24,INT((B180-Assumptions!$B$7)/7)+1)))</x:f>
      </x:c>
      <x:c r="D180" s="76" t="inlineStr">
        <x:is>
          <x:t xml:space="preserve"/>
        </x:is>
      </x:c>
      <x:c r="E180" s="76" t="inlineStr">
        <x:is>
          <x:t xml:space="preserve"/>
        </x:is>
      </x:c>
      <x:c r="F180" s="76" t="inlineStr">
        <x:is>
          <x:t xml:space="preserve"/>
        </x:is>
      </x:c>
      <x:c r="G180" s="52" t="n">
        <x:v>0</x:v>
      </x:c>
      <x:c r="H180" s="76" t="inlineStr">
        <x:is>
          <x:t xml:space="preserve"/>
        </x:is>
      </x:c>
      <x:c r="I180" s="76" t="inlineStr">
        <x:is>
          <x:t xml:space="preserve"/>
        </x:is>
      </x:c>
      <x:c r="J180" s="76" t="inlineStr">
        <x:is>
          <x:t xml:space="preserve"/>
        </x:is>
      </x:c>
      <x:c r="K180" s="76" t="inlineStr">
        <x:is>
          <x:t xml:space="preserve">No</x:t>
        </x:is>
      </x:c>
      <x:c r="L180" s="76" t="inlineStr">
        <x:is>
          <x:t xml:space="preserve"/>
        </x:is>
      </x:c>
    </x:row>
    <x:row r="181">
      <x:c r="A181" s="31" t="inlineStr">
        <x:is>
          <x:t xml:space="preserve">TXN177</x:t>
        </x:is>
      </x:c>
      <x:c r="B181" s="80" t="inlineStr">
        <x:is>
          <x:t xml:space="preserve"/>
        </x:is>
      </x:c>
      <x:c r="C181" s="81" t="str">
        <x:f>IF(B181="","",MAX(1,MIN(24,INT((B181-Assumptions!$B$7)/7)+1)))</x:f>
      </x:c>
      <x:c r="D181" s="75" t="inlineStr">
        <x:is>
          <x:t xml:space="preserve"/>
        </x:is>
      </x:c>
      <x:c r="E181" s="75" t="inlineStr">
        <x:is>
          <x:t xml:space="preserve"/>
        </x:is>
      </x:c>
      <x:c r="F181" s="75" t="inlineStr">
        <x:is>
          <x:t xml:space="preserve"/>
        </x:is>
      </x:c>
      <x:c r="G181" s="52" t="n">
        <x:v>0</x:v>
      </x:c>
      <x:c r="H181" s="75" t="inlineStr">
        <x:is>
          <x:t xml:space="preserve"/>
        </x:is>
      </x:c>
      <x:c r="I181" s="75" t="inlineStr">
        <x:is>
          <x:t xml:space="preserve"/>
        </x:is>
      </x:c>
      <x:c r="J181" s="75" t="inlineStr">
        <x:is>
          <x:t xml:space="preserve"/>
        </x:is>
      </x:c>
      <x:c r="K181" s="75" t="inlineStr">
        <x:is>
          <x:t xml:space="preserve">No</x:t>
        </x:is>
      </x:c>
      <x:c r="L181" s="75" t="inlineStr">
        <x:is>
          <x:t xml:space="preserve"/>
        </x:is>
      </x:c>
    </x:row>
    <x:row r="182">
      <x:c r="A182" s="30" t="inlineStr">
        <x:is>
          <x:t xml:space="preserve">TXN178</x:t>
        </x:is>
      </x:c>
      <x:c r="B182" s="82" t="inlineStr">
        <x:is>
          <x:t xml:space="preserve"/>
        </x:is>
      </x:c>
      <x:c r="C182" s="83" t="str">
        <x:f>IF(B182="","",MAX(1,MIN(24,INT((B182-Assumptions!$B$7)/7)+1)))</x:f>
      </x:c>
      <x:c r="D182" s="76" t="inlineStr">
        <x:is>
          <x:t xml:space="preserve"/>
        </x:is>
      </x:c>
      <x:c r="E182" s="76" t="inlineStr">
        <x:is>
          <x:t xml:space="preserve"/>
        </x:is>
      </x:c>
      <x:c r="F182" s="76" t="inlineStr">
        <x:is>
          <x:t xml:space="preserve"/>
        </x:is>
      </x:c>
      <x:c r="G182" s="52" t="n">
        <x:v>0</x:v>
      </x:c>
      <x:c r="H182" s="76" t="inlineStr">
        <x:is>
          <x:t xml:space="preserve"/>
        </x:is>
      </x:c>
      <x:c r="I182" s="76" t="inlineStr">
        <x:is>
          <x:t xml:space="preserve"/>
        </x:is>
      </x:c>
      <x:c r="J182" s="76" t="inlineStr">
        <x:is>
          <x:t xml:space="preserve"/>
        </x:is>
      </x:c>
      <x:c r="K182" s="76" t="inlineStr">
        <x:is>
          <x:t xml:space="preserve">No</x:t>
        </x:is>
      </x:c>
      <x:c r="L182" s="76" t="inlineStr">
        <x:is>
          <x:t xml:space="preserve"/>
        </x:is>
      </x:c>
    </x:row>
    <x:row r="183">
      <x:c r="A183" s="31" t="inlineStr">
        <x:is>
          <x:t xml:space="preserve">TXN179</x:t>
        </x:is>
      </x:c>
      <x:c r="B183" s="80" t="inlineStr">
        <x:is>
          <x:t xml:space="preserve"/>
        </x:is>
      </x:c>
      <x:c r="C183" s="81" t="str">
        <x:f>IF(B183="","",MAX(1,MIN(24,INT((B183-Assumptions!$B$7)/7)+1)))</x:f>
      </x:c>
      <x:c r="D183" s="75" t="inlineStr">
        <x:is>
          <x:t xml:space="preserve"/>
        </x:is>
      </x:c>
      <x:c r="E183" s="75" t="inlineStr">
        <x:is>
          <x:t xml:space="preserve"/>
        </x:is>
      </x:c>
      <x:c r="F183" s="75" t="inlineStr">
        <x:is>
          <x:t xml:space="preserve"/>
        </x:is>
      </x:c>
      <x:c r="G183" s="52" t="n">
        <x:v>0</x:v>
      </x:c>
      <x:c r="H183" s="75" t="inlineStr">
        <x:is>
          <x:t xml:space="preserve"/>
        </x:is>
      </x:c>
      <x:c r="I183" s="75" t="inlineStr">
        <x:is>
          <x:t xml:space="preserve"/>
        </x:is>
      </x:c>
      <x:c r="J183" s="75" t="inlineStr">
        <x:is>
          <x:t xml:space="preserve"/>
        </x:is>
      </x:c>
      <x:c r="K183" s="75" t="inlineStr">
        <x:is>
          <x:t xml:space="preserve">No</x:t>
        </x:is>
      </x:c>
      <x:c r="L183" s="75" t="inlineStr">
        <x:is>
          <x:t xml:space="preserve"/>
        </x:is>
      </x:c>
    </x:row>
    <x:row r="184">
      <x:c r="A184" s="30" t="inlineStr">
        <x:is>
          <x:t xml:space="preserve">TXN180</x:t>
        </x:is>
      </x:c>
      <x:c r="B184" s="82" t="inlineStr">
        <x:is>
          <x:t xml:space="preserve"/>
        </x:is>
      </x:c>
      <x:c r="C184" s="83" t="str">
        <x:f>IF(B184="","",MAX(1,MIN(24,INT((B184-Assumptions!$B$7)/7)+1)))</x:f>
      </x:c>
      <x:c r="D184" s="76" t="inlineStr">
        <x:is>
          <x:t xml:space="preserve"/>
        </x:is>
      </x:c>
      <x:c r="E184" s="76" t="inlineStr">
        <x:is>
          <x:t xml:space="preserve"/>
        </x:is>
      </x:c>
      <x:c r="F184" s="76" t="inlineStr">
        <x:is>
          <x:t xml:space="preserve"/>
        </x:is>
      </x:c>
      <x:c r="G184" s="52" t="n">
        <x:v>0</x:v>
      </x:c>
      <x:c r="H184" s="76" t="inlineStr">
        <x:is>
          <x:t xml:space="preserve"/>
        </x:is>
      </x:c>
      <x:c r="I184" s="76" t="inlineStr">
        <x:is>
          <x:t xml:space="preserve"/>
        </x:is>
      </x:c>
      <x:c r="J184" s="76" t="inlineStr">
        <x:is>
          <x:t xml:space="preserve"/>
        </x:is>
      </x:c>
      <x:c r="K184" s="76" t="inlineStr">
        <x:is>
          <x:t xml:space="preserve">No</x:t>
        </x:is>
      </x:c>
      <x:c r="L184" s="76" t="inlineStr">
        <x:is>
          <x:t xml:space="preserve"/>
        </x:is>
      </x:c>
    </x:row>
    <x:row r="185">
      <x:c r="A185" s="31" t="inlineStr">
        <x:is>
          <x:t xml:space="preserve">TXN181</x:t>
        </x:is>
      </x:c>
      <x:c r="B185" s="80" t="inlineStr">
        <x:is>
          <x:t xml:space="preserve"/>
        </x:is>
      </x:c>
      <x:c r="C185" s="81" t="str">
        <x:f>IF(B185="","",MAX(1,MIN(24,INT((B185-Assumptions!$B$7)/7)+1)))</x:f>
      </x:c>
      <x:c r="D185" s="75" t="inlineStr">
        <x:is>
          <x:t xml:space="preserve"/>
        </x:is>
      </x:c>
      <x:c r="E185" s="75" t="inlineStr">
        <x:is>
          <x:t xml:space="preserve"/>
        </x:is>
      </x:c>
      <x:c r="F185" s="75" t="inlineStr">
        <x:is>
          <x:t xml:space="preserve"/>
        </x:is>
      </x:c>
      <x:c r="G185" s="52" t="n">
        <x:v>0</x:v>
      </x:c>
      <x:c r="H185" s="75" t="inlineStr">
        <x:is>
          <x:t xml:space="preserve"/>
        </x:is>
      </x:c>
      <x:c r="I185" s="75" t="inlineStr">
        <x:is>
          <x:t xml:space="preserve"/>
        </x:is>
      </x:c>
      <x:c r="J185" s="75" t="inlineStr">
        <x:is>
          <x:t xml:space="preserve"/>
        </x:is>
      </x:c>
      <x:c r="K185" s="75" t="inlineStr">
        <x:is>
          <x:t xml:space="preserve">No</x:t>
        </x:is>
      </x:c>
      <x:c r="L185" s="75" t="inlineStr">
        <x:is>
          <x:t xml:space="preserve"/>
        </x:is>
      </x:c>
    </x:row>
    <x:row r="186">
      <x:c r="A186" s="30" t="inlineStr">
        <x:is>
          <x:t xml:space="preserve">TXN182</x:t>
        </x:is>
      </x:c>
      <x:c r="B186" s="82" t="inlineStr">
        <x:is>
          <x:t xml:space="preserve"/>
        </x:is>
      </x:c>
      <x:c r="C186" s="83" t="str">
        <x:f>IF(B186="","",MAX(1,MIN(24,INT((B186-Assumptions!$B$7)/7)+1)))</x:f>
      </x:c>
      <x:c r="D186" s="76" t="inlineStr">
        <x:is>
          <x:t xml:space="preserve"/>
        </x:is>
      </x:c>
      <x:c r="E186" s="76" t="inlineStr">
        <x:is>
          <x:t xml:space="preserve"/>
        </x:is>
      </x:c>
      <x:c r="F186" s="76" t="inlineStr">
        <x:is>
          <x:t xml:space="preserve"/>
        </x:is>
      </x:c>
      <x:c r="G186" s="52" t="n">
        <x:v>0</x:v>
      </x:c>
      <x:c r="H186" s="76" t="inlineStr">
        <x:is>
          <x:t xml:space="preserve"/>
        </x:is>
      </x:c>
      <x:c r="I186" s="76" t="inlineStr">
        <x:is>
          <x:t xml:space="preserve"/>
        </x:is>
      </x:c>
      <x:c r="J186" s="76" t="inlineStr">
        <x:is>
          <x:t xml:space="preserve"/>
        </x:is>
      </x:c>
      <x:c r="K186" s="76" t="inlineStr">
        <x:is>
          <x:t xml:space="preserve">No</x:t>
        </x:is>
      </x:c>
      <x:c r="L186" s="76" t="inlineStr">
        <x:is>
          <x:t xml:space="preserve"/>
        </x:is>
      </x:c>
    </x:row>
    <x:row r="187">
      <x:c r="A187" s="31" t="inlineStr">
        <x:is>
          <x:t xml:space="preserve">TXN183</x:t>
        </x:is>
      </x:c>
      <x:c r="B187" s="80" t="inlineStr">
        <x:is>
          <x:t xml:space="preserve"/>
        </x:is>
      </x:c>
      <x:c r="C187" s="81" t="str">
        <x:f>IF(B187="","",MAX(1,MIN(24,INT((B187-Assumptions!$B$7)/7)+1)))</x:f>
      </x:c>
      <x:c r="D187" s="75" t="inlineStr">
        <x:is>
          <x:t xml:space="preserve"/>
        </x:is>
      </x:c>
      <x:c r="E187" s="75" t="inlineStr">
        <x:is>
          <x:t xml:space="preserve"/>
        </x:is>
      </x:c>
      <x:c r="F187" s="75" t="inlineStr">
        <x:is>
          <x:t xml:space="preserve"/>
        </x:is>
      </x:c>
      <x:c r="G187" s="52" t="n">
        <x:v>0</x:v>
      </x:c>
      <x:c r="H187" s="75" t="inlineStr">
        <x:is>
          <x:t xml:space="preserve"/>
        </x:is>
      </x:c>
      <x:c r="I187" s="75" t="inlineStr">
        <x:is>
          <x:t xml:space="preserve"/>
        </x:is>
      </x:c>
      <x:c r="J187" s="75" t="inlineStr">
        <x:is>
          <x:t xml:space="preserve"/>
        </x:is>
      </x:c>
      <x:c r="K187" s="75" t="inlineStr">
        <x:is>
          <x:t xml:space="preserve">No</x:t>
        </x:is>
      </x:c>
      <x:c r="L187" s="75" t="inlineStr">
        <x:is>
          <x:t xml:space="preserve"/>
        </x:is>
      </x:c>
    </x:row>
    <x:row r="188">
      <x:c r="A188" s="30" t="inlineStr">
        <x:is>
          <x:t xml:space="preserve">TXN184</x:t>
        </x:is>
      </x:c>
      <x:c r="B188" s="82" t="inlineStr">
        <x:is>
          <x:t xml:space="preserve"/>
        </x:is>
      </x:c>
      <x:c r="C188" s="83" t="str">
        <x:f>IF(B188="","",MAX(1,MIN(24,INT((B188-Assumptions!$B$7)/7)+1)))</x:f>
      </x:c>
      <x:c r="D188" s="76" t="inlineStr">
        <x:is>
          <x:t xml:space="preserve"/>
        </x:is>
      </x:c>
      <x:c r="E188" s="76" t="inlineStr">
        <x:is>
          <x:t xml:space="preserve"/>
        </x:is>
      </x:c>
      <x:c r="F188" s="76" t="inlineStr">
        <x:is>
          <x:t xml:space="preserve"/>
        </x:is>
      </x:c>
      <x:c r="G188" s="52" t="n">
        <x:v>0</x:v>
      </x:c>
      <x:c r="H188" s="76" t="inlineStr">
        <x:is>
          <x:t xml:space="preserve"/>
        </x:is>
      </x:c>
      <x:c r="I188" s="76" t="inlineStr">
        <x:is>
          <x:t xml:space="preserve"/>
        </x:is>
      </x:c>
      <x:c r="J188" s="76" t="inlineStr">
        <x:is>
          <x:t xml:space="preserve"/>
        </x:is>
      </x:c>
      <x:c r="K188" s="76" t="inlineStr">
        <x:is>
          <x:t xml:space="preserve">No</x:t>
        </x:is>
      </x:c>
      <x:c r="L188" s="76" t="inlineStr">
        <x:is>
          <x:t xml:space="preserve"/>
        </x:is>
      </x:c>
    </x:row>
    <x:row r="189">
      <x:c r="A189" s="31" t="inlineStr">
        <x:is>
          <x:t xml:space="preserve">TXN185</x:t>
        </x:is>
      </x:c>
      <x:c r="B189" s="80" t="inlineStr">
        <x:is>
          <x:t xml:space="preserve"/>
        </x:is>
      </x:c>
      <x:c r="C189" s="81" t="str">
        <x:f>IF(B189="","",MAX(1,MIN(24,INT((B189-Assumptions!$B$7)/7)+1)))</x:f>
      </x:c>
      <x:c r="D189" s="75" t="inlineStr">
        <x:is>
          <x:t xml:space="preserve"/>
        </x:is>
      </x:c>
      <x:c r="E189" s="75" t="inlineStr">
        <x:is>
          <x:t xml:space="preserve"/>
        </x:is>
      </x:c>
      <x:c r="F189" s="75" t="inlineStr">
        <x:is>
          <x:t xml:space="preserve"/>
        </x:is>
      </x:c>
      <x:c r="G189" s="52" t="n">
        <x:v>0</x:v>
      </x:c>
      <x:c r="H189" s="75" t="inlineStr">
        <x:is>
          <x:t xml:space="preserve"/>
        </x:is>
      </x:c>
      <x:c r="I189" s="75" t="inlineStr">
        <x:is>
          <x:t xml:space="preserve"/>
        </x:is>
      </x:c>
      <x:c r="J189" s="75" t="inlineStr">
        <x:is>
          <x:t xml:space="preserve"/>
        </x:is>
      </x:c>
      <x:c r="K189" s="75" t="inlineStr">
        <x:is>
          <x:t xml:space="preserve">No</x:t>
        </x:is>
      </x:c>
      <x:c r="L189" s="75" t="inlineStr">
        <x:is>
          <x:t xml:space="preserve"/>
        </x:is>
      </x:c>
    </x:row>
    <x:row r="190">
      <x:c r="A190" s="30" t="inlineStr">
        <x:is>
          <x:t xml:space="preserve">TXN186</x:t>
        </x:is>
      </x:c>
      <x:c r="B190" s="82" t="inlineStr">
        <x:is>
          <x:t xml:space="preserve"/>
        </x:is>
      </x:c>
      <x:c r="C190" s="83" t="str">
        <x:f>IF(B190="","",MAX(1,MIN(24,INT((B190-Assumptions!$B$7)/7)+1)))</x:f>
      </x:c>
      <x:c r="D190" s="76" t="inlineStr">
        <x:is>
          <x:t xml:space="preserve"/>
        </x:is>
      </x:c>
      <x:c r="E190" s="76" t="inlineStr">
        <x:is>
          <x:t xml:space="preserve"/>
        </x:is>
      </x:c>
      <x:c r="F190" s="76" t="inlineStr">
        <x:is>
          <x:t xml:space="preserve"/>
        </x:is>
      </x:c>
      <x:c r="G190" s="52" t="n">
        <x:v>0</x:v>
      </x:c>
      <x:c r="H190" s="76" t="inlineStr">
        <x:is>
          <x:t xml:space="preserve"/>
        </x:is>
      </x:c>
      <x:c r="I190" s="76" t="inlineStr">
        <x:is>
          <x:t xml:space="preserve"/>
        </x:is>
      </x:c>
      <x:c r="J190" s="76" t="inlineStr">
        <x:is>
          <x:t xml:space="preserve"/>
        </x:is>
      </x:c>
      <x:c r="K190" s="76" t="inlineStr">
        <x:is>
          <x:t xml:space="preserve">No</x:t>
        </x:is>
      </x:c>
      <x:c r="L190" s="76" t="inlineStr">
        <x:is>
          <x:t xml:space="preserve"/>
        </x:is>
      </x:c>
    </x:row>
    <x:row r="191">
      <x:c r="A191" s="31" t="inlineStr">
        <x:is>
          <x:t xml:space="preserve">TXN187</x:t>
        </x:is>
      </x:c>
      <x:c r="B191" s="80" t="inlineStr">
        <x:is>
          <x:t xml:space="preserve"/>
        </x:is>
      </x:c>
      <x:c r="C191" s="81" t="str">
        <x:f>IF(B191="","",MAX(1,MIN(24,INT((B191-Assumptions!$B$7)/7)+1)))</x:f>
      </x:c>
      <x:c r="D191" s="75" t="inlineStr">
        <x:is>
          <x:t xml:space="preserve"/>
        </x:is>
      </x:c>
      <x:c r="E191" s="75" t="inlineStr">
        <x:is>
          <x:t xml:space="preserve"/>
        </x:is>
      </x:c>
      <x:c r="F191" s="75" t="inlineStr">
        <x:is>
          <x:t xml:space="preserve"/>
        </x:is>
      </x:c>
      <x:c r="G191" s="52" t="n">
        <x:v>0</x:v>
      </x:c>
      <x:c r="H191" s="75" t="inlineStr">
        <x:is>
          <x:t xml:space="preserve"/>
        </x:is>
      </x:c>
      <x:c r="I191" s="75" t="inlineStr">
        <x:is>
          <x:t xml:space="preserve"/>
        </x:is>
      </x:c>
      <x:c r="J191" s="75" t="inlineStr">
        <x:is>
          <x:t xml:space="preserve"/>
        </x:is>
      </x:c>
      <x:c r="K191" s="75" t="inlineStr">
        <x:is>
          <x:t xml:space="preserve">No</x:t>
        </x:is>
      </x:c>
      <x:c r="L191" s="75" t="inlineStr">
        <x:is>
          <x:t xml:space="preserve"/>
        </x:is>
      </x:c>
    </x:row>
    <x:row r="192">
      <x:c r="A192" s="30" t="inlineStr">
        <x:is>
          <x:t xml:space="preserve">TXN188</x:t>
        </x:is>
      </x:c>
      <x:c r="B192" s="82" t="inlineStr">
        <x:is>
          <x:t xml:space="preserve"/>
        </x:is>
      </x:c>
      <x:c r="C192" s="83" t="str">
        <x:f>IF(B192="","",MAX(1,MIN(24,INT((B192-Assumptions!$B$7)/7)+1)))</x:f>
      </x:c>
      <x:c r="D192" s="76" t="inlineStr">
        <x:is>
          <x:t xml:space="preserve"/>
        </x:is>
      </x:c>
      <x:c r="E192" s="76" t="inlineStr">
        <x:is>
          <x:t xml:space="preserve"/>
        </x:is>
      </x:c>
      <x:c r="F192" s="76" t="inlineStr">
        <x:is>
          <x:t xml:space="preserve"/>
        </x:is>
      </x:c>
      <x:c r="G192" s="52" t="n">
        <x:v>0</x:v>
      </x:c>
      <x:c r="H192" s="76" t="inlineStr">
        <x:is>
          <x:t xml:space="preserve"/>
        </x:is>
      </x:c>
      <x:c r="I192" s="76" t="inlineStr">
        <x:is>
          <x:t xml:space="preserve"/>
        </x:is>
      </x:c>
      <x:c r="J192" s="76" t="inlineStr">
        <x:is>
          <x:t xml:space="preserve"/>
        </x:is>
      </x:c>
      <x:c r="K192" s="76" t="inlineStr">
        <x:is>
          <x:t xml:space="preserve">No</x:t>
        </x:is>
      </x:c>
      <x:c r="L192" s="76" t="inlineStr">
        <x:is>
          <x:t xml:space="preserve"/>
        </x:is>
      </x:c>
    </x:row>
    <x:row r="193">
      <x:c r="A193" s="31" t="inlineStr">
        <x:is>
          <x:t xml:space="preserve">TXN189</x:t>
        </x:is>
      </x:c>
      <x:c r="B193" s="80" t="inlineStr">
        <x:is>
          <x:t xml:space="preserve"/>
        </x:is>
      </x:c>
      <x:c r="C193" s="81" t="str">
        <x:f>IF(B193="","",MAX(1,MIN(24,INT((B193-Assumptions!$B$7)/7)+1)))</x:f>
      </x:c>
      <x:c r="D193" s="75" t="inlineStr">
        <x:is>
          <x:t xml:space="preserve"/>
        </x:is>
      </x:c>
      <x:c r="E193" s="75" t="inlineStr">
        <x:is>
          <x:t xml:space="preserve"/>
        </x:is>
      </x:c>
      <x:c r="F193" s="75" t="inlineStr">
        <x:is>
          <x:t xml:space="preserve"/>
        </x:is>
      </x:c>
      <x:c r="G193" s="52" t="n">
        <x:v>0</x:v>
      </x:c>
      <x:c r="H193" s="75" t="inlineStr">
        <x:is>
          <x:t xml:space="preserve"/>
        </x:is>
      </x:c>
      <x:c r="I193" s="75" t="inlineStr">
        <x:is>
          <x:t xml:space="preserve"/>
        </x:is>
      </x:c>
      <x:c r="J193" s="75" t="inlineStr">
        <x:is>
          <x:t xml:space="preserve"/>
        </x:is>
      </x:c>
      <x:c r="K193" s="75" t="inlineStr">
        <x:is>
          <x:t xml:space="preserve">No</x:t>
        </x:is>
      </x:c>
      <x:c r="L193" s="75" t="inlineStr">
        <x:is>
          <x:t xml:space="preserve"/>
        </x:is>
      </x:c>
    </x:row>
    <x:row r="194">
      <x:c r="A194" s="30" t="inlineStr">
        <x:is>
          <x:t xml:space="preserve">TXN190</x:t>
        </x:is>
      </x:c>
      <x:c r="B194" s="82" t="inlineStr">
        <x:is>
          <x:t xml:space="preserve"/>
        </x:is>
      </x:c>
      <x:c r="C194" s="83" t="str">
        <x:f>IF(B194="","",MAX(1,MIN(24,INT((B194-Assumptions!$B$7)/7)+1)))</x:f>
      </x:c>
      <x:c r="D194" s="76" t="inlineStr">
        <x:is>
          <x:t xml:space="preserve"/>
        </x:is>
      </x:c>
      <x:c r="E194" s="76" t="inlineStr">
        <x:is>
          <x:t xml:space="preserve"/>
        </x:is>
      </x:c>
      <x:c r="F194" s="76" t="inlineStr">
        <x:is>
          <x:t xml:space="preserve"/>
        </x:is>
      </x:c>
      <x:c r="G194" s="52" t="n">
        <x:v>0</x:v>
      </x:c>
      <x:c r="H194" s="76" t="inlineStr">
        <x:is>
          <x:t xml:space="preserve"/>
        </x:is>
      </x:c>
      <x:c r="I194" s="76" t="inlineStr">
        <x:is>
          <x:t xml:space="preserve"/>
        </x:is>
      </x:c>
      <x:c r="J194" s="76" t="inlineStr">
        <x:is>
          <x:t xml:space="preserve"/>
        </x:is>
      </x:c>
      <x:c r="K194" s="76" t="inlineStr">
        <x:is>
          <x:t xml:space="preserve">No</x:t>
        </x:is>
      </x:c>
      <x:c r="L194" s="76" t="inlineStr">
        <x:is>
          <x:t xml:space="preserve"/>
        </x:is>
      </x:c>
    </x:row>
    <x:row r="195">
      <x:c r="A195" s="31" t="inlineStr">
        <x:is>
          <x:t xml:space="preserve">TXN191</x:t>
        </x:is>
      </x:c>
      <x:c r="B195" s="80" t="inlineStr">
        <x:is>
          <x:t xml:space="preserve"/>
        </x:is>
      </x:c>
      <x:c r="C195" s="81" t="str">
        <x:f>IF(B195="","",MAX(1,MIN(24,INT((B195-Assumptions!$B$7)/7)+1)))</x:f>
      </x:c>
      <x:c r="D195" s="75" t="inlineStr">
        <x:is>
          <x:t xml:space="preserve"/>
        </x:is>
      </x:c>
      <x:c r="E195" s="75" t="inlineStr">
        <x:is>
          <x:t xml:space="preserve"/>
        </x:is>
      </x:c>
      <x:c r="F195" s="75" t="inlineStr">
        <x:is>
          <x:t xml:space="preserve"/>
        </x:is>
      </x:c>
      <x:c r="G195" s="52" t="n">
        <x:v>0</x:v>
      </x:c>
      <x:c r="H195" s="75" t="inlineStr">
        <x:is>
          <x:t xml:space="preserve"/>
        </x:is>
      </x:c>
      <x:c r="I195" s="75" t="inlineStr">
        <x:is>
          <x:t xml:space="preserve"/>
        </x:is>
      </x:c>
      <x:c r="J195" s="75" t="inlineStr">
        <x:is>
          <x:t xml:space="preserve"/>
        </x:is>
      </x:c>
      <x:c r="K195" s="75" t="inlineStr">
        <x:is>
          <x:t xml:space="preserve">No</x:t>
        </x:is>
      </x:c>
      <x:c r="L195" s="75" t="inlineStr">
        <x:is>
          <x:t xml:space="preserve"/>
        </x:is>
      </x:c>
    </x:row>
    <x:row r="196">
      <x:c r="A196" s="30" t="inlineStr">
        <x:is>
          <x:t xml:space="preserve">TXN192</x:t>
        </x:is>
      </x:c>
      <x:c r="B196" s="82" t="inlineStr">
        <x:is>
          <x:t xml:space="preserve"/>
        </x:is>
      </x:c>
      <x:c r="C196" s="83" t="str">
        <x:f>IF(B196="","",MAX(1,MIN(24,INT((B196-Assumptions!$B$7)/7)+1)))</x:f>
      </x:c>
      <x:c r="D196" s="76" t="inlineStr">
        <x:is>
          <x:t xml:space="preserve"/>
        </x:is>
      </x:c>
      <x:c r="E196" s="76" t="inlineStr">
        <x:is>
          <x:t xml:space="preserve"/>
        </x:is>
      </x:c>
      <x:c r="F196" s="76" t="inlineStr">
        <x:is>
          <x:t xml:space="preserve"/>
        </x:is>
      </x:c>
      <x:c r="G196" s="52" t="n">
        <x:v>0</x:v>
      </x:c>
      <x:c r="H196" s="76" t="inlineStr">
        <x:is>
          <x:t xml:space="preserve"/>
        </x:is>
      </x:c>
      <x:c r="I196" s="76" t="inlineStr">
        <x:is>
          <x:t xml:space="preserve"/>
        </x:is>
      </x:c>
      <x:c r="J196" s="76" t="inlineStr">
        <x:is>
          <x:t xml:space="preserve"/>
        </x:is>
      </x:c>
      <x:c r="K196" s="76" t="inlineStr">
        <x:is>
          <x:t xml:space="preserve">No</x:t>
        </x:is>
      </x:c>
      <x:c r="L196" s="76" t="inlineStr">
        <x:is>
          <x:t xml:space="preserve"/>
        </x:is>
      </x:c>
    </x:row>
    <x:row r="197">
      <x:c r="A197" s="31" t="inlineStr">
        <x:is>
          <x:t xml:space="preserve">TXN193</x:t>
        </x:is>
      </x:c>
      <x:c r="B197" s="80" t="inlineStr">
        <x:is>
          <x:t xml:space="preserve"/>
        </x:is>
      </x:c>
      <x:c r="C197" s="81" t="str">
        <x:f>IF(B197="","",MAX(1,MIN(24,INT((B197-Assumptions!$B$7)/7)+1)))</x:f>
      </x:c>
      <x:c r="D197" s="75" t="inlineStr">
        <x:is>
          <x:t xml:space="preserve"/>
        </x:is>
      </x:c>
      <x:c r="E197" s="75" t="inlineStr">
        <x:is>
          <x:t xml:space="preserve"/>
        </x:is>
      </x:c>
      <x:c r="F197" s="75" t="inlineStr">
        <x:is>
          <x:t xml:space="preserve"/>
        </x:is>
      </x:c>
      <x:c r="G197" s="52" t="n">
        <x:v>0</x:v>
      </x:c>
      <x:c r="H197" s="75" t="inlineStr">
        <x:is>
          <x:t xml:space="preserve"/>
        </x:is>
      </x:c>
      <x:c r="I197" s="75" t="inlineStr">
        <x:is>
          <x:t xml:space="preserve"/>
        </x:is>
      </x:c>
      <x:c r="J197" s="75" t="inlineStr">
        <x:is>
          <x:t xml:space="preserve"/>
        </x:is>
      </x:c>
      <x:c r="K197" s="75" t="inlineStr">
        <x:is>
          <x:t xml:space="preserve">No</x:t>
        </x:is>
      </x:c>
      <x:c r="L197" s="75" t="inlineStr">
        <x:is>
          <x:t xml:space="preserve"/>
        </x:is>
      </x:c>
    </x:row>
    <x:row r="198">
      <x:c r="A198" s="30" t="inlineStr">
        <x:is>
          <x:t xml:space="preserve">TXN194</x:t>
        </x:is>
      </x:c>
      <x:c r="B198" s="82" t="inlineStr">
        <x:is>
          <x:t xml:space="preserve"/>
        </x:is>
      </x:c>
      <x:c r="C198" s="83" t="str">
        <x:f>IF(B198="","",MAX(1,MIN(24,INT((B198-Assumptions!$B$7)/7)+1)))</x:f>
      </x:c>
      <x:c r="D198" s="76" t="inlineStr">
        <x:is>
          <x:t xml:space="preserve"/>
        </x:is>
      </x:c>
      <x:c r="E198" s="76" t="inlineStr">
        <x:is>
          <x:t xml:space="preserve"/>
        </x:is>
      </x:c>
      <x:c r="F198" s="76" t="inlineStr">
        <x:is>
          <x:t xml:space="preserve"/>
        </x:is>
      </x:c>
      <x:c r="G198" s="52" t="n">
        <x:v>0</x:v>
      </x:c>
      <x:c r="H198" s="76" t="inlineStr">
        <x:is>
          <x:t xml:space="preserve"/>
        </x:is>
      </x:c>
      <x:c r="I198" s="76" t="inlineStr">
        <x:is>
          <x:t xml:space="preserve"/>
        </x:is>
      </x:c>
      <x:c r="J198" s="76" t="inlineStr">
        <x:is>
          <x:t xml:space="preserve"/>
        </x:is>
      </x:c>
      <x:c r="K198" s="76" t="inlineStr">
        <x:is>
          <x:t xml:space="preserve">No</x:t>
        </x:is>
      </x:c>
      <x:c r="L198" s="76" t="inlineStr">
        <x:is>
          <x:t xml:space="preserve"/>
        </x:is>
      </x:c>
    </x:row>
    <x:row r="199">
      <x:c r="A199" s="31" t="inlineStr">
        <x:is>
          <x:t xml:space="preserve">TXN195</x:t>
        </x:is>
      </x:c>
      <x:c r="B199" s="80" t="inlineStr">
        <x:is>
          <x:t xml:space="preserve"/>
        </x:is>
      </x:c>
      <x:c r="C199" s="81" t="str">
        <x:f>IF(B199="","",MAX(1,MIN(24,INT((B199-Assumptions!$B$7)/7)+1)))</x:f>
      </x:c>
      <x:c r="D199" s="75" t="inlineStr">
        <x:is>
          <x:t xml:space="preserve"/>
        </x:is>
      </x:c>
      <x:c r="E199" s="75" t="inlineStr">
        <x:is>
          <x:t xml:space="preserve"/>
        </x:is>
      </x:c>
      <x:c r="F199" s="75" t="inlineStr">
        <x:is>
          <x:t xml:space="preserve"/>
        </x:is>
      </x:c>
      <x:c r="G199" s="52" t="n">
        <x:v>0</x:v>
      </x:c>
      <x:c r="H199" s="75" t="inlineStr">
        <x:is>
          <x:t xml:space="preserve"/>
        </x:is>
      </x:c>
      <x:c r="I199" s="75" t="inlineStr">
        <x:is>
          <x:t xml:space="preserve"/>
        </x:is>
      </x:c>
      <x:c r="J199" s="75" t="inlineStr">
        <x:is>
          <x:t xml:space="preserve"/>
        </x:is>
      </x:c>
      <x:c r="K199" s="75" t="inlineStr">
        <x:is>
          <x:t xml:space="preserve">No</x:t>
        </x:is>
      </x:c>
      <x:c r="L199" s="75" t="inlineStr">
        <x:is>
          <x:t xml:space="preserve"/>
        </x:is>
      </x:c>
    </x:row>
    <x:row r="200">
      <x:c r="A200" s="30" t="inlineStr">
        <x:is>
          <x:t xml:space="preserve">TXN196</x:t>
        </x:is>
      </x:c>
      <x:c r="B200" s="82" t="inlineStr">
        <x:is>
          <x:t xml:space="preserve"/>
        </x:is>
      </x:c>
      <x:c r="C200" s="83" t="str">
        <x:f>IF(B200="","",MAX(1,MIN(24,INT((B200-Assumptions!$B$7)/7)+1)))</x:f>
      </x:c>
      <x:c r="D200" s="76" t="inlineStr">
        <x:is>
          <x:t xml:space="preserve"/>
        </x:is>
      </x:c>
      <x:c r="E200" s="76" t="inlineStr">
        <x:is>
          <x:t xml:space="preserve"/>
        </x:is>
      </x:c>
      <x:c r="F200" s="76" t="inlineStr">
        <x:is>
          <x:t xml:space="preserve"/>
        </x:is>
      </x:c>
      <x:c r="G200" s="52" t="n">
        <x:v>0</x:v>
      </x:c>
      <x:c r="H200" s="76" t="inlineStr">
        <x:is>
          <x:t xml:space="preserve"/>
        </x:is>
      </x:c>
      <x:c r="I200" s="76" t="inlineStr">
        <x:is>
          <x:t xml:space="preserve"/>
        </x:is>
      </x:c>
      <x:c r="J200" s="76" t="inlineStr">
        <x:is>
          <x:t xml:space="preserve"/>
        </x:is>
      </x:c>
      <x:c r="K200" s="76" t="inlineStr">
        <x:is>
          <x:t xml:space="preserve">No</x:t>
        </x:is>
      </x:c>
      <x:c r="L200" s="76" t="inlineStr">
        <x:is>
          <x:t xml:space="preserve"/>
        </x:is>
      </x:c>
    </x:row>
    <x:row r="201">
      <x:c r="A201" s="31" t="inlineStr">
        <x:is>
          <x:t xml:space="preserve">TXN197</x:t>
        </x:is>
      </x:c>
      <x:c r="B201" s="80" t="inlineStr">
        <x:is>
          <x:t xml:space="preserve"/>
        </x:is>
      </x:c>
      <x:c r="C201" s="81" t="str">
        <x:f>IF(B201="","",MAX(1,MIN(24,INT((B201-Assumptions!$B$7)/7)+1)))</x:f>
      </x:c>
      <x:c r="D201" s="75" t="inlineStr">
        <x:is>
          <x:t xml:space="preserve"/>
        </x:is>
      </x:c>
      <x:c r="E201" s="75" t="inlineStr">
        <x:is>
          <x:t xml:space="preserve"/>
        </x:is>
      </x:c>
      <x:c r="F201" s="75" t="inlineStr">
        <x:is>
          <x:t xml:space="preserve"/>
        </x:is>
      </x:c>
      <x:c r="G201" s="52" t="n">
        <x:v>0</x:v>
      </x:c>
      <x:c r="H201" s="75" t="inlineStr">
        <x:is>
          <x:t xml:space="preserve"/>
        </x:is>
      </x:c>
      <x:c r="I201" s="75" t="inlineStr">
        <x:is>
          <x:t xml:space="preserve"/>
        </x:is>
      </x:c>
      <x:c r="J201" s="75" t="inlineStr">
        <x:is>
          <x:t xml:space="preserve"/>
        </x:is>
      </x:c>
      <x:c r="K201" s="75" t="inlineStr">
        <x:is>
          <x:t xml:space="preserve">No</x:t>
        </x:is>
      </x:c>
      <x:c r="L201" s="75" t="inlineStr">
        <x:is>
          <x:t xml:space="preserve"/>
        </x:is>
      </x:c>
    </x:row>
    <x:row r="202">
      <x:c r="A202" s="30" t="inlineStr">
        <x:is>
          <x:t xml:space="preserve">TXN198</x:t>
        </x:is>
      </x:c>
      <x:c r="B202" s="82" t="inlineStr">
        <x:is>
          <x:t xml:space="preserve"/>
        </x:is>
      </x:c>
      <x:c r="C202" s="83" t="str">
        <x:f>IF(B202="","",MAX(1,MIN(24,INT((B202-Assumptions!$B$7)/7)+1)))</x:f>
      </x:c>
      <x:c r="D202" s="76" t="inlineStr">
        <x:is>
          <x:t xml:space="preserve"/>
        </x:is>
      </x:c>
      <x:c r="E202" s="76" t="inlineStr">
        <x:is>
          <x:t xml:space="preserve"/>
        </x:is>
      </x:c>
      <x:c r="F202" s="76" t="inlineStr">
        <x:is>
          <x:t xml:space="preserve"/>
        </x:is>
      </x:c>
      <x:c r="G202" s="52" t="n">
        <x:v>0</x:v>
      </x:c>
      <x:c r="H202" s="76" t="inlineStr">
        <x:is>
          <x:t xml:space="preserve"/>
        </x:is>
      </x:c>
      <x:c r="I202" s="76" t="inlineStr">
        <x:is>
          <x:t xml:space="preserve"/>
        </x:is>
      </x:c>
      <x:c r="J202" s="76" t="inlineStr">
        <x:is>
          <x:t xml:space="preserve"/>
        </x:is>
      </x:c>
      <x:c r="K202" s="76" t="inlineStr">
        <x:is>
          <x:t xml:space="preserve">No</x:t>
        </x:is>
      </x:c>
      <x:c r="L202" s="76" t="inlineStr">
        <x:is>
          <x:t xml:space="preserve"/>
        </x:is>
      </x:c>
    </x:row>
    <x:row r="203">
      <x:c r="A203" s="31" t="inlineStr">
        <x:is>
          <x:t xml:space="preserve">TXN199</x:t>
        </x:is>
      </x:c>
      <x:c r="B203" s="80" t="inlineStr">
        <x:is>
          <x:t xml:space="preserve"/>
        </x:is>
      </x:c>
      <x:c r="C203" s="81" t="str">
        <x:f>IF(B203="","",MAX(1,MIN(24,INT((B203-Assumptions!$B$7)/7)+1)))</x:f>
      </x:c>
      <x:c r="D203" s="75" t="inlineStr">
        <x:is>
          <x:t xml:space="preserve"/>
        </x:is>
      </x:c>
      <x:c r="E203" s="75" t="inlineStr">
        <x:is>
          <x:t xml:space="preserve"/>
        </x:is>
      </x:c>
      <x:c r="F203" s="75" t="inlineStr">
        <x:is>
          <x:t xml:space="preserve"/>
        </x:is>
      </x:c>
      <x:c r="G203" s="52" t="n">
        <x:v>0</x:v>
      </x:c>
      <x:c r="H203" s="75" t="inlineStr">
        <x:is>
          <x:t xml:space="preserve"/>
        </x:is>
      </x:c>
      <x:c r="I203" s="75" t="inlineStr">
        <x:is>
          <x:t xml:space="preserve"/>
        </x:is>
      </x:c>
      <x:c r="J203" s="75" t="inlineStr">
        <x:is>
          <x:t xml:space="preserve"/>
        </x:is>
      </x:c>
      <x:c r="K203" s="75" t="inlineStr">
        <x:is>
          <x:t xml:space="preserve">No</x:t>
        </x:is>
      </x:c>
      <x:c r="L203" s="75" t="inlineStr">
        <x:is>
          <x:t xml:space="preserve"/>
        </x:is>
      </x:c>
    </x:row>
    <x:row r="204">
      <x:c r="A204" s="30" t="inlineStr">
        <x:is>
          <x:t xml:space="preserve">TXN200</x:t>
        </x:is>
      </x:c>
      <x:c r="B204" s="82" t="inlineStr">
        <x:is>
          <x:t xml:space="preserve"/>
        </x:is>
      </x:c>
      <x:c r="C204" s="83" t="str">
        <x:f>IF(B204="","",MAX(1,MIN(24,INT((B204-Assumptions!$B$7)/7)+1)))</x:f>
      </x:c>
      <x:c r="D204" s="76" t="inlineStr">
        <x:is>
          <x:t xml:space="preserve"/>
        </x:is>
      </x:c>
      <x:c r="E204" s="76" t="inlineStr">
        <x:is>
          <x:t xml:space="preserve"/>
        </x:is>
      </x:c>
      <x:c r="F204" s="76" t="inlineStr">
        <x:is>
          <x:t xml:space="preserve"/>
        </x:is>
      </x:c>
      <x:c r="G204" s="52" t="n">
        <x:v>0</x:v>
      </x:c>
      <x:c r="H204" s="76" t="inlineStr">
        <x:is>
          <x:t xml:space="preserve"/>
        </x:is>
      </x:c>
      <x:c r="I204" s="76" t="inlineStr">
        <x:is>
          <x:t xml:space="preserve"/>
        </x:is>
      </x:c>
      <x:c r="J204" s="76" t="inlineStr">
        <x:is>
          <x:t xml:space="preserve"/>
        </x:is>
      </x:c>
      <x:c r="K204" s="76" t="inlineStr">
        <x:is>
          <x:t xml:space="preserve">No</x:t>
        </x:is>
      </x:c>
      <x:c r="L204" s="76" t="inlineStr">
        <x:is>
          <x:t xml:space="preserve"/>
        </x:is>
      </x:c>
    </x:row>
  </x:sheetData>
  <x:mergeCells>
    <x:mergeCell ref="A2:L2"/>
    <x:mergeCell ref="A1:L1"/>
  </x:mergeCells>
  <x:dataValidations count="4">
    <x:dataValidation type="list" allowBlank="1" showDropDown="0" showInputMessage="0" showErrorMessage="0" errorTitle="Invalid value" error="Choose a value from the dropdown." sqref="D5:D204">
      <x:formula1>"Founder Funding,Subscription Payout,Other Revenue,Expense,Reserve Transfer,Refund In,Refund Out"</x:formula1>
    </x:dataValidation>
    <x:dataValidation type="list" allowBlank="1" showDropDown="0" showInputMessage="0" showErrorMessage="0" errorTitle="Invalid value" error="Choose a value from the dropdown." sqref="E5:E204">
      <x:formula1>"Hosting,Fuel,Parking/Tolls,Product/Data,Content,Admin/Support,Ads,Creator,Contractor,Compliance,Tax,Refund,Other"</x:formula1>
    </x:dataValidation>
    <x:dataValidation type="list" allowBlank="1" showDropDown="0" showInputMessage="0" showErrorMessage="0" errorTitle="Invalid value" error="Choose a value from the dropdown." sqref="H5:H204">
      <x:formula1>"M-PESA,Card,Bank,Cash,Store Payout,Other"</x:formula1>
    </x:dataValidation>
    <x:dataValidation type="list" allowBlank="1" showDropDown="0" showInputMessage="0" showErrorMessage="0" errorTitle="Invalid value" error="Choose a value from the dropdown." sqref="K5:K204">
      <x:formula1>"Yes,No,Pending"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79a34a616947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14" customWidth="1"/>
    <x:col min="3" max="3" width="13" customWidth="1"/>
    <x:col min="4" max="4" width="12" customWidth="1"/>
    <x:col min="5" max="5" width="10" customWidth="1"/>
    <x:col min="6" max="6" width="10" customWidth="1"/>
    <x:col min="7" max="7" width="12" customWidth="1"/>
    <x:col min="8" max="8" width="13" customWidth="1"/>
    <x:col min="9" max="9" width="15" customWidth="1"/>
    <x:col min="10" max="10" width="18" customWidth="1"/>
    <x:col min="11" max="11" width="12" customWidth="1"/>
    <x:col min="12" max="12" width="18" customWidth="1"/>
    <x:col min="13" max="13" width="16" customWidth="1"/>
    <x:col min="14" max="14" width="14" customWidth="1"/>
    <x:col min="15" max="15" width="14" customWidth="1"/>
    <x:col min="16" max="16" width="16" customWidth="1"/>
    <x:col min="17" max="17" width="13" customWidth="1"/>
    <x:col min="18" max="18" width="11" customWidth="1"/>
    <x:col min="19" max="19" width="38" customWidth="1"/>
  </x:cols>
  <x:sheetData>
    <x:row r="1" ht="30" customHeight="1">
      <x:c r="A1" s="26" t="inlineStr">
        <x:is>
          <x:t xml:space="preserve">REVENUE &amp; SUBSCRIPTIONS</x:t>
        </x:is>
      </x:c>
    </x:row>
    <x:row r="2" ht="34" customHeight="1">
      <x:c r="A2" s="27" t="inlineStr">
        <x:is>
          <x:t xml:space="preserve">Enter weekly store and subscription results. Separate accrued sales from cash actually received so the cash plan is not misled by payout timing.</x:t>
        </x:is>
      </x:c>
    </x:row>
    <x:row r="3"/>
    <x:row r="4" ht="38" customHeight="1">
      <x:c r="A4" s="84" t="inlineStr">
        <x:is>
          <x:t xml:space="preserve">Week</x:t>
        </x:is>
      </x:c>
      <x:c r="B4" s="84" t="inlineStr">
        <x:is>
          <x:t xml:space="preserve">Week Starting</x:t>
        </x:is>
      </x:c>
      <x:c r="C4" s="84" t="inlineStr">
        <x:is>
          <x:t xml:space="preserve">New Downloads</x:t>
        </x:is>
      </x:c>
      <x:c r="D4" s="84" t="inlineStr">
        <x:is>
          <x:t xml:space="preserve">Trials Started</x:t>
        </x:is>
      </x:c>
      <x:c r="E4" s="84" t="inlineStr">
        <x:is>
          <x:t xml:space="preserve">New Paid</x:t>
        </x:is>
      </x:c>
      <x:c r="F4" s="84" t="inlineStr">
        <x:is>
          <x:t xml:space="preserve">Renewals</x:t>
        </x:is>
      </x:c>
      <x:c r="G4" s="84" t="inlineStr">
        <x:is>
          <x:t xml:space="preserve">Cancellations</x:t>
        </x:is>
      </x:c>
      <x:c r="H4" s="84" t="inlineStr">
        <x:is>
          <x:t xml:space="preserve">Active Paid End</x:t>
        </x:is>
      </x:c>
      <x:c r="I4" s="84" t="inlineStr">
        <x:is>
          <x:t xml:space="preserve">Gross Sales KES</x:t>
        </x:is>
      </x:c>
      <x:c r="J4" s="84" t="inlineStr">
        <x:is>
          <x:t xml:space="preserve">Store/Processor Fees KES</x:t>
        </x:is>
      </x:c>
      <x:c r="K4" s="84" t="inlineStr">
        <x:is>
          <x:t xml:space="preserve">Refunds KES</x:t>
        </x:is>
      </x:c>
      <x:c r="L4" s="84" t="inlineStr">
        <x:is>
          <x:t xml:space="preserve">Net Accrued Revenue KES</x:t>
        </x:is>
      </x:c>
      <x:c r="M4" s="84" t="inlineStr">
        <x:is>
          <x:t xml:space="preserve">Cash Received KES</x:t>
        </x:is>
      </x:c>
      <x:c r="N4" s="84" t="inlineStr">
        <x:is>
          <x:t xml:space="preserve">MRR KES</x:t>
        </x:is>
      </x:c>
      <x:c r="O4" s="84" t="inlineStr">
        <x:is>
          <x:t xml:space="preserve">Trial-to-Paid %</x:t>
        </x:is>
      </x:c>
      <x:c r="P4" s="84" t="inlineStr">
        <x:is>
          <x:t xml:space="preserve">Download-to-Paid %</x:t>
        </x:is>
      </x:c>
      <x:c r="Q4" s="84" t="inlineStr">
        <x:is>
          <x:t xml:space="preserve">Gross ARPPU</x:t>
        </x:is>
      </x:c>
      <x:c r="R4" s="84" t="inlineStr">
        <x:is>
          <x:t xml:space="preserve">Churn %</x:t>
        </x:is>
      </x:c>
      <x:c r="S4" s="84" t="inlineStr">
        <x:is>
          <x:t xml:space="preserve">Notes</x:t>
        </x:is>
      </x:c>
    </x:row>
    <x:row r="5">
      <x:c r="A5" s="31" t="n">
        <x:v>1</x:v>
      </x:c>
      <x:c r="B5" s="78" t="n">
        <x:v>46248</x:v>
      </x:c>
      <x:c r="C5" s="58" t="n">
        <x:v>0</x:v>
      </x:c>
      <x:c r="D5" s="58" t="n">
        <x:v>0</x:v>
      </x:c>
      <x:c r="E5" s="58" t="n">
        <x:v>0</x:v>
      </x:c>
      <x:c r="F5" s="58" t="n">
        <x:v>0</x:v>
      </x:c>
      <x:c r="G5" s="58" t="n">
        <x:v>0</x:v>
      </x:c>
      <x:c r="H5" s="85" t="n">
        <x:f>MAX(0,Assumptions!$B$38+E5-G5)</x:f>
        <x:v>0</x:v>
      </x:c>
      <x:c r="I5" s="52" t="n">
        <x:v>0</x:v>
      </x:c>
      <x:c r="J5" s="52" t="n">
        <x:v>0</x:v>
      </x:c>
      <x:c r="K5" s="52" t="n">
        <x:v>0</x:v>
      </x:c>
      <x:c r="L5" s="47" t="n">
        <x:f>I5-J5-K5</x:f>
        <x:v>0</x:v>
      </x:c>
      <x:c r="M5" s="52" t="n">
        <x:v>0</x:v>
      </x:c>
      <x:c r="N5" s="47" t="n">
        <x:f>IF(Assumptions!$B$41=0,Assumptions!$B$39,H5*Assumptions!$B$41)</x:f>
        <x:v>0</x:v>
      </x:c>
      <x:c r="O5" s="86" t="n">
        <x:f>IF(D5=0,0,E5/D5)</x:f>
        <x:v>0</x:v>
      </x:c>
      <x:c r="P5" s="86" t="n">
        <x:f>IF(C5=0,0,E5/C5)</x:f>
        <x:v>0</x:v>
      </x:c>
      <x:c r="Q5" s="47" t="n">
        <x:f>IF(E5+F5=0,0,I5/(E5+F5))</x:f>
        <x:v>0</x:v>
      </x:c>
      <x:c r="R5" s="86" t="n">
        <x:f>IF(Assumptions!$B$38=0,0,G5/Assumptions!$B$38)</x:f>
        <x:v>0</x:v>
      </x:c>
      <x:c r="S5" s="75" t="inlineStr">
        <x:is>
          <x:t xml:space="preserve"/>
        </x:is>
      </x:c>
    </x:row>
    <x:row r="6">
      <x:c r="A6" s="30" t="n">
        <x:v>2</x:v>
      </x:c>
      <x:c r="B6" s="79" t="n">
        <x:v>46255</x:v>
      </x:c>
      <x:c r="C6" s="58" t="n">
        <x:v>0</x:v>
      </x:c>
      <x:c r="D6" s="58" t="n">
        <x:v>0</x:v>
      </x:c>
      <x:c r="E6" s="58" t="n">
        <x:v>0</x:v>
      </x:c>
      <x:c r="F6" s="58" t="n">
        <x:v>0</x:v>
      </x:c>
      <x:c r="G6" s="58" t="n">
        <x:v>0</x:v>
      </x:c>
      <x:c r="H6" s="87" t="n">
        <x:f>MAX(0,H5+E6-G6)</x:f>
        <x:v>0</x:v>
      </x:c>
      <x:c r="I6" s="52" t="n">
        <x:v>0</x:v>
      </x:c>
      <x:c r="J6" s="52" t="n">
        <x:v>0</x:v>
      </x:c>
      <x:c r="K6" s="52" t="n">
        <x:v>0</x:v>
      </x:c>
      <x:c r="L6" s="45" t="n">
        <x:f>I6-J6-K6</x:f>
        <x:v>0</x:v>
      </x:c>
      <x:c r="M6" s="52" t="n">
        <x:v>0</x:v>
      </x:c>
      <x:c r="N6" s="45" t="n">
        <x:f>IF(Assumptions!$B$41=0,Assumptions!$B$39,H6*Assumptions!$B$41)</x:f>
        <x:v>0</x:v>
      </x:c>
      <x:c r="O6" s="88" t="n">
        <x:f>IF(D6=0,0,E6/D6)</x:f>
        <x:v>0</x:v>
      </x:c>
      <x:c r="P6" s="88" t="n">
        <x:f>IF(C6=0,0,E6/C6)</x:f>
        <x:v>0</x:v>
      </x:c>
      <x:c r="Q6" s="45" t="n">
        <x:f>IF(E6+F6=0,0,I6/(E6+F6))</x:f>
        <x:v>0</x:v>
      </x:c>
      <x:c r="R6" s="88" t="n">
        <x:f>IF(H5=0,0,G6/H5)</x:f>
        <x:v>0</x:v>
      </x:c>
      <x:c r="S6" s="76" t="inlineStr">
        <x:is>
          <x:t xml:space="preserve"/>
        </x:is>
      </x:c>
    </x:row>
    <x:row r="7">
      <x:c r="A7" s="31" t="n">
        <x:v>3</x:v>
      </x:c>
      <x:c r="B7" s="78" t="n">
        <x:v>46262</x:v>
      </x:c>
      <x:c r="C7" s="58" t="n">
        <x:v>0</x:v>
      </x:c>
      <x:c r="D7" s="58" t="n">
        <x:v>0</x:v>
      </x:c>
      <x:c r="E7" s="58" t="n">
        <x:v>0</x:v>
      </x:c>
      <x:c r="F7" s="58" t="n">
        <x:v>0</x:v>
      </x:c>
      <x:c r="G7" s="58" t="n">
        <x:v>0</x:v>
      </x:c>
      <x:c r="H7" s="85" t="n">
        <x:f>MAX(0,H6+E7-G7)</x:f>
        <x:v>0</x:v>
      </x:c>
      <x:c r="I7" s="52" t="n">
        <x:v>0</x:v>
      </x:c>
      <x:c r="J7" s="52" t="n">
        <x:v>0</x:v>
      </x:c>
      <x:c r="K7" s="52" t="n">
        <x:v>0</x:v>
      </x:c>
      <x:c r="L7" s="47" t="n">
        <x:f>I7-J7-K7</x:f>
        <x:v>0</x:v>
      </x:c>
      <x:c r="M7" s="52" t="n">
        <x:v>0</x:v>
      </x:c>
      <x:c r="N7" s="47" t="n">
        <x:f>IF(Assumptions!$B$41=0,Assumptions!$B$39,H7*Assumptions!$B$41)</x:f>
        <x:v>0</x:v>
      </x:c>
      <x:c r="O7" s="86" t="n">
        <x:f>IF(D7=0,0,E7/D7)</x:f>
        <x:v>0</x:v>
      </x:c>
      <x:c r="P7" s="86" t="n">
        <x:f>IF(C7=0,0,E7/C7)</x:f>
        <x:v>0</x:v>
      </x:c>
      <x:c r="Q7" s="47" t="n">
        <x:f>IF(E7+F7=0,0,I7/(E7+F7))</x:f>
        <x:v>0</x:v>
      </x:c>
      <x:c r="R7" s="86" t="n">
        <x:f>IF(H6=0,0,G7/H6)</x:f>
        <x:v>0</x:v>
      </x:c>
      <x:c r="S7" s="75" t="inlineStr">
        <x:is>
          <x:t xml:space="preserve"/>
        </x:is>
      </x:c>
    </x:row>
    <x:row r="8">
      <x:c r="A8" s="30" t="n">
        <x:v>4</x:v>
      </x:c>
      <x:c r="B8" s="79" t="n">
        <x:v>46269</x:v>
      </x:c>
      <x:c r="C8" s="58" t="n">
        <x:v>0</x:v>
      </x:c>
      <x:c r="D8" s="58" t="n">
        <x:v>0</x:v>
      </x:c>
      <x:c r="E8" s="58" t="n">
        <x:v>0</x:v>
      </x:c>
      <x:c r="F8" s="58" t="n">
        <x:v>0</x:v>
      </x:c>
      <x:c r="G8" s="58" t="n">
        <x:v>0</x:v>
      </x:c>
      <x:c r="H8" s="87" t="n">
        <x:f>MAX(0,H7+E8-G8)</x:f>
        <x:v>0</x:v>
      </x:c>
      <x:c r="I8" s="52" t="n">
        <x:v>0</x:v>
      </x:c>
      <x:c r="J8" s="52" t="n">
        <x:v>0</x:v>
      </x:c>
      <x:c r="K8" s="52" t="n">
        <x:v>0</x:v>
      </x:c>
      <x:c r="L8" s="45" t="n">
        <x:f>I8-J8-K8</x:f>
        <x:v>0</x:v>
      </x:c>
      <x:c r="M8" s="52" t="n">
        <x:v>0</x:v>
      </x:c>
      <x:c r="N8" s="45" t="n">
        <x:f>IF(Assumptions!$B$41=0,Assumptions!$B$39,H8*Assumptions!$B$41)</x:f>
        <x:v>0</x:v>
      </x:c>
      <x:c r="O8" s="88" t="n">
        <x:f>IF(D8=0,0,E8/D8)</x:f>
        <x:v>0</x:v>
      </x:c>
      <x:c r="P8" s="88" t="n">
        <x:f>IF(C8=0,0,E8/C8)</x:f>
        <x:v>0</x:v>
      </x:c>
      <x:c r="Q8" s="45" t="n">
        <x:f>IF(E8+F8=0,0,I8/(E8+F8))</x:f>
        <x:v>0</x:v>
      </x:c>
      <x:c r="R8" s="88" t="n">
        <x:f>IF(H7=0,0,G8/H7)</x:f>
        <x:v>0</x:v>
      </x:c>
      <x:c r="S8" s="76" t="inlineStr">
        <x:is>
          <x:t xml:space="preserve"/>
        </x:is>
      </x:c>
    </x:row>
    <x:row r="9">
      <x:c r="A9" s="31" t="n">
        <x:v>5</x:v>
      </x:c>
      <x:c r="B9" s="78" t="n">
        <x:v>46276</x:v>
      </x:c>
      <x:c r="C9" s="58" t="n">
        <x:v>0</x:v>
      </x:c>
      <x:c r="D9" s="58" t="n">
        <x:v>0</x:v>
      </x:c>
      <x:c r="E9" s="58" t="n">
        <x:v>0</x:v>
      </x:c>
      <x:c r="F9" s="58" t="n">
        <x:v>0</x:v>
      </x:c>
      <x:c r="G9" s="58" t="n">
        <x:v>0</x:v>
      </x:c>
      <x:c r="H9" s="85" t="n">
        <x:f>MAX(0,H8+E9-G9)</x:f>
        <x:v>0</x:v>
      </x:c>
      <x:c r="I9" s="52" t="n">
        <x:v>0</x:v>
      </x:c>
      <x:c r="J9" s="52" t="n">
        <x:v>0</x:v>
      </x:c>
      <x:c r="K9" s="52" t="n">
        <x:v>0</x:v>
      </x:c>
      <x:c r="L9" s="47" t="n">
        <x:f>I9-J9-K9</x:f>
        <x:v>0</x:v>
      </x:c>
      <x:c r="M9" s="52" t="n">
        <x:v>0</x:v>
      </x:c>
      <x:c r="N9" s="47" t="n">
        <x:f>IF(Assumptions!$B$41=0,Assumptions!$B$39,H9*Assumptions!$B$41)</x:f>
        <x:v>0</x:v>
      </x:c>
      <x:c r="O9" s="86" t="n">
        <x:f>IF(D9=0,0,E9/D9)</x:f>
        <x:v>0</x:v>
      </x:c>
      <x:c r="P9" s="86" t="n">
        <x:f>IF(C9=0,0,E9/C9)</x:f>
        <x:v>0</x:v>
      </x:c>
      <x:c r="Q9" s="47" t="n">
        <x:f>IF(E9+F9=0,0,I9/(E9+F9))</x:f>
        <x:v>0</x:v>
      </x:c>
      <x:c r="R9" s="86" t="n">
        <x:f>IF(H8=0,0,G9/H8)</x:f>
        <x:v>0</x:v>
      </x:c>
      <x:c r="S9" s="75" t="inlineStr">
        <x:is>
          <x:t xml:space="preserve"/>
        </x:is>
      </x:c>
    </x:row>
    <x:row r="10">
      <x:c r="A10" s="30" t="n">
        <x:v>6</x:v>
      </x:c>
      <x:c r="B10" s="79" t="n">
        <x:v>46283</x:v>
      </x:c>
      <x:c r="C10" s="58" t="n">
        <x:v>0</x:v>
      </x:c>
      <x:c r="D10" s="58" t="n">
        <x:v>0</x:v>
      </x:c>
      <x:c r="E10" s="58" t="n">
        <x:v>0</x:v>
      </x:c>
      <x:c r="F10" s="58" t="n">
        <x:v>0</x:v>
      </x:c>
      <x:c r="G10" s="58" t="n">
        <x:v>0</x:v>
      </x:c>
      <x:c r="H10" s="87" t="n">
        <x:f>MAX(0,H9+E10-G10)</x:f>
        <x:v>0</x:v>
      </x:c>
      <x:c r="I10" s="52" t="n">
        <x:v>0</x:v>
      </x:c>
      <x:c r="J10" s="52" t="n">
        <x:v>0</x:v>
      </x:c>
      <x:c r="K10" s="52" t="n">
        <x:v>0</x:v>
      </x:c>
      <x:c r="L10" s="45" t="n">
        <x:f>I10-J10-K10</x:f>
        <x:v>0</x:v>
      </x:c>
      <x:c r="M10" s="52" t="n">
        <x:v>0</x:v>
      </x:c>
      <x:c r="N10" s="45" t="n">
        <x:f>IF(Assumptions!$B$41=0,Assumptions!$B$39,H10*Assumptions!$B$41)</x:f>
        <x:v>0</x:v>
      </x:c>
      <x:c r="O10" s="88" t="n">
        <x:f>IF(D10=0,0,E10/D10)</x:f>
        <x:v>0</x:v>
      </x:c>
      <x:c r="P10" s="88" t="n">
        <x:f>IF(C10=0,0,E10/C10)</x:f>
        <x:v>0</x:v>
      </x:c>
      <x:c r="Q10" s="45" t="n">
        <x:f>IF(E10+F10=0,0,I10/(E10+F10))</x:f>
        <x:v>0</x:v>
      </x:c>
      <x:c r="R10" s="88" t="n">
        <x:f>IF(H9=0,0,G10/H9)</x:f>
        <x:v>0</x:v>
      </x:c>
      <x:c r="S10" s="76" t="inlineStr">
        <x:is>
          <x:t xml:space="preserve"/>
        </x:is>
      </x:c>
    </x:row>
    <x:row r="11">
      <x:c r="A11" s="31" t="n">
        <x:v>7</x:v>
      </x:c>
      <x:c r="B11" s="78" t="n">
        <x:v>46290</x:v>
      </x:c>
      <x:c r="C11" s="58" t="n">
        <x:v>0</x:v>
      </x:c>
      <x:c r="D11" s="58" t="n">
        <x:v>0</x:v>
      </x:c>
      <x:c r="E11" s="58" t="n">
        <x:v>0</x:v>
      </x:c>
      <x:c r="F11" s="58" t="n">
        <x:v>0</x:v>
      </x:c>
      <x:c r="G11" s="58" t="n">
        <x:v>0</x:v>
      </x:c>
      <x:c r="H11" s="85" t="n">
        <x:f>MAX(0,H10+E11-G11)</x:f>
        <x:v>0</x:v>
      </x:c>
      <x:c r="I11" s="52" t="n">
        <x:v>0</x:v>
      </x:c>
      <x:c r="J11" s="52" t="n">
        <x:v>0</x:v>
      </x:c>
      <x:c r="K11" s="52" t="n">
        <x:v>0</x:v>
      </x:c>
      <x:c r="L11" s="47" t="n">
        <x:f>I11-J11-K11</x:f>
        <x:v>0</x:v>
      </x:c>
      <x:c r="M11" s="52" t="n">
        <x:v>0</x:v>
      </x:c>
      <x:c r="N11" s="47" t="n">
        <x:f>IF(Assumptions!$B$41=0,Assumptions!$B$39,H11*Assumptions!$B$41)</x:f>
        <x:v>0</x:v>
      </x:c>
      <x:c r="O11" s="86" t="n">
        <x:f>IF(D11=0,0,E11/D11)</x:f>
        <x:v>0</x:v>
      </x:c>
      <x:c r="P11" s="86" t="n">
        <x:f>IF(C11=0,0,E11/C11)</x:f>
        <x:v>0</x:v>
      </x:c>
      <x:c r="Q11" s="47" t="n">
        <x:f>IF(E11+F11=0,0,I11/(E11+F11))</x:f>
        <x:v>0</x:v>
      </x:c>
      <x:c r="R11" s="86" t="n">
        <x:f>IF(H10=0,0,G11/H10)</x:f>
        <x:v>0</x:v>
      </x:c>
      <x:c r="S11" s="75" t="inlineStr">
        <x:is>
          <x:t xml:space="preserve"/>
        </x:is>
      </x:c>
    </x:row>
    <x:row r="12">
      <x:c r="A12" s="30" t="n">
        <x:v>8</x:v>
      </x:c>
      <x:c r="B12" s="79" t="n">
        <x:v>46297</x:v>
      </x:c>
      <x:c r="C12" s="58" t="n">
        <x:v>0</x:v>
      </x:c>
      <x:c r="D12" s="58" t="n">
        <x:v>0</x:v>
      </x:c>
      <x:c r="E12" s="58" t="n">
        <x:v>0</x:v>
      </x:c>
      <x:c r="F12" s="58" t="n">
        <x:v>0</x:v>
      </x:c>
      <x:c r="G12" s="58" t="n">
        <x:v>0</x:v>
      </x:c>
      <x:c r="H12" s="87" t="n">
        <x:f>MAX(0,H11+E12-G12)</x:f>
        <x:v>0</x:v>
      </x:c>
      <x:c r="I12" s="52" t="n">
        <x:v>0</x:v>
      </x:c>
      <x:c r="J12" s="52" t="n">
        <x:v>0</x:v>
      </x:c>
      <x:c r="K12" s="52" t="n">
        <x:v>0</x:v>
      </x:c>
      <x:c r="L12" s="45" t="n">
        <x:f>I12-J12-K12</x:f>
        <x:v>0</x:v>
      </x:c>
      <x:c r="M12" s="52" t="n">
        <x:v>0</x:v>
      </x:c>
      <x:c r="N12" s="45" t="n">
        <x:f>IF(Assumptions!$B$41=0,Assumptions!$B$39,H12*Assumptions!$B$41)</x:f>
        <x:v>0</x:v>
      </x:c>
      <x:c r="O12" s="88" t="n">
        <x:f>IF(D12=0,0,E12/D12)</x:f>
        <x:v>0</x:v>
      </x:c>
      <x:c r="P12" s="88" t="n">
        <x:f>IF(C12=0,0,E12/C12)</x:f>
        <x:v>0</x:v>
      </x:c>
      <x:c r="Q12" s="45" t="n">
        <x:f>IF(E12+F12=0,0,I12/(E12+F12))</x:f>
        <x:v>0</x:v>
      </x:c>
      <x:c r="R12" s="88" t="n">
        <x:f>IF(H11=0,0,G12/H11)</x:f>
        <x:v>0</x:v>
      </x:c>
      <x:c r="S12" s="76" t="inlineStr">
        <x:is>
          <x:t xml:space="preserve"/>
        </x:is>
      </x:c>
    </x:row>
    <x:row r="13">
      <x:c r="A13" s="31" t="n">
        <x:v>9</x:v>
      </x:c>
      <x:c r="B13" s="78" t="n">
        <x:v>46304</x:v>
      </x:c>
      <x:c r="C13" s="58" t="n">
        <x:v>0</x:v>
      </x:c>
      <x:c r="D13" s="58" t="n">
        <x:v>0</x:v>
      </x:c>
      <x:c r="E13" s="58" t="n">
        <x:v>0</x:v>
      </x:c>
      <x:c r="F13" s="58" t="n">
        <x:v>0</x:v>
      </x:c>
      <x:c r="G13" s="58" t="n">
        <x:v>0</x:v>
      </x:c>
      <x:c r="H13" s="85" t="n">
        <x:f>MAX(0,H12+E13-G13)</x:f>
        <x:v>0</x:v>
      </x:c>
      <x:c r="I13" s="52" t="n">
        <x:v>0</x:v>
      </x:c>
      <x:c r="J13" s="52" t="n">
        <x:v>0</x:v>
      </x:c>
      <x:c r="K13" s="52" t="n">
        <x:v>0</x:v>
      </x:c>
      <x:c r="L13" s="47" t="n">
        <x:f>I13-J13-K13</x:f>
        <x:v>0</x:v>
      </x:c>
      <x:c r="M13" s="52" t="n">
        <x:v>0</x:v>
      </x:c>
      <x:c r="N13" s="47" t="n">
        <x:f>IF(Assumptions!$B$41=0,Assumptions!$B$39,H13*Assumptions!$B$41)</x:f>
        <x:v>0</x:v>
      </x:c>
      <x:c r="O13" s="86" t="n">
        <x:f>IF(D13=0,0,E13/D13)</x:f>
        <x:v>0</x:v>
      </x:c>
      <x:c r="P13" s="86" t="n">
        <x:f>IF(C13=0,0,E13/C13)</x:f>
        <x:v>0</x:v>
      </x:c>
      <x:c r="Q13" s="47" t="n">
        <x:f>IF(E13+F13=0,0,I13/(E13+F13))</x:f>
        <x:v>0</x:v>
      </x:c>
      <x:c r="R13" s="86" t="n">
        <x:f>IF(H12=0,0,G13/H12)</x:f>
        <x:v>0</x:v>
      </x:c>
      <x:c r="S13" s="75" t="inlineStr">
        <x:is>
          <x:t xml:space="preserve"/>
        </x:is>
      </x:c>
    </x:row>
    <x:row r="14">
      <x:c r="A14" s="30" t="n">
        <x:v>10</x:v>
      </x:c>
      <x:c r="B14" s="79" t="n">
        <x:v>46311</x:v>
      </x:c>
      <x:c r="C14" s="58" t="n">
        <x:v>0</x:v>
      </x:c>
      <x:c r="D14" s="58" t="n">
        <x:v>0</x:v>
      </x:c>
      <x:c r="E14" s="58" t="n">
        <x:v>0</x:v>
      </x:c>
      <x:c r="F14" s="58" t="n">
        <x:v>0</x:v>
      </x:c>
      <x:c r="G14" s="58" t="n">
        <x:v>0</x:v>
      </x:c>
      <x:c r="H14" s="87" t="n">
        <x:f>MAX(0,H13+E14-G14)</x:f>
        <x:v>0</x:v>
      </x:c>
      <x:c r="I14" s="52" t="n">
        <x:v>0</x:v>
      </x:c>
      <x:c r="J14" s="52" t="n">
        <x:v>0</x:v>
      </x:c>
      <x:c r="K14" s="52" t="n">
        <x:v>0</x:v>
      </x:c>
      <x:c r="L14" s="45" t="n">
        <x:f>I14-J14-K14</x:f>
        <x:v>0</x:v>
      </x:c>
      <x:c r="M14" s="52" t="n">
        <x:v>0</x:v>
      </x:c>
      <x:c r="N14" s="45" t="n">
        <x:f>IF(Assumptions!$B$41=0,Assumptions!$B$39,H14*Assumptions!$B$41)</x:f>
        <x:v>0</x:v>
      </x:c>
      <x:c r="O14" s="88" t="n">
        <x:f>IF(D14=0,0,E14/D14)</x:f>
        <x:v>0</x:v>
      </x:c>
      <x:c r="P14" s="88" t="n">
        <x:f>IF(C14=0,0,E14/C14)</x:f>
        <x:v>0</x:v>
      </x:c>
      <x:c r="Q14" s="45" t="n">
        <x:f>IF(E14+F14=0,0,I14/(E14+F14))</x:f>
        <x:v>0</x:v>
      </x:c>
      <x:c r="R14" s="88" t="n">
        <x:f>IF(H13=0,0,G14/H13)</x:f>
        <x:v>0</x:v>
      </x:c>
      <x:c r="S14" s="76" t="inlineStr">
        <x:is>
          <x:t xml:space="preserve"/>
        </x:is>
      </x:c>
    </x:row>
    <x:row r="15">
      <x:c r="A15" s="31" t="n">
        <x:v>11</x:v>
      </x:c>
      <x:c r="B15" s="78" t="n">
        <x:v>46318</x:v>
      </x:c>
      <x:c r="C15" s="58" t="n">
        <x:v>0</x:v>
      </x:c>
      <x:c r="D15" s="58" t="n">
        <x:v>0</x:v>
      </x:c>
      <x:c r="E15" s="58" t="n">
        <x:v>0</x:v>
      </x:c>
      <x:c r="F15" s="58" t="n">
        <x:v>0</x:v>
      </x:c>
      <x:c r="G15" s="58" t="n">
        <x:v>0</x:v>
      </x:c>
      <x:c r="H15" s="85" t="n">
        <x:f>MAX(0,H14+E15-G15)</x:f>
        <x:v>0</x:v>
      </x:c>
      <x:c r="I15" s="52" t="n">
        <x:v>0</x:v>
      </x:c>
      <x:c r="J15" s="52" t="n">
        <x:v>0</x:v>
      </x:c>
      <x:c r="K15" s="52" t="n">
        <x:v>0</x:v>
      </x:c>
      <x:c r="L15" s="47" t="n">
        <x:f>I15-J15-K15</x:f>
        <x:v>0</x:v>
      </x:c>
      <x:c r="M15" s="52" t="n">
        <x:v>0</x:v>
      </x:c>
      <x:c r="N15" s="47" t="n">
        <x:f>IF(Assumptions!$B$41=0,Assumptions!$B$39,H15*Assumptions!$B$41)</x:f>
        <x:v>0</x:v>
      </x:c>
      <x:c r="O15" s="86" t="n">
        <x:f>IF(D15=0,0,E15/D15)</x:f>
        <x:v>0</x:v>
      </x:c>
      <x:c r="P15" s="86" t="n">
        <x:f>IF(C15=0,0,E15/C15)</x:f>
        <x:v>0</x:v>
      </x:c>
      <x:c r="Q15" s="47" t="n">
        <x:f>IF(E15+F15=0,0,I15/(E15+F15))</x:f>
        <x:v>0</x:v>
      </x:c>
      <x:c r="R15" s="86" t="n">
        <x:f>IF(H14=0,0,G15/H14)</x:f>
        <x:v>0</x:v>
      </x:c>
      <x:c r="S15" s="75" t="inlineStr">
        <x:is>
          <x:t xml:space="preserve"/>
        </x:is>
      </x:c>
    </x:row>
    <x:row r="16">
      <x:c r="A16" s="30" t="n">
        <x:v>12</x:v>
      </x:c>
      <x:c r="B16" s="79" t="n">
        <x:v>46325</x:v>
      </x:c>
      <x:c r="C16" s="58" t="n">
        <x:v>0</x:v>
      </x:c>
      <x:c r="D16" s="58" t="n">
        <x:v>0</x:v>
      </x:c>
      <x:c r="E16" s="58" t="n">
        <x:v>0</x:v>
      </x:c>
      <x:c r="F16" s="58" t="n">
        <x:v>0</x:v>
      </x:c>
      <x:c r="G16" s="58" t="n">
        <x:v>0</x:v>
      </x:c>
      <x:c r="H16" s="87" t="n">
        <x:f>MAX(0,H15+E16-G16)</x:f>
        <x:v>0</x:v>
      </x:c>
      <x:c r="I16" s="52" t="n">
        <x:v>0</x:v>
      </x:c>
      <x:c r="J16" s="52" t="n">
        <x:v>0</x:v>
      </x:c>
      <x:c r="K16" s="52" t="n">
        <x:v>0</x:v>
      </x:c>
      <x:c r="L16" s="45" t="n">
        <x:f>I16-J16-K16</x:f>
        <x:v>0</x:v>
      </x:c>
      <x:c r="M16" s="52" t="n">
        <x:v>0</x:v>
      </x:c>
      <x:c r="N16" s="45" t="n">
        <x:f>IF(Assumptions!$B$41=0,Assumptions!$B$39,H16*Assumptions!$B$41)</x:f>
        <x:v>0</x:v>
      </x:c>
      <x:c r="O16" s="88" t="n">
        <x:f>IF(D16=0,0,E16/D16)</x:f>
        <x:v>0</x:v>
      </x:c>
      <x:c r="P16" s="88" t="n">
        <x:f>IF(C16=0,0,E16/C16)</x:f>
        <x:v>0</x:v>
      </x:c>
      <x:c r="Q16" s="45" t="n">
        <x:f>IF(E16+F16=0,0,I16/(E16+F16))</x:f>
        <x:v>0</x:v>
      </x:c>
      <x:c r="R16" s="88" t="n">
        <x:f>IF(H15=0,0,G16/H15)</x:f>
        <x:v>0</x:v>
      </x:c>
      <x:c r="S16" s="76" t="inlineStr">
        <x:is>
          <x:t xml:space="preserve"/>
        </x:is>
      </x:c>
    </x:row>
    <x:row r="17">
      <x:c r="A17" s="31" t="n">
        <x:v>13</x:v>
      </x:c>
      <x:c r="B17" s="78" t="n">
        <x:v>46332</x:v>
      </x:c>
      <x:c r="C17" s="58" t="n">
        <x:v>0</x:v>
      </x:c>
      <x:c r="D17" s="58" t="n">
        <x:v>0</x:v>
      </x:c>
      <x:c r="E17" s="58" t="n">
        <x:v>0</x:v>
      </x:c>
      <x:c r="F17" s="58" t="n">
        <x:v>0</x:v>
      </x:c>
      <x:c r="G17" s="58" t="n">
        <x:v>0</x:v>
      </x:c>
      <x:c r="H17" s="85" t="n">
        <x:f>MAX(0,H16+E17-G17)</x:f>
        <x:v>0</x:v>
      </x:c>
      <x:c r="I17" s="52" t="n">
        <x:v>0</x:v>
      </x:c>
      <x:c r="J17" s="52" t="n">
        <x:v>0</x:v>
      </x:c>
      <x:c r="K17" s="52" t="n">
        <x:v>0</x:v>
      </x:c>
      <x:c r="L17" s="47" t="n">
        <x:f>I17-J17-K17</x:f>
        <x:v>0</x:v>
      </x:c>
      <x:c r="M17" s="52" t="n">
        <x:v>0</x:v>
      </x:c>
      <x:c r="N17" s="47" t="n">
        <x:f>IF(Assumptions!$B$41=0,Assumptions!$B$39,H17*Assumptions!$B$41)</x:f>
        <x:v>0</x:v>
      </x:c>
      <x:c r="O17" s="86" t="n">
        <x:f>IF(D17=0,0,E17/D17)</x:f>
        <x:v>0</x:v>
      </x:c>
      <x:c r="P17" s="86" t="n">
        <x:f>IF(C17=0,0,E17/C17)</x:f>
        <x:v>0</x:v>
      </x:c>
      <x:c r="Q17" s="47" t="n">
        <x:f>IF(E17+F17=0,0,I17/(E17+F17))</x:f>
        <x:v>0</x:v>
      </x:c>
      <x:c r="R17" s="86" t="n">
        <x:f>IF(H16=0,0,G17/H16)</x:f>
        <x:v>0</x:v>
      </x:c>
      <x:c r="S17" s="75" t="inlineStr">
        <x:is>
          <x:t xml:space="preserve"/>
        </x:is>
      </x:c>
    </x:row>
    <x:row r="18">
      <x:c r="A18" s="30" t="n">
        <x:v>14</x:v>
      </x:c>
      <x:c r="B18" s="79" t="n">
        <x:v>46339</x:v>
      </x:c>
      <x:c r="C18" s="58" t="n">
        <x:v>0</x:v>
      </x:c>
      <x:c r="D18" s="58" t="n">
        <x:v>0</x:v>
      </x:c>
      <x:c r="E18" s="58" t="n">
        <x:v>0</x:v>
      </x:c>
      <x:c r="F18" s="58" t="n">
        <x:v>0</x:v>
      </x:c>
      <x:c r="G18" s="58" t="n">
        <x:v>0</x:v>
      </x:c>
      <x:c r="H18" s="87" t="n">
        <x:f>MAX(0,H17+E18-G18)</x:f>
        <x:v>0</x:v>
      </x:c>
      <x:c r="I18" s="52" t="n">
        <x:v>0</x:v>
      </x:c>
      <x:c r="J18" s="52" t="n">
        <x:v>0</x:v>
      </x:c>
      <x:c r="K18" s="52" t="n">
        <x:v>0</x:v>
      </x:c>
      <x:c r="L18" s="45" t="n">
        <x:f>I18-J18-K18</x:f>
        <x:v>0</x:v>
      </x:c>
      <x:c r="M18" s="52" t="n">
        <x:v>0</x:v>
      </x:c>
      <x:c r="N18" s="45" t="n">
        <x:f>IF(Assumptions!$B$41=0,Assumptions!$B$39,H18*Assumptions!$B$41)</x:f>
        <x:v>0</x:v>
      </x:c>
      <x:c r="O18" s="88" t="n">
        <x:f>IF(D18=0,0,E18/D18)</x:f>
        <x:v>0</x:v>
      </x:c>
      <x:c r="P18" s="88" t="n">
        <x:f>IF(C18=0,0,E18/C18)</x:f>
        <x:v>0</x:v>
      </x:c>
      <x:c r="Q18" s="45" t="n">
        <x:f>IF(E18+F18=0,0,I18/(E18+F18))</x:f>
        <x:v>0</x:v>
      </x:c>
      <x:c r="R18" s="88" t="n">
        <x:f>IF(H17=0,0,G18/H17)</x:f>
        <x:v>0</x:v>
      </x:c>
      <x:c r="S18" s="76" t="inlineStr">
        <x:is>
          <x:t xml:space="preserve"/>
        </x:is>
      </x:c>
    </x:row>
    <x:row r="19">
      <x:c r="A19" s="31" t="n">
        <x:v>15</x:v>
      </x:c>
      <x:c r="B19" s="78" t="n">
        <x:v>46346</x:v>
      </x:c>
      <x:c r="C19" s="58" t="n">
        <x:v>0</x:v>
      </x:c>
      <x:c r="D19" s="58" t="n">
        <x:v>0</x:v>
      </x:c>
      <x:c r="E19" s="58" t="n">
        <x:v>0</x:v>
      </x:c>
      <x:c r="F19" s="58" t="n">
        <x:v>0</x:v>
      </x:c>
      <x:c r="G19" s="58" t="n">
        <x:v>0</x:v>
      </x:c>
      <x:c r="H19" s="85" t="n">
        <x:f>MAX(0,H18+E19-G19)</x:f>
        <x:v>0</x:v>
      </x:c>
      <x:c r="I19" s="52" t="n">
        <x:v>0</x:v>
      </x:c>
      <x:c r="J19" s="52" t="n">
        <x:v>0</x:v>
      </x:c>
      <x:c r="K19" s="52" t="n">
        <x:v>0</x:v>
      </x:c>
      <x:c r="L19" s="47" t="n">
        <x:f>I19-J19-K19</x:f>
        <x:v>0</x:v>
      </x:c>
      <x:c r="M19" s="52" t="n">
        <x:v>0</x:v>
      </x:c>
      <x:c r="N19" s="47" t="n">
        <x:f>IF(Assumptions!$B$41=0,Assumptions!$B$39,H19*Assumptions!$B$41)</x:f>
        <x:v>0</x:v>
      </x:c>
      <x:c r="O19" s="86" t="n">
        <x:f>IF(D19=0,0,E19/D19)</x:f>
        <x:v>0</x:v>
      </x:c>
      <x:c r="P19" s="86" t="n">
        <x:f>IF(C19=0,0,E19/C19)</x:f>
        <x:v>0</x:v>
      </x:c>
      <x:c r="Q19" s="47" t="n">
        <x:f>IF(E19+F19=0,0,I19/(E19+F19))</x:f>
        <x:v>0</x:v>
      </x:c>
      <x:c r="R19" s="86" t="n">
        <x:f>IF(H18=0,0,G19/H18)</x:f>
        <x:v>0</x:v>
      </x:c>
      <x:c r="S19" s="75" t="inlineStr">
        <x:is>
          <x:t xml:space="preserve"/>
        </x:is>
      </x:c>
    </x:row>
    <x:row r="20">
      <x:c r="A20" s="30" t="n">
        <x:v>16</x:v>
      </x:c>
      <x:c r="B20" s="79" t="n">
        <x:v>46353</x:v>
      </x:c>
      <x:c r="C20" s="58" t="n">
        <x:v>0</x:v>
      </x:c>
      <x:c r="D20" s="58" t="n">
        <x:v>0</x:v>
      </x:c>
      <x:c r="E20" s="58" t="n">
        <x:v>0</x:v>
      </x:c>
      <x:c r="F20" s="58" t="n">
        <x:v>0</x:v>
      </x:c>
      <x:c r="G20" s="58" t="n">
        <x:v>0</x:v>
      </x:c>
      <x:c r="H20" s="87" t="n">
        <x:f>MAX(0,H19+E20-G20)</x:f>
        <x:v>0</x:v>
      </x:c>
      <x:c r="I20" s="52" t="n">
        <x:v>0</x:v>
      </x:c>
      <x:c r="J20" s="52" t="n">
        <x:v>0</x:v>
      </x:c>
      <x:c r="K20" s="52" t="n">
        <x:v>0</x:v>
      </x:c>
      <x:c r="L20" s="45" t="n">
        <x:f>I20-J20-K20</x:f>
        <x:v>0</x:v>
      </x:c>
      <x:c r="M20" s="52" t="n">
        <x:v>0</x:v>
      </x:c>
      <x:c r="N20" s="45" t="n">
        <x:f>IF(Assumptions!$B$41=0,Assumptions!$B$39,H20*Assumptions!$B$41)</x:f>
        <x:v>0</x:v>
      </x:c>
      <x:c r="O20" s="88" t="n">
        <x:f>IF(D20=0,0,E20/D20)</x:f>
        <x:v>0</x:v>
      </x:c>
      <x:c r="P20" s="88" t="n">
        <x:f>IF(C20=0,0,E20/C20)</x:f>
        <x:v>0</x:v>
      </x:c>
      <x:c r="Q20" s="45" t="n">
        <x:f>IF(E20+F20=0,0,I20/(E20+F20))</x:f>
        <x:v>0</x:v>
      </x:c>
      <x:c r="R20" s="88" t="n">
        <x:f>IF(H19=0,0,G20/H19)</x:f>
        <x:v>0</x:v>
      </x:c>
      <x:c r="S20" s="76" t="inlineStr">
        <x:is>
          <x:t xml:space="preserve"/>
        </x:is>
      </x:c>
    </x:row>
    <x:row r="21">
      <x:c r="A21" s="31" t="n">
        <x:v>17</x:v>
      </x:c>
      <x:c r="B21" s="78" t="n">
        <x:v>46360</x:v>
      </x:c>
      <x:c r="C21" s="58" t="n">
        <x:v>0</x:v>
      </x:c>
      <x:c r="D21" s="58" t="n">
        <x:v>0</x:v>
      </x:c>
      <x:c r="E21" s="58" t="n">
        <x:v>0</x:v>
      </x:c>
      <x:c r="F21" s="58" t="n">
        <x:v>0</x:v>
      </x:c>
      <x:c r="G21" s="58" t="n">
        <x:v>0</x:v>
      </x:c>
      <x:c r="H21" s="85" t="n">
        <x:f>MAX(0,H20+E21-G21)</x:f>
        <x:v>0</x:v>
      </x:c>
      <x:c r="I21" s="52" t="n">
        <x:v>0</x:v>
      </x:c>
      <x:c r="J21" s="52" t="n">
        <x:v>0</x:v>
      </x:c>
      <x:c r="K21" s="52" t="n">
        <x:v>0</x:v>
      </x:c>
      <x:c r="L21" s="47" t="n">
        <x:f>I21-J21-K21</x:f>
        <x:v>0</x:v>
      </x:c>
      <x:c r="M21" s="52" t="n">
        <x:v>0</x:v>
      </x:c>
      <x:c r="N21" s="47" t="n">
        <x:f>IF(Assumptions!$B$41=0,Assumptions!$B$39,H21*Assumptions!$B$41)</x:f>
        <x:v>0</x:v>
      </x:c>
      <x:c r="O21" s="86" t="n">
        <x:f>IF(D21=0,0,E21/D21)</x:f>
        <x:v>0</x:v>
      </x:c>
      <x:c r="P21" s="86" t="n">
        <x:f>IF(C21=0,0,E21/C21)</x:f>
        <x:v>0</x:v>
      </x:c>
      <x:c r="Q21" s="47" t="n">
        <x:f>IF(E21+F21=0,0,I21/(E21+F21))</x:f>
        <x:v>0</x:v>
      </x:c>
      <x:c r="R21" s="86" t="n">
        <x:f>IF(H20=0,0,G21/H20)</x:f>
        <x:v>0</x:v>
      </x:c>
      <x:c r="S21" s="75" t="inlineStr">
        <x:is>
          <x:t xml:space="preserve"/>
        </x:is>
      </x:c>
    </x:row>
    <x:row r="22">
      <x:c r="A22" s="30" t="n">
        <x:v>18</x:v>
      </x:c>
      <x:c r="B22" s="79" t="n">
        <x:v>46367</x:v>
      </x:c>
      <x:c r="C22" s="58" t="n">
        <x:v>0</x:v>
      </x:c>
      <x:c r="D22" s="58" t="n">
        <x:v>0</x:v>
      </x:c>
      <x:c r="E22" s="58" t="n">
        <x:v>0</x:v>
      </x:c>
      <x:c r="F22" s="58" t="n">
        <x:v>0</x:v>
      </x:c>
      <x:c r="G22" s="58" t="n">
        <x:v>0</x:v>
      </x:c>
      <x:c r="H22" s="87" t="n">
        <x:f>MAX(0,H21+E22-G22)</x:f>
        <x:v>0</x:v>
      </x:c>
      <x:c r="I22" s="52" t="n">
        <x:v>0</x:v>
      </x:c>
      <x:c r="J22" s="52" t="n">
        <x:v>0</x:v>
      </x:c>
      <x:c r="K22" s="52" t="n">
        <x:v>0</x:v>
      </x:c>
      <x:c r="L22" s="45" t="n">
        <x:f>I22-J22-K22</x:f>
        <x:v>0</x:v>
      </x:c>
      <x:c r="M22" s="52" t="n">
        <x:v>0</x:v>
      </x:c>
      <x:c r="N22" s="45" t="n">
        <x:f>IF(Assumptions!$B$41=0,Assumptions!$B$39,H22*Assumptions!$B$41)</x:f>
        <x:v>0</x:v>
      </x:c>
      <x:c r="O22" s="88" t="n">
        <x:f>IF(D22=0,0,E22/D22)</x:f>
        <x:v>0</x:v>
      </x:c>
      <x:c r="P22" s="88" t="n">
        <x:f>IF(C22=0,0,E22/C22)</x:f>
        <x:v>0</x:v>
      </x:c>
      <x:c r="Q22" s="45" t="n">
        <x:f>IF(E22+F22=0,0,I22/(E22+F22))</x:f>
        <x:v>0</x:v>
      </x:c>
      <x:c r="R22" s="88" t="n">
        <x:f>IF(H21=0,0,G22/H21)</x:f>
        <x:v>0</x:v>
      </x:c>
      <x:c r="S22" s="76" t="inlineStr">
        <x:is>
          <x:t xml:space="preserve"/>
        </x:is>
      </x:c>
    </x:row>
    <x:row r="23">
      <x:c r="A23" s="31" t="n">
        <x:v>19</x:v>
      </x:c>
      <x:c r="B23" s="78" t="n">
        <x:v>46374</x:v>
      </x:c>
      <x:c r="C23" s="58" t="n">
        <x:v>0</x:v>
      </x:c>
      <x:c r="D23" s="58" t="n">
        <x:v>0</x:v>
      </x:c>
      <x:c r="E23" s="58" t="n">
        <x:v>0</x:v>
      </x:c>
      <x:c r="F23" s="58" t="n">
        <x:v>0</x:v>
      </x:c>
      <x:c r="G23" s="58" t="n">
        <x:v>0</x:v>
      </x:c>
      <x:c r="H23" s="85" t="n">
        <x:f>MAX(0,H22+E23-G23)</x:f>
        <x:v>0</x:v>
      </x:c>
      <x:c r="I23" s="52" t="n">
        <x:v>0</x:v>
      </x:c>
      <x:c r="J23" s="52" t="n">
        <x:v>0</x:v>
      </x:c>
      <x:c r="K23" s="52" t="n">
        <x:v>0</x:v>
      </x:c>
      <x:c r="L23" s="47" t="n">
        <x:f>I23-J23-K23</x:f>
        <x:v>0</x:v>
      </x:c>
      <x:c r="M23" s="52" t="n">
        <x:v>0</x:v>
      </x:c>
      <x:c r="N23" s="47" t="n">
        <x:f>IF(Assumptions!$B$41=0,Assumptions!$B$39,H23*Assumptions!$B$41)</x:f>
        <x:v>0</x:v>
      </x:c>
      <x:c r="O23" s="86" t="n">
        <x:f>IF(D23=0,0,E23/D23)</x:f>
        <x:v>0</x:v>
      </x:c>
      <x:c r="P23" s="86" t="n">
        <x:f>IF(C23=0,0,E23/C23)</x:f>
        <x:v>0</x:v>
      </x:c>
      <x:c r="Q23" s="47" t="n">
        <x:f>IF(E23+F23=0,0,I23/(E23+F23))</x:f>
        <x:v>0</x:v>
      </x:c>
      <x:c r="R23" s="86" t="n">
        <x:f>IF(H22=0,0,G23/H22)</x:f>
        <x:v>0</x:v>
      </x:c>
      <x:c r="S23" s="75" t="inlineStr">
        <x:is>
          <x:t xml:space="preserve"/>
        </x:is>
      </x:c>
    </x:row>
    <x:row r="24">
      <x:c r="A24" s="30" t="n">
        <x:v>20</x:v>
      </x:c>
      <x:c r="B24" s="79" t="n">
        <x:v>46381</x:v>
      </x:c>
      <x:c r="C24" s="58" t="n">
        <x:v>0</x:v>
      </x:c>
      <x:c r="D24" s="58" t="n">
        <x:v>0</x:v>
      </x:c>
      <x:c r="E24" s="58" t="n">
        <x:v>0</x:v>
      </x:c>
      <x:c r="F24" s="58" t="n">
        <x:v>0</x:v>
      </x:c>
      <x:c r="G24" s="58" t="n">
        <x:v>0</x:v>
      </x:c>
      <x:c r="H24" s="87" t="n">
        <x:f>MAX(0,H23+E24-G24)</x:f>
        <x:v>0</x:v>
      </x:c>
      <x:c r="I24" s="52" t="n">
        <x:v>0</x:v>
      </x:c>
      <x:c r="J24" s="52" t="n">
        <x:v>0</x:v>
      </x:c>
      <x:c r="K24" s="52" t="n">
        <x:v>0</x:v>
      </x:c>
      <x:c r="L24" s="45" t="n">
        <x:f>I24-J24-K24</x:f>
        <x:v>0</x:v>
      </x:c>
      <x:c r="M24" s="52" t="n">
        <x:v>0</x:v>
      </x:c>
      <x:c r="N24" s="45" t="n">
        <x:f>IF(Assumptions!$B$41=0,Assumptions!$B$39,H24*Assumptions!$B$41)</x:f>
        <x:v>0</x:v>
      </x:c>
      <x:c r="O24" s="88" t="n">
        <x:f>IF(D24=0,0,E24/D24)</x:f>
        <x:v>0</x:v>
      </x:c>
      <x:c r="P24" s="88" t="n">
        <x:f>IF(C24=0,0,E24/C24)</x:f>
        <x:v>0</x:v>
      </x:c>
      <x:c r="Q24" s="45" t="n">
        <x:f>IF(E24+F24=0,0,I24/(E24+F24))</x:f>
        <x:v>0</x:v>
      </x:c>
      <x:c r="R24" s="88" t="n">
        <x:f>IF(H23=0,0,G24/H23)</x:f>
        <x:v>0</x:v>
      </x:c>
      <x:c r="S24" s="76" t="inlineStr">
        <x:is>
          <x:t xml:space="preserve"/>
        </x:is>
      </x:c>
    </x:row>
    <x:row r="25">
      <x:c r="A25" s="31" t="n">
        <x:v>21</x:v>
      </x:c>
      <x:c r="B25" s="78" t="n">
        <x:v>46388</x:v>
      </x:c>
      <x:c r="C25" s="58" t="n">
        <x:v>0</x:v>
      </x:c>
      <x:c r="D25" s="58" t="n">
        <x:v>0</x:v>
      </x:c>
      <x:c r="E25" s="58" t="n">
        <x:v>0</x:v>
      </x:c>
      <x:c r="F25" s="58" t="n">
        <x:v>0</x:v>
      </x:c>
      <x:c r="G25" s="58" t="n">
        <x:v>0</x:v>
      </x:c>
      <x:c r="H25" s="85" t="n">
        <x:f>MAX(0,H24+E25-G25)</x:f>
        <x:v>0</x:v>
      </x:c>
      <x:c r="I25" s="52" t="n">
        <x:v>0</x:v>
      </x:c>
      <x:c r="J25" s="52" t="n">
        <x:v>0</x:v>
      </x:c>
      <x:c r="K25" s="52" t="n">
        <x:v>0</x:v>
      </x:c>
      <x:c r="L25" s="47" t="n">
        <x:f>I25-J25-K25</x:f>
        <x:v>0</x:v>
      </x:c>
      <x:c r="M25" s="52" t="n">
        <x:v>0</x:v>
      </x:c>
      <x:c r="N25" s="47" t="n">
        <x:f>IF(Assumptions!$B$41=0,Assumptions!$B$39,H25*Assumptions!$B$41)</x:f>
        <x:v>0</x:v>
      </x:c>
      <x:c r="O25" s="86" t="n">
        <x:f>IF(D25=0,0,E25/D25)</x:f>
        <x:v>0</x:v>
      </x:c>
      <x:c r="P25" s="86" t="n">
        <x:f>IF(C25=0,0,E25/C25)</x:f>
        <x:v>0</x:v>
      </x:c>
      <x:c r="Q25" s="47" t="n">
        <x:f>IF(E25+F25=0,0,I25/(E25+F25))</x:f>
        <x:v>0</x:v>
      </x:c>
      <x:c r="R25" s="86" t="n">
        <x:f>IF(H24=0,0,G25/H24)</x:f>
        <x:v>0</x:v>
      </x:c>
      <x:c r="S25" s="75" t="inlineStr">
        <x:is>
          <x:t xml:space="preserve"/>
        </x:is>
      </x:c>
    </x:row>
    <x:row r="26">
      <x:c r="A26" s="30" t="n">
        <x:v>22</x:v>
      </x:c>
      <x:c r="B26" s="79" t="n">
        <x:v>46395</x:v>
      </x:c>
      <x:c r="C26" s="58" t="n">
        <x:v>0</x:v>
      </x:c>
      <x:c r="D26" s="58" t="n">
        <x:v>0</x:v>
      </x:c>
      <x:c r="E26" s="58" t="n">
        <x:v>0</x:v>
      </x:c>
      <x:c r="F26" s="58" t="n">
        <x:v>0</x:v>
      </x:c>
      <x:c r="G26" s="58" t="n">
        <x:v>0</x:v>
      </x:c>
      <x:c r="H26" s="87" t="n">
        <x:f>MAX(0,H25+E26-G26)</x:f>
        <x:v>0</x:v>
      </x:c>
      <x:c r="I26" s="52" t="n">
        <x:v>0</x:v>
      </x:c>
      <x:c r="J26" s="52" t="n">
        <x:v>0</x:v>
      </x:c>
      <x:c r="K26" s="52" t="n">
        <x:v>0</x:v>
      </x:c>
      <x:c r="L26" s="45" t="n">
        <x:f>I26-J26-K26</x:f>
        <x:v>0</x:v>
      </x:c>
      <x:c r="M26" s="52" t="n">
        <x:v>0</x:v>
      </x:c>
      <x:c r="N26" s="45" t="n">
        <x:f>IF(Assumptions!$B$41=0,Assumptions!$B$39,H26*Assumptions!$B$41)</x:f>
        <x:v>0</x:v>
      </x:c>
      <x:c r="O26" s="88" t="n">
        <x:f>IF(D26=0,0,E26/D26)</x:f>
        <x:v>0</x:v>
      </x:c>
      <x:c r="P26" s="88" t="n">
        <x:f>IF(C26=0,0,E26/C26)</x:f>
        <x:v>0</x:v>
      </x:c>
      <x:c r="Q26" s="45" t="n">
        <x:f>IF(E26+F26=0,0,I26/(E26+F26))</x:f>
        <x:v>0</x:v>
      </x:c>
      <x:c r="R26" s="88" t="n">
        <x:f>IF(H25=0,0,G26/H25)</x:f>
        <x:v>0</x:v>
      </x:c>
      <x:c r="S26" s="76" t="inlineStr">
        <x:is>
          <x:t xml:space="preserve"/>
        </x:is>
      </x:c>
    </x:row>
    <x:row r="27">
      <x:c r="A27" s="31" t="n">
        <x:v>23</x:v>
      </x:c>
      <x:c r="B27" s="78" t="n">
        <x:v>46402</x:v>
      </x:c>
      <x:c r="C27" s="58" t="n">
        <x:v>0</x:v>
      </x:c>
      <x:c r="D27" s="58" t="n">
        <x:v>0</x:v>
      </x:c>
      <x:c r="E27" s="58" t="n">
        <x:v>0</x:v>
      </x:c>
      <x:c r="F27" s="58" t="n">
        <x:v>0</x:v>
      </x:c>
      <x:c r="G27" s="58" t="n">
        <x:v>0</x:v>
      </x:c>
      <x:c r="H27" s="85" t="n">
        <x:f>MAX(0,H26+E27-G27)</x:f>
        <x:v>0</x:v>
      </x:c>
      <x:c r="I27" s="52" t="n">
        <x:v>0</x:v>
      </x:c>
      <x:c r="J27" s="52" t="n">
        <x:v>0</x:v>
      </x:c>
      <x:c r="K27" s="52" t="n">
        <x:v>0</x:v>
      </x:c>
      <x:c r="L27" s="47" t="n">
        <x:f>I27-J27-K27</x:f>
        <x:v>0</x:v>
      </x:c>
      <x:c r="M27" s="52" t="n">
        <x:v>0</x:v>
      </x:c>
      <x:c r="N27" s="47" t="n">
        <x:f>IF(Assumptions!$B$41=0,Assumptions!$B$39,H27*Assumptions!$B$41)</x:f>
        <x:v>0</x:v>
      </x:c>
      <x:c r="O27" s="86" t="n">
        <x:f>IF(D27=0,0,E27/D27)</x:f>
        <x:v>0</x:v>
      </x:c>
      <x:c r="P27" s="86" t="n">
        <x:f>IF(C27=0,0,E27/C27)</x:f>
        <x:v>0</x:v>
      </x:c>
      <x:c r="Q27" s="47" t="n">
        <x:f>IF(E27+F27=0,0,I27/(E27+F27))</x:f>
        <x:v>0</x:v>
      </x:c>
      <x:c r="R27" s="86" t="n">
        <x:f>IF(H26=0,0,G27/H26)</x:f>
        <x:v>0</x:v>
      </x:c>
      <x:c r="S27" s="75" t="inlineStr">
        <x:is>
          <x:t xml:space="preserve"/>
        </x:is>
      </x:c>
    </x:row>
    <x:row r="28">
      <x:c r="A28" s="30" t="n">
        <x:v>24</x:v>
      </x:c>
      <x:c r="B28" s="79" t="n">
        <x:v>46409</x:v>
      </x:c>
      <x:c r="C28" s="58" t="n">
        <x:v>0</x:v>
      </x:c>
      <x:c r="D28" s="58" t="n">
        <x:v>0</x:v>
      </x:c>
      <x:c r="E28" s="58" t="n">
        <x:v>0</x:v>
      </x:c>
      <x:c r="F28" s="58" t="n">
        <x:v>0</x:v>
      </x:c>
      <x:c r="G28" s="58" t="n">
        <x:v>0</x:v>
      </x:c>
      <x:c r="H28" s="87" t="n">
        <x:f>MAX(0,H27+E28-G28)</x:f>
        <x:v>0</x:v>
      </x:c>
      <x:c r="I28" s="52" t="n">
        <x:v>0</x:v>
      </x:c>
      <x:c r="J28" s="52" t="n">
        <x:v>0</x:v>
      </x:c>
      <x:c r="K28" s="52" t="n">
        <x:v>0</x:v>
      </x:c>
      <x:c r="L28" s="45" t="n">
        <x:f>I28-J28-K28</x:f>
        <x:v>0</x:v>
      </x:c>
      <x:c r="M28" s="52" t="n">
        <x:v>0</x:v>
      </x:c>
      <x:c r="N28" s="45" t="n">
        <x:f>IF(Assumptions!$B$41=0,Assumptions!$B$39,H28*Assumptions!$B$41)</x:f>
        <x:v>0</x:v>
      </x:c>
      <x:c r="O28" s="88" t="n">
        <x:f>IF(D28=0,0,E28/D28)</x:f>
        <x:v>0</x:v>
      </x:c>
      <x:c r="P28" s="88" t="n">
        <x:f>IF(C28=0,0,E28/C28)</x:f>
        <x:v>0</x:v>
      </x:c>
      <x:c r="Q28" s="45" t="n">
        <x:f>IF(E28+F28=0,0,I28/(E28+F28))</x:f>
        <x:v>0</x:v>
      </x:c>
      <x:c r="R28" s="88" t="n">
        <x:f>IF(H27=0,0,G28/H27)</x:f>
        <x:v>0</x:v>
      </x:c>
      <x:c r="S28" s="76" t="inlineStr">
        <x:is>
          <x:t xml:space="preserve"/>
        </x:is>
      </x:c>
    </x:row>
  </x:sheetData>
  <x:mergeCells>
    <x:mergeCell ref="A2:S2"/>
    <x:mergeCell ref="A1:S1"/>
  </x:mergeCells>
  <x:pageMargins left="0.7" right="0.7" top="0.75" bottom="0.75" header="0.3" footer="0.3"/>
  <x:tableParts count="1">
    <x:tablePart xmlns:r="http://schemas.openxmlformats.org/officeDocument/2006/relationships" r:id="R6f8a79df55e44f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3" customWidth="1"/>
    <x:col min="3" max="3" width="8" customWidth="1"/>
    <x:col min="4" max="4" width="22" customWidth="1"/>
    <x:col min="5" max="5" width="28" customWidth="1"/>
    <x:col min="6" max="6" width="14" customWidth="1"/>
    <x:col min="7" max="7" width="14" customWidth="1"/>
    <x:col min="8" max="8" width="11" customWidth="1"/>
    <x:col min="9" max="9" width="11" customWidth="1"/>
    <x:col min="10" max="10" width="13" customWidth="1"/>
    <x:col min="11" max="11" width="13" customWidth="1"/>
    <x:col min="12" max="12" width="13" customWidth="1"/>
    <x:col min="13" max="13" width="16" customWidth="1"/>
    <x:col min="14" max="14" width="15" customWidth="1"/>
    <x:col min="15" max="15" width="13" customWidth="1"/>
    <x:col min="16" max="16" width="14" customWidth="1"/>
    <x:col min="17" max="17" width="12" customWidth="1"/>
    <x:col min="18" max="18" width="16" customWidth="1"/>
    <x:col min="19" max="19" width="15" customWidth="1"/>
    <x:col min="20" max="20" width="28" customWidth="1"/>
    <x:col min="21" max="21" width="42" customWidth="1"/>
  </x:cols>
  <x:sheetData>
    <x:row r="1" ht="30" customHeight="1">
      <x:c r="A1" s="26" t="inlineStr">
        <x:is>
          <x:t xml:space="preserve">FUEL &amp; FIELD OPERATIONS</x:t>
        </x:is>
      </x:c>
    </x:row>
    <x:row r="2" ht="34" customHeight="1">
      <x:c r="A2" s="27" t="inlineStr">
        <x:is>
          <x:t xml:space="preserve">Every trip should create multiple outputs: road evidence, camera/speed-limit verification, product learning and reusable social content.</x:t>
        </x:is>
      </x:c>
    </x:row>
    <x:row r="3"/>
    <x:row r="4" ht="23" customHeight="1">
      <x:c r="A4" s="34" t="inlineStr">
        <x:is>
          <x:t xml:space="preserve">Current operating economics</x:t>
        </x:is>
      </x:c>
    </x:row>
    <x:row r="5">
      <x:c r="A5" s="89" t="inlineStr">
        <x:is>
          <x:t xml:space="preserve">Fuel price</x:t>
        </x:is>
      </x:c>
      <x:c r="E5" s="89" t="inlineStr">
        <x:is>
          <x:t xml:space="preserve">Efficiency</x:t>
        </x:is>
      </x:c>
      <x:c r="I5" s="89" t="inlineStr">
        <x:is>
          <x:t xml:space="preserve">Fuel cost / km</x:t>
        </x:is>
      </x:c>
      <x:c r="M5" s="89" t="inlineStr">
        <x:is>
          <x:t xml:space="preserve">Planned weekly km</x:t>
        </x:is>
      </x:c>
      <x:c r="Q5" s="89" t="inlineStr">
        <x:is>
          <x:t xml:space="preserve">Planned field budget</x:t>
        </x:is>
      </x:c>
    </x:row>
    <x:row r="6">
      <x:c r="A6" s="90" t="n">
        <x:f>Assumptions!$B$20</x:f>
        <x:v>214</x:v>
      </x:c>
      <x:c r="E6" s="91" t="n">
        <x:f>Assumptions!$B$21</x:f>
        <x:v>12</x:v>
      </x:c>
      <x:c r="I6" s="92" t="n">
        <x:f>Assumptions!$B$22</x:f>
        <x:v>17.833333333333332</x:v>
      </x:c>
      <x:c r="M6" s="93" t="n">
        <x:f>Assumptions!$B$23</x:f>
        <x:v>120</x:v>
      </x:c>
      <x:c r="Q6" s="90" t="n">
        <x:f>Assumptions!$B$26</x:f>
        <x:v>2500</x:v>
      </x:c>
    </x:row>
    <x:row r="7"/>
    <x:row r="8"/>
    <x:row r="9"/>
    <x:row r="10" ht="38" customHeight="1">
      <x:c r="A10" s="77" t="inlineStr">
        <x:is>
          <x:t xml:space="preserve">Trip ID</x:t>
        </x:is>
      </x:c>
      <x:c r="B10" s="77" t="inlineStr">
        <x:is>
          <x:t xml:space="preserve">Date</x:t>
        </x:is>
      </x:c>
      <x:c r="C10" s="77" t="inlineStr">
        <x:is>
          <x:t xml:space="preserve">Week #</x:t>
        </x:is>
      </x:c>
      <x:c r="D10" s="77" t="inlineStr">
        <x:is>
          <x:t xml:space="preserve">Purpose</x:t>
        </x:is>
      </x:c>
      <x:c r="E10" s="77" t="inlineStr">
        <x:is>
          <x:t xml:space="preserve">Corridor / Route</x:t>
        </x:is>
      </x:c>
      <x:c r="F10" s="77" t="inlineStr">
        <x:is>
          <x:t xml:space="preserve">Start Odometer</x:t>
        </x:is>
      </x:c>
      <x:c r="G10" s="77" t="inlineStr">
        <x:is>
          <x:t xml:space="preserve">End Odometer</x:t>
        </x:is>
      </x:c>
      <x:c r="H10" s="77" t="inlineStr">
        <x:is>
          <x:t xml:space="preserve">Total Km</x:t>
        </x:is>
      </x:c>
      <x:c r="I10" s="77" t="inlineStr">
        <x:is>
          <x:t xml:space="preserve">Planned Km</x:t>
        </x:is>
      </x:c>
      <x:c r="J10" s="77" t="inlineStr">
        <x:is>
          <x:t xml:space="preserve">Fuel Price KES/L</x:t>
        </x:is>
      </x:c>
      <x:c r="K10" s="77" t="inlineStr">
        <x:is>
          <x:t xml:space="preserve">Efficiency Km/L</x:t>
        </x:is>
      </x:c>
      <x:c r="L10" s="77" t="inlineStr">
        <x:is>
          <x:t xml:space="preserve">Estimated Litres</x:t>
        </x:is>
      </x:c>
      <x:c r="M10" s="77" t="inlineStr">
        <x:is>
          <x:t xml:space="preserve">Estimated Fuel Cost</x:t>
        </x:is>
      </x:c>
      <x:c r="N10" s="77" t="inlineStr">
        <x:is>
          <x:t xml:space="preserve">Actual Fuel Spend</x:t>
        </x:is>
      </x:c>
      <x:c r="O10" s="77" t="inlineStr">
        <x:is>
          <x:t xml:space="preserve">Parking / Tolls</x:t>
        </x:is>
      </x:c>
      <x:c r="P10" s="77" t="inlineStr">
        <x:is>
          <x:t xml:space="preserve">Total Trip Cost</x:t>
        </x:is>
      </x:c>
      <x:c r="Q10" s="77" t="inlineStr">
        <x:is>
          <x:t xml:space="preserve">Content Clips</x:t>
        </x:is>
      </x:c>
      <x:c r="R10" s="77" t="inlineStr">
        <x:is>
          <x:t xml:space="preserve">Camera / Speed Leads</x:t>
        </x:is>
      </x:c>
      <x:c r="S10" s="77" t="inlineStr">
        <x:is>
          <x:t xml:space="preserve">Verified Records</x:t>
        </x:is>
      </x:c>
      <x:c r="T10" s="77" t="inlineStr">
        <x:is>
          <x:t xml:space="preserve">Evidence Folder / Link</x:t>
        </x:is>
      </x:c>
      <x:c r="U10" s="77" t="inlineStr">
        <x:is>
          <x:t xml:space="preserve">Learning / Next Action</x:t>
        </x:is>
      </x:c>
    </x:row>
    <x:row r="11">
      <x:c r="A11" s="31" t="inlineStr">
        <x:is>
          <x:t xml:space="preserve">FT001</x:t>
        </x:is>
      </x:c>
      <x:c r="B11" s="80" t="inlineStr">
        <x:is>
          <x:t xml:space="preserve"/>
        </x:is>
      </x:c>
      <x:c r="C11" s="85" t="str">
        <x:f>IF(B11="","",MAX(1,MIN(24,INT((B11-Assumptions!$B$7)/7)+1)))</x:f>
      </x:c>
      <x:c r="D11" s="75" t="inlineStr">
        <x:is>
          <x:t xml:space="preserve"/>
        </x:is>
      </x:c>
      <x:c r="E11" s="75" t="inlineStr">
        <x:is>
          <x:t xml:space="preserve"/>
        </x:is>
      </x:c>
      <x:c r="F11" s="58" t="n">
        <x:v>0</x:v>
      </x:c>
      <x:c r="G11" s="58" t="n">
        <x:v>0</x:v>
      </x:c>
      <x:c r="H11" s="85" t="n">
        <x:f>MAX(0,G11-F11)</x:f>
        <x:v>0</x:v>
      </x:c>
      <x:c r="I11" s="58" t="n">
        <x:v>0</x:v>
      </x:c>
      <x:c r="J11" s="94" t="n">
        <x:f>Assumptions!$B$20</x:f>
        <x:v>214</x:v>
      </x:c>
      <x:c r="K11" s="95" t="n">
        <x:f>Assumptions!$B$21</x:f>
        <x:v>12</x:v>
      </x:c>
      <x:c r="L11" s="95" t="n">
        <x:f>IF(H11=0,0,H11/K11)</x:f>
        <x:v>0</x:v>
      </x:c>
      <x:c r="M11" s="94" t="n">
        <x:f>H11*J11/K11</x:f>
        <x:v>0</x:v>
      </x:c>
      <x:c r="N11" s="52" t="n">
        <x:v>0</x:v>
      </x:c>
      <x:c r="O11" s="52" t="n">
        <x:v>0</x:v>
      </x:c>
      <x:c r="P11" s="85" t="n">
        <x:f>IF(N11=0,M11,N11)+O11</x:f>
        <x:v>0</x:v>
      </x:c>
      <x:c r="Q11" s="58" t="n">
        <x:v>0</x:v>
      </x:c>
      <x:c r="R11" s="58" t="n">
        <x:v>0</x:v>
      </x:c>
      <x:c r="S11" s="58" t="n">
        <x:v>0</x:v>
      </x:c>
      <x:c r="T11" s="75" t="inlineStr">
        <x:is>
          <x:t xml:space="preserve"/>
        </x:is>
      </x:c>
      <x:c r="U11" s="75" t="inlineStr">
        <x:is>
          <x:t xml:space="preserve"/>
        </x:is>
      </x:c>
    </x:row>
    <x:row r="12">
      <x:c r="A12" s="30" t="inlineStr">
        <x:is>
          <x:t xml:space="preserve">FT002</x:t>
        </x:is>
      </x:c>
      <x:c r="B12" s="82" t="inlineStr">
        <x:is>
          <x:t xml:space="preserve"/>
        </x:is>
      </x:c>
      <x:c r="C12" s="87" t="str">
        <x:f>IF(B12="","",MAX(1,MIN(24,INT((B12-Assumptions!$B$7)/7)+1)))</x:f>
      </x:c>
      <x:c r="D12" s="76" t="inlineStr">
        <x:is>
          <x:t xml:space="preserve"/>
        </x:is>
      </x:c>
      <x:c r="E12" s="76" t="inlineStr">
        <x:is>
          <x:t xml:space="preserve"/>
        </x:is>
      </x:c>
      <x:c r="F12" s="58" t="n">
        <x:v>0</x:v>
      </x:c>
      <x:c r="G12" s="58" t="n">
        <x:v>0</x:v>
      </x:c>
      <x:c r="H12" s="87" t="n">
        <x:f>MAX(0,G12-F12)</x:f>
        <x:v>0</x:v>
      </x:c>
      <x:c r="I12" s="58" t="n">
        <x:v>0</x:v>
      </x:c>
      <x:c r="J12" s="57" t="n">
        <x:f>Assumptions!$B$20</x:f>
        <x:v>214</x:v>
      </x:c>
      <x:c r="K12" s="96" t="n">
        <x:f>Assumptions!$B$21</x:f>
        <x:v>12</x:v>
      </x:c>
      <x:c r="L12" s="96" t="n">
        <x:f>IF(H12=0,0,H12/K12)</x:f>
        <x:v>0</x:v>
      </x:c>
      <x:c r="M12" s="57" t="n">
        <x:f>H12*J12/K12</x:f>
        <x:v>0</x:v>
      </x:c>
      <x:c r="N12" s="52" t="n">
        <x:v>0</x:v>
      </x:c>
      <x:c r="O12" s="52" t="n">
        <x:v>0</x:v>
      </x:c>
      <x:c r="P12" s="87" t="n">
        <x:f>IF(N12=0,M12,N12)+O12</x:f>
        <x:v>0</x:v>
      </x:c>
      <x:c r="Q12" s="58" t="n">
        <x:v>0</x:v>
      </x:c>
      <x:c r="R12" s="58" t="n">
        <x:v>0</x:v>
      </x:c>
      <x:c r="S12" s="58" t="n">
        <x:v>0</x:v>
      </x:c>
      <x:c r="T12" s="76" t="inlineStr">
        <x:is>
          <x:t xml:space="preserve"/>
        </x:is>
      </x:c>
      <x:c r="U12" s="76" t="inlineStr">
        <x:is>
          <x:t xml:space="preserve"/>
        </x:is>
      </x:c>
    </x:row>
    <x:row r="13">
      <x:c r="A13" s="31" t="inlineStr">
        <x:is>
          <x:t xml:space="preserve">FT003</x:t>
        </x:is>
      </x:c>
      <x:c r="B13" s="80" t="inlineStr">
        <x:is>
          <x:t xml:space="preserve"/>
        </x:is>
      </x:c>
      <x:c r="C13" s="85" t="str">
        <x:f>IF(B13="","",MAX(1,MIN(24,INT((B13-Assumptions!$B$7)/7)+1)))</x:f>
      </x:c>
      <x:c r="D13" s="75" t="inlineStr">
        <x:is>
          <x:t xml:space="preserve"/>
        </x:is>
      </x:c>
      <x:c r="E13" s="75" t="inlineStr">
        <x:is>
          <x:t xml:space="preserve"/>
        </x:is>
      </x:c>
      <x:c r="F13" s="58" t="n">
        <x:v>0</x:v>
      </x:c>
      <x:c r="G13" s="58" t="n">
        <x:v>0</x:v>
      </x:c>
      <x:c r="H13" s="85" t="n">
        <x:f>MAX(0,G13-F13)</x:f>
        <x:v>0</x:v>
      </x:c>
      <x:c r="I13" s="58" t="n">
        <x:v>0</x:v>
      </x:c>
      <x:c r="J13" s="94" t="n">
        <x:f>Assumptions!$B$20</x:f>
        <x:v>214</x:v>
      </x:c>
      <x:c r="K13" s="95" t="n">
        <x:f>Assumptions!$B$21</x:f>
        <x:v>12</x:v>
      </x:c>
      <x:c r="L13" s="95" t="n">
        <x:f>IF(H13=0,0,H13/K13)</x:f>
        <x:v>0</x:v>
      </x:c>
      <x:c r="M13" s="94" t="n">
        <x:f>H13*J13/K13</x:f>
        <x:v>0</x:v>
      </x:c>
      <x:c r="N13" s="52" t="n">
        <x:v>0</x:v>
      </x:c>
      <x:c r="O13" s="52" t="n">
        <x:v>0</x:v>
      </x:c>
      <x:c r="P13" s="85" t="n">
        <x:f>IF(N13=0,M13,N13)+O13</x:f>
        <x:v>0</x:v>
      </x:c>
      <x:c r="Q13" s="58" t="n">
        <x:v>0</x:v>
      </x:c>
      <x:c r="R13" s="58" t="n">
        <x:v>0</x:v>
      </x:c>
      <x:c r="S13" s="58" t="n">
        <x:v>0</x:v>
      </x:c>
      <x:c r="T13" s="75" t="inlineStr">
        <x:is>
          <x:t xml:space="preserve"/>
        </x:is>
      </x:c>
      <x:c r="U13" s="75" t="inlineStr">
        <x:is>
          <x:t xml:space="preserve"/>
        </x:is>
      </x:c>
    </x:row>
    <x:row r="14">
      <x:c r="A14" s="30" t="inlineStr">
        <x:is>
          <x:t xml:space="preserve">FT004</x:t>
        </x:is>
      </x:c>
      <x:c r="B14" s="82" t="inlineStr">
        <x:is>
          <x:t xml:space="preserve"/>
        </x:is>
      </x:c>
      <x:c r="C14" s="87" t="str">
        <x:f>IF(B14="","",MAX(1,MIN(24,INT((B14-Assumptions!$B$7)/7)+1)))</x:f>
      </x:c>
      <x:c r="D14" s="76" t="inlineStr">
        <x:is>
          <x:t xml:space="preserve"/>
        </x:is>
      </x:c>
      <x:c r="E14" s="76" t="inlineStr">
        <x:is>
          <x:t xml:space="preserve"/>
        </x:is>
      </x:c>
      <x:c r="F14" s="58" t="n">
        <x:v>0</x:v>
      </x:c>
      <x:c r="G14" s="58" t="n">
        <x:v>0</x:v>
      </x:c>
      <x:c r="H14" s="87" t="n">
        <x:f>MAX(0,G14-F14)</x:f>
        <x:v>0</x:v>
      </x:c>
      <x:c r="I14" s="58" t="n">
        <x:v>0</x:v>
      </x:c>
      <x:c r="J14" s="57" t="n">
        <x:f>Assumptions!$B$20</x:f>
        <x:v>214</x:v>
      </x:c>
      <x:c r="K14" s="96" t="n">
        <x:f>Assumptions!$B$21</x:f>
        <x:v>12</x:v>
      </x:c>
      <x:c r="L14" s="96" t="n">
        <x:f>IF(H14=0,0,H14/K14)</x:f>
        <x:v>0</x:v>
      </x:c>
      <x:c r="M14" s="57" t="n">
        <x:f>H14*J14/K14</x:f>
        <x:v>0</x:v>
      </x:c>
      <x:c r="N14" s="52" t="n">
        <x:v>0</x:v>
      </x:c>
      <x:c r="O14" s="52" t="n">
        <x:v>0</x:v>
      </x:c>
      <x:c r="P14" s="87" t="n">
        <x:f>IF(N14=0,M14,N14)+O14</x:f>
        <x:v>0</x:v>
      </x:c>
      <x:c r="Q14" s="58" t="n">
        <x:v>0</x:v>
      </x:c>
      <x:c r="R14" s="58" t="n">
        <x:v>0</x:v>
      </x:c>
      <x:c r="S14" s="58" t="n">
        <x:v>0</x:v>
      </x:c>
      <x:c r="T14" s="76" t="inlineStr">
        <x:is>
          <x:t xml:space="preserve"/>
        </x:is>
      </x:c>
      <x:c r="U14" s="76" t="inlineStr">
        <x:is>
          <x:t xml:space="preserve"/>
        </x:is>
      </x:c>
    </x:row>
    <x:row r="15">
      <x:c r="A15" s="31" t="inlineStr">
        <x:is>
          <x:t xml:space="preserve">FT005</x:t>
        </x:is>
      </x:c>
      <x:c r="B15" s="80" t="inlineStr">
        <x:is>
          <x:t xml:space="preserve"/>
        </x:is>
      </x:c>
      <x:c r="C15" s="85" t="str">
        <x:f>IF(B15="","",MAX(1,MIN(24,INT((B15-Assumptions!$B$7)/7)+1)))</x:f>
      </x:c>
      <x:c r="D15" s="75" t="inlineStr">
        <x:is>
          <x:t xml:space="preserve"/>
        </x:is>
      </x:c>
      <x:c r="E15" s="75" t="inlineStr">
        <x:is>
          <x:t xml:space="preserve"/>
        </x:is>
      </x:c>
      <x:c r="F15" s="58" t="n">
        <x:v>0</x:v>
      </x:c>
      <x:c r="G15" s="58" t="n">
        <x:v>0</x:v>
      </x:c>
      <x:c r="H15" s="85" t="n">
        <x:f>MAX(0,G15-F15)</x:f>
        <x:v>0</x:v>
      </x:c>
      <x:c r="I15" s="58" t="n">
        <x:v>0</x:v>
      </x:c>
      <x:c r="J15" s="94" t="n">
        <x:f>Assumptions!$B$20</x:f>
        <x:v>214</x:v>
      </x:c>
      <x:c r="K15" s="95" t="n">
        <x:f>Assumptions!$B$21</x:f>
        <x:v>12</x:v>
      </x:c>
      <x:c r="L15" s="95" t="n">
        <x:f>IF(H15=0,0,H15/K15)</x:f>
        <x:v>0</x:v>
      </x:c>
      <x:c r="M15" s="94" t="n">
        <x:f>H15*J15/K15</x:f>
        <x:v>0</x:v>
      </x:c>
      <x:c r="N15" s="52" t="n">
        <x:v>0</x:v>
      </x:c>
      <x:c r="O15" s="52" t="n">
        <x:v>0</x:v>
      </x:c>
      <x:c r="P15" s="85" t="n">
        <x:f>IF(N15=0,M15,N15)+O15</x:f>
        <x:v>0</x:v>
      </x:c>
      <x:c r="Q15" s="58" t="n">
        <x:v>0</x:v>
      </x:c>
      <x:c r="R15" s="58" t="n">
        <x:v>0</x:v>
      </x:c>
      <x:c r="S15" s="58" t="n">
        <x:v>0</x:v>
      </x:c>
      <x:c r="T15" s="75" t="inlineStr">
        <x:is>
          <x:t xml:space="preserve"/>
        </x:is>
      </x:c>
      <x:c r="U15" s="75" t="inlineStr">
        <x:is>
          <x:t xml:space="preserve"/>
        </x:is>
      </x:c>
    </x:row>
    <x:row r="16">
      <x:c r="A16" s="30" t="inlineStr">
        <x:is>
          <x:t xml:space="preserve">FT006</x:t>
        </x:is>
      </x:c>
      <x:c r="B16" s="82" t="inlineStr">
        <x:is>
          <x:t xml:space="preserve"/>
        </x:is>
      </x:c>
      <x:c r="C16" s="87" t="str">
        <x:f>IF(B16="","",MAX(1,MIN(24,INT((B16-Assumptions!$B$7)/7)+1)))</x:f>
      </x:c>
      <x:c r="D16" s="76" t="inlineStr">
        <x:is>
          <x:t xml:space="preserve"/>
        </x:is>
      </x:c>
      <x:c r="E16" s="76" t="inlineStr">
        <x:is>
          <x:t xml:space="preserve"/>
        </x:is>
      </x:c>
      <x:c r="F16" s="58" t="n">
        <x:v>0</x:v>
      </x:c>
      <x:c r="G16" s="58" t="n">
        <x:v>0</x:v>
      </x:c>
      <x:c r="H16" s="87" t="n">
        <x:f>MAX(0,G16-F16)</x:f>
        <x:v>0</x:v>
      </x:c>
      <x:c r="I16" s="58" t="n">
        <x:v>0</x:v>
      </x:c>
      <x:c r="J16" s="57" t="n">
        <x:f>Assumptions!$B$20</x:f>
        <x:v>214</x:v>
      </x:c>
      <x:c r="K16" s="96" t="n">
        <x:f>Assumptions!$B$21</x:f>
        <x:v>12</x:v>
      </x:c>
      <x:c r="L16" s="96" t="n">
        <x:f>IF(H16=0,0,H16/K16)</x:f>
        <x:v>0</x:v>
      </x:c>
      <x:c r="M16" s="57" t="n">
        <x:f>H16*J16/K16</x:f>
        <x:v>0</x:v>
      </x:c>
      <x:c r="N16" s="52" t="n">
        <x:v>0</x:v>
      </x:c>
      <x:c r="O16" s="52" t="n">
        <x:v>0</x:v>
      </x:c>
      <x:c r="P16" s="87" t="n">
        <x:f>IF(N16=0,M16,N16)+O16</x:f>
        <x:v>0</x:v>
      </x:c>
      <x:c r="Q16" s="58" t="n">
        <x:v>0</x:v>
      </x:c>
      <x:c r="R16" s="58" t="n">
        <x:v>0</x:v>
      </x:c>
      <x:c r="S16" s="58" t="n">
        <x:v>0</x:v>
      </x:c>
      <x:c r="T16" s="76" t="inlineStr">
        <x:is>
          <x:t xml:space="preserve"/>
        </x:is>
      </x:c>
      <x:c r="U16" s="76" t="inlineStr">
        <x:is>
          <x:t xml:space="preserve"/>
        </x:is>
      </x:c>
    </x:row>
    <x:row r="17">
      <x:c r="A17" s="31" t="inlineStr">
        <x:is>
          <x:t xml:space="preserve">FT007</x:t>
        </x:is>
      </x:c>
      <x:c r="B17" s="80" t="inlineStr">
        <x:is>
          <x:t xml:space="preserve"/>
        </x:is>
      </x:c>
      <x:c r="C17" s="85" t="str">
        <x:f>IF(B17="","",MAX(1,MIN(24,INT((B17-Assumptions!$B$7)/7)+1)))</x:f>
      </x:c>
      <x:c r="D17" s="75" t="inlineStr">
        <x:is>
          <x:t xml:space="preserve"/>
        </x:is>
      </x:c>
      <x:c r="E17" s="75" t="inlineStr">
        <x:is>
          <x:t xml:space="preserve"/>
        </x:is>
      </x:c>
      <x:c r="F17" s="58" t="n">
        <x:v>0</x:v>
      </x:c>
      <x:c r="G17" s="58" t="n">
        <x:v>0</x:v>
      </x:c>
      <x:c r="H17" s="85" t="n">
        <x:f>MAX(0,G17-F17)</x:f>
        <x:v>0</x:v>
      </x:c>
      <x:c r="I17" s="58" t="n">
        <x:v>0</x:v>
      </x:c>
      <x:c r="J17" s="94" t="n">
        <x:f>Assumptions!$B$20</x:f>
        <x:v>214</x:v>
      </x:c>
      <x:c r="K17" s="95" t="n">
        <x:f>Assumptions!$B$21</x:f>
        <x:v>12</x:v>
      </x:c>
      <x:c r="L17" s="95" t="n">
        <x:f>IF(H17=0,0,H17/K17)</x:f>
        <x:v>0</x:v>
      </x:c>
      <x:c r="M17" s="94" t="n">
        <x:f>H17*J17/K17</x:f>
        <x:v>0</x:v>
      </x:c>
      <x:c r="N17" s="52" t="n">
        <x:v>0</x:v>
      </x:c>
      <x:c r="O17" s="52" t="n">
        <x:v>0</x:v>
      </x:c>
      <x:c r="P17" s="85" t="n">
        <x:f>IF(N17=0,M17,N17)+O17</x:f>
        <x:v>0</x:v>
      </x:c>
      <x:c r="Q17" s="58" t="n">
        <x:v>0</x:v>
      </x:c>
      <x:c r="R17" s="58" t="n">
        <x:v>0</x:v>
      </x:c>
      <x:c r="S17" s="58" t="n">
        <x:v>0</x:v>
      </x:c>
      <x:c r="T17" s="75" t="inlineStr">
        <x:is>
          <x:t xml:space="preserve"/>
        </x:is>
      </x:c>
      <x:c r="U17" s="75" t="inlineStr">
        <x:is>
          <x:t xml:space="preserve"/>
        </x:is>
      </x:c>
    </x:row>
    <x:row r="18">
      <x:c r="A18" s="30" t="inlineStr">
        <x:is>
          <x:t xml:space="preserve">FT008</x:t>
        </x:is>
      </x:c>
      <x:c r="B18" s="82" t="inlineStr">
        <x:is>
          <x:t xml:space="preserve"/>
        </x:is>
      </x:c>
      <x:c r="C18" s="87" t="str">
        <x:f>IF(B18="","",MAX(1,MIN(24,INT((B18-Assumptions!$B$7)/7)+1)))</x:f>
      </x:c>
      <x:c r="D18" s="76" t="inlineStr">
        <x:is>
          <x:t xml:space="preserve"/>
        </x:is>
      </x:c>
      <x:c r="E18" s="76" t="inlineStr">
        <x:is>
          <x:t xml:space="preserve"/>
        </x:is>
      </x:c>
      <x:c r="F18" s="58" t="n">
        <x:v>0</x:v>
      </x:c>
      <x:c r="G18" s="58" t="n">
        <x:v>0</x:v>
      </x:c>
      <x:c r="H18" s="87" t="n">
        <x:f>MAX(0,G18-F18)</x:f>
        <x:v>0</x:v>
      </x:c>
      <x:c r="I18" s="58" t="n">
        <x:v>0</x:v>
      </x:c>
      <x:c r="J18" s="57" t="n">
        <x:f>Assumptions!$B$20</x:f>
        <x:v>214</x:v>
      </x:c>
      <x:c r="K18" s="96" t="n">
        <x:f>Assumptions!$B$21</x:f>
        <x:v>12</x:v>
      </x:c>
      <x:c r="L18" s="96" t="n">
        <x:f>IF(H18=0,0,H18/K18)</x:f>
        <x:v>0</x:v>
      </x:c>
      <x:c r="M18" s="57" t="n">
        <x:f>H18*J18/K18</x:f>
        <x:v>0</x:v>
      </x:c>
      <x:c r="N18" s="52" t="n">
        <x:v>0</x:v>
      </x:c>
      <x:c r="O18" s="52" t="n">
        <x:v>0</x:v>
      </x:c>
      <x:c r="P18" s="87" t="n">
        <x:f>IF(N18=0,M18,N18)+O18</x:f>
        <x:v>0</x:v>
      </x:c>
      <x:c r="Q18" s="58" t="n">
        <x:v>0</x:v>
      </x:c>
      <x:c r="R18" s="58" t="n">
        <x:v>0</x:v>
      </x:c>
      <x:c r="S18" s="58" t="n">
        <x:v>0</x:v>
      </x:c>
      <x:c r="T18" s="76" t="inlineStr">
        <x:is>
          <x:t xml:space="preserve"/>
        </x:is>
      </x:c>
      <x:c r="U18" s="76" t="inlineStr">
        <x:is>
          <x:t xml:space="preserve"/>
        </x:is>
      </x:c>
    </x:row>
    <x:row r="19">
      <x:c r="A19" s="31" t="inlineStr">
        <x:is>
          <x:t xml:space="preserve">FT009</x:t>
        </x:is>
      </x:c>
      <x:c r="B19" s="80" t="inlineStr">
        <x:is>
          <x:t xml:space="preserve"/>
        </x:is>
      </x:c>
      <x:c r="C19" s="85" t="str">
        <x:f>IF(B19="","",MAX(1,MIN(24,INT((B19-Assumptions!$B$7)/7)+1)))</x:f>
      </x:c>
      <x:c r="D19" s="75" t="inlineStr">
        <x:is>
          <x:t xml:space="preserve"/>
        </x:is>
      </x:c>
      <x:c r="E19" s="75" t="inlineStr">
        <x:is>
          <x:t xml:space="preserve"/>
        </x:is>
      </x:c>
      <x:c r="F19" s="58" t="n">
        <x:v>0</x:v>
      </x:c>
      <x:c r="G19" s="58" t="n">
        <x:v>0</x:v>
      </x:c>
      <x:c r="H19" s="85" t="n">
        <x:f>MAX(0,G19-F19)</x:f>
        <x:v>0</x:v>
      </x:c>
      <x:c r="I19" s="58" t="n">
        <x:v>0</x:v>
      </x:c>
      <x:c r="J19" s="94" t="n">
        <x:f>Assumptions!$B$20</x:f>
        <x:v>214</x:v>
      </x:c>
      <x:c r="K19" s="95" t="n">
        <x:f>Assumptions!$B$21</x:f>
        <x:v>12</x:v>
      </x:c>
      <x:c r="L19" s="95" t="n">
        <x:f>IF(H19=0,0,H19/K19)</x:f>
        <x:v>0</x:v>
      </x:c>
      <x:c r="M19" s="94" t="n">
        <x:f>H19*J19/K19</x:f>
        <x:v>0</x:v>
      </x:c>
      <x:c r="N19" s="52" t="n">
        <x:v>0</x:v>
      </x:c>
      <x:c r="O19" s="52" t="n">
        <x:v>0</x:v>
      </x:c>
      <x:c r="P19" s="85" t="n">
        <x:f>IF(N19=0,M19,N19)+O19</x:f>
        <x:v>0</x:v>
      </x:c>
      <x:c r="Q19" s="58" t="n">
        <x:v>0</x:v>
      </x:c>
      <x:c r="R19" s="58" t="n">
        <x:v>0</x:v>
      </x:c>
      <x:c r="S19" s="58" t="n">
        <x:v>0</x:v>
      </x:c>
      <x:c r="T19" s="75" t="inlineStr">
        <x:is>
          <x:t xml:space="preserve"/>
        </x:is>
      </x:c>
      <x:c r="U19" s="75" t="inlineStr">
        <x:is>
          <x:t xml:space="preserve"/>
        </x:is>
      </x:c>
    </x:row>
    <x:row r="20">
      <x:c r="A20" s="30" t="inlineStr">
        <x:is>
          <x:t xml:space="preserve">FT010</x:t>
        </x:is>
      </x:c>
      <x:c r="B20" s="82" t="inlineStr">
        <x:is>
          <x:t xml:space="preserve"/>
        </x:is>
      </x:c>
      <x:c r="C20" s="87" t="str">
        <x:f>IF(B20="","",MAX(1,MIN(24,INT((B20-Assumptions!$B$7)/7)+1)))</x:f>
      </x:c>
      <x:c r="D20" s="76" t="inlineStr">
        <x:is>
          <x:t xml:space="preserve"/>
        </x:is>
      </x:c>
      <x:c r="E20" s="76" t="inlineStr">
        <x:is>
          <x:t xml:space="preserve"/>
        </x:is>
      </x:c>
      <x:c r="F20" s="58" t="n">
        <x:v>0</x:v>
      </x:c>
      <x:c r="G20" s="58" t="n">
        <x:v>0</x:v>
      </x:c>
      <x:c r="H20" s="87" t="n">
        <x:f>MAX(0,G20-F20)</x:f>
        <x:v>0</x:v>
      </x:c>
      <x:c r="I20" s="58" t="n">
        <x:v>0</x:v>
      </x:c>
      <x:c r="J20" s="57" t="n">
        <x:f>Assumptions!$B$20</x:f>
        <x:v>214</x:v>
      </x:c>
      <x:c r="K20" s="96" t="n">
        <x:f>Assumptions!$B$21</x:f>
        <x:v>12</x:v>
      </x:c>
      <x:c r="L20" s="96" t="n">
        <x:f>IF(H20=0,0,H20/K20)</x:f>
        <x:v>0</x:v>
      </x:c>
      <x:c r="M20" s="57" t="n">
        <x:f>H20*J20/K20</x:f>
        <x:v>0</x:v>
      </x:c>
      <x:c r="N20" s="52" t="n">
        <x:v>0</x:v>
      </x:c>
      <x:c r="O20" s="52" t="n">
        <x:v>0</x:v>
      </x:c>
      <x:c r="P20" s="87" t="n">
        <x:f>IF(N20=0,M20,N20)+O20</x:f>
        <x:v>0</x:v>
      </x:c>
      <x:c r="Q20" s="58" t="n">
        <x:v>0</x:v>
      </x:c>
      <x:c r="R20" s="58" t="n">
        <x:v>0</x:v>
      </x:c>
      <x:c r="S20" s="58" t="n">
        <x:v>0</x:v>
      </x:c>
      <x:c r="T20" s="76" t="inlineStr">
        <x:is>
          <x:t xml:space="preserve"/>
        </x:is>
      </x:c>
      <x:c r="U20" s="76" t="inlineStr">
        <x:is>
          <x:t xml:space="preserve"/>
        </x:is>
      </x:c>
    </x:row>
    <x:row r="21">
      <x:c r="A21" s="31" t="inlineStr">
        <x:is>
          <x:t xml:space="preserve">FT011</x:t>
        </x:is>
      </x:c>
      <x:c r="B21" s="80" t="inlineStr">
        <x:is>
          <x:t xml:space="preserve"/>
        </x:is>
      </x:c>
      <x:c r="C21" s="85" t="str">
        <x:f>IF(B21="","",MAX(1,MIN(24,INT((B21-Assumptions!$B$7)/7)+1)))</x:f>
      </x:c>
      <x:c r="D21" s="75" t="inlineStr">
        <x:is>
          <x:t xml:space="preserve"/>
        </x:is>
      </x:c>
      <x:c r="E21" s="75" t="inlineStr">
        <x:is>
          <x:t xml:space="preserve"/>
        </x:is>
      </x:c>
      <x:c r="F21" s="58" t="n">
        <x:v>0</x:v>
      </x:c>
      <x:c r="G21" s="58" t="n">
        <x:v>0</x:v>
      </x:c>
      <x:c r="H21" s="85" t="n">
        <x:f>MAX(0,G21-F21)</x:f>
        <x:v>0</x:v>
      </x:c>
      <x:c r="I21" s="58" t="n">
        <x:v>0</x:v>
      </x:c>
      <x:c r="J21" s="94" t="n">
        <x:f>Assumptions!$B$20</x:f>
        <x:v>214</x:v>
      </x:c>
      <x:c r="K21" s="95" t="n">
        <x:f>Assumptions!$B$21</x:f>
        <x:v>12</x:v>
      </x:c>
      <x:c r="L21" s="95" t="n">
        <x:f>IF(H21=0,0,H21/K21)</x:f>
        <x:v>0</x:v>
      </x:c>
      <x:c r="M21" s="94" t="n">
        <x:f>H21*J21/K21</x:f>
        <x:v>0</x:v>
      </x:c>
      <x:c r="N21" s="52" t="n">
        <x:v>0</x:v>
      </x:c>
      <x:c r="O21" s="52" t="n">
        <x:v>0</x:v>
      </x:c>
      <x:c r="P21" s="85" t="n">
        <x:f>IF(N21=0,M21,N21)+O21</x:f>
        <x:v>0</x:v>
      </x:c>
      <x:c r="Q21" s="58" t="n">
        <x:v>0</x:v>
      </x:c>
      <x:c r="R21" s="58" t="n">
        <x:v>0</x:v>
      </x:c>
      <x:c r="S21" s="58" t="n">
        <x:v>0</x:v>
      </x:c>
      <x:c r="T21" s="75" t="inlineStr">
        <x:is>
          <x:t xml:space="preserve"/>
        </x:is>
      </x:c>
      <x:c r="U21" s="75" t="inlineStr">
        <x:is>
          <x:t xml:space="preserve"/>
        </x:is>
      </x:c>
    </x:row>
    <x:row r="22">
      <x:c r="A22" s="30" t="inlineStr">
        <x:is>
          <x:t xml:space="preserve">FT012</x:t>
        </x:is>
      </x:c>
      <x:c r="B22" s="82" t="inlineStr">
        <x:is>
          <x:t xml:space="preserve"/>
        </x:is>
      </x:c>
      <x:c r="C22" s="87" t="str">
        <x:f>IF(B22="","",MAX(1,MIN(24,INT((B22-Assumptions!$B$7)/7)+1)))</x:f>
      </x:c>
      <x:c r="D22" s="76" t="inlineStr">
        <x:is>
          <x:t xml:space="preserve"/>
        </x:is>
      </x:c>
      <x:c r="E22" s="76" t="inlineStr">
        <x:is>
          <x:t xml:space="preserve"/>
        </x:is>
      </x:c>
      <x:c r="F22" s="58" t="n">
        <x:v>0</x:v>
      </x:c>
      <x:c r="G22" s="58" t="n">
        <x:v>0</x:v>
      </x:c>
      <x:c r="H22" s="87" t="n">
        <x:f>MAX(0,G22-F22)</x:f>
        <x:v>0</x:v>
      </x:c>
      <x:c r="I22" s="58" t="n">
        <x:v>0</x:v>
      </x:c>
      <x:c r="J22" s="57" t="n">
        <x:f>Assumptions!$B$20</x:f>
        <x:v>214</x:v>
      </x:c>
      <x:c r="K22" s="96" t="n">
        <x:f>Assumptions!$B$21</x:f>
        <x:v>12</x:v>
      </x:c>
      <x:c r="L22" s="96" t="n">
        <x:f>IF(H22=0,0,H22/K22)</x:f>
        <x:v>0</x:v>
      </x:c>
      <x:c r="M22" s="57" t="n">
        <x:f>H22*J22/K22</x:f>
        <x:v>0</x:v>
      </x:c>
      <x:c r="N22" s="52" t="n">
        <x:v>0</x:v>
      </x:c>
      <x:c r="O22" s="52" t="n">
        <x:v>0</x:v>
      </x:c>
      <x:c r="P22" s="87" t="n">
        <x:f>IF(N22=0,M22,N22)+O22</x:f>
        <x:v>0</x:v>
      </x:c>
      <x:c r="Q22" s="58" t="n">
        <x:v>0</x:v>
      </x:c>
      <x:c r="R22" s="58" t="n">
        <x:v>0</x:v>
      </x:c>
      <x:c r="S22" s="58" t="n">
        <x:v>0</x:v>
      </x:c>
      <x:c r="T22" s="76" t="inlineStr">
        <x:is>
          <x:t xml:space="preserve"/>
        </x:is>
      </x:c>
      <x:c r="U22" s="76" t="inlineStr">
        <x:is>
          <x:t xml:space="preserve"/>
        </x:is>
      </x:c>
    </x:row>
    <x:row r="23">
      <x:c r="A23" s="31" t="inlineStr">
        <x:is>
          <x:t xml:space="preserve">FT013</x:t>
        </x:is>
      </x:c>
      <x:c r="B23" s="80" t="inlineStr">
        <x:is>
          <x:t xml:space="preserve"/>
        </x:is>
      </x:c>
      <x:c r="C23" s="85" t="str">
        <x:f>IF(B23="","",MAX(1,MIN(24,INT((B23-Assumptions!$B$7)/7)+1)))</x:f>
      </x:c>
      <x:c r="D23" s="75" t="inlineStr">
        <x:is>
          <x:t xml:space="preserve"/>
        </x:is>
      </x:c>
      <x:c r="E23" s="75" t="inlineStr">
        <x:is>
          <x:t xml:space="preserve"/>
        </x:is>
      </x:c>
      <x:c r="F23" s="58" t="n">
        <x:v>0</x:v>
      </x:c>
      <x:c r="G23" s="58" t="n">
        <x:v>0</x:v>
      </x:c>
      <x:c r="H23" s="85" t="n">
        <x:f>MAX(0,G23-F23)</x:f>
        <x:v>0</x:v>
      </x:c>
      <x:c r="I23" s="58" t="n">
        <x:v>0</x:v>
      </x:c>
      <x:c r="J23" s="94" t="n">
        <x:f>Assumptions!$B$20</x:f>
        <x:v>214</x:v>
      </x:c>
      <x:c r="K23" s="95" t="n">
        <x:f>Assumptions!$B$21</x:f>
        <x:v>12</x:v>
      </x:c>
      <x:c r="L23" s="95" t="n">
        <x:f>IF(H23=0,0,H23/K23)</x:f>
        <x:v>0</x:v>
      </x:c>
      <x:c r="M23" s="94" t="n">
        <x:f>H23*J23/K23</x:f>
        <x:v>0</x:v>
      </x:c>
      <x:c r="N23" s="52" t="n">
        <x:v>0</x:v>
      </x:c>
      <x:c r="O23" s="52" t="n">
        <x:v>0</x:v>
      </x:c>
      <x:c r="P23" s="85" t="n">
        <x:f>IF(N23=0,M23,N23)+O23</x:f>
        <x:v>0</x:v>
      </x:c>
      <x:c r="Q23" s="58" t="n">
        <x:v>0</x:v>
      </x:c>
      <x:c r="R23" s="58" t="n">
        <x:v>0</x:v>
      </x:c>
      <x:c r="S23" s="58" t="n">
        <x:v>0</x:v>
      </x:c>
      <x:c r="T23" s="75" t="inlineStr">
        <x:is>
          <x:t xml:space="preserve"/>
        </x:is>
      </x:c>
      <x:c r="U23" s="75" t="inlineStr">
        <x:is>
          <x:t xml:space="preserve"/>
        </x:is>
      </x:c>
    </x:row>
    <x:row r="24">
      <x:c r="A24" s="30" t="inlineStr">
        <x:is>
          <x:t xml:space="preserve">FT014</x:t>
        </x:is>
      </x:c>
      <x:c r="B24" s="82" t="inlineStr">
        <x:is>
          <x:t xml:space="preserve"/>
        </x:is>
      </x:c>
      <x:c r="C24" s="87" t="str">
        <x:f>IF(B24="","",MAX(1,MIN(24,INT((B24-Assumptions!$B$7)/7)+1)))</x:f>
      </x:c>
      <x:c r="D24" s="76" t="inlineStr">
        <x:is>
          <x:t xml:space="preserve"/>
        </x:is>
      </x:c>
      <x:c r="E24" s="76" t="inlineStr">
        <x:is>
          <x:t xml:space="preserve"/>
        </x:is>
      </x:c>
      <x:c r="F24" s="58" t="n">
        <x:v>0</x:v>
      </x:c>
      <x:c r="G24" s="58" t="n">
        <x:v>0</x:v>
      </x:c>
      <x:c r="H24" s="87" t="n">
        <x:f>MAX(0,G24-F24)</x:f>
        <x:v>0</x:v>
      </x:c>
      <x:c r="I24" s="58" t="n">
        <x:v>0</x:v>
      </x:c>
      <x:c r="J24" s="57" t="n">
        <x:f>Assumptions!$B$20</x:f>
        <x:v>214</x:v>
      </x:c>
      <x:c r="K24" s="96" t="n">
        <x:f>Assumptions!$B$21</x:f>
        <x:v>12</x:v>
      </x:c>
      <x:c r="L24" s="96" t="n">
        <x:f>IF(H24=0,0,H24/K24)</x:f>
        <x:v>0</x:v>
      </x:c>
      <x:c r="M24" s="57" t="n">
        <x:f>H24*J24/K24</x:f>
        <x:v>0</x:v>
      </x:c>
      <x:c r="N24" s="52" t="n">
        <x:v>0</x:v>
      </x:c>
      <x:c r="O24" s="52" t="n">
        <x:v>0</x:v>
      </x:c>
      <x:c r="P24" s="87" t="n">
        <x:f>IF(N24=0,M24,N24)+O24</x:f>
        <x:v>0</x:v>
      </x:c>
      <x:c r="Q24" s="58" t="n">
        <x:v>0</x:v>
      </x:c>
      <x:c r="R24" s="58" t="n">
        <x:v>0</x:v>
      </x:c>
      <x:c r="S24" s="58" t="n">
        <x:v>0</x:v>
      </x:c>
      <x:c r="T24" s="76" t="inlineStr">
        <x:is>
          <x:t xml:space="preserve"/>
        </x:is>
      </x:c>
      <x:c r="U24" s="76" t="inlineStr">
        <x:is>
          <x:t xml:space="preserve"/>
        </x:is>
      </x:c>
    </x:row>
    <x:row r="25">
      <x:c r="A25" s="31" t="inlineStr">
        <x:is>
          <x:t xml:space="preserve">FT015</x:t>
        </x:is>
      </x:c>
      <x:c r="B25" s="80" t="inlineStr">
        <x:is>
          <x:t xml:space="preserve"/>
        </x:is>
      </x:c>
      <x:c r="C25" s="85" t="str">
        <x:f>IF(B25="","",MAX(1,MIN(24,INT((B25-Assumptions!$B$7)/7)+1)))</x:f>
      </x:c>
      <x:c r="D25" s="75" t="inlineStr">
        <x:is>
          <x:t xml:space="preserve"/>
        </x:is>
      </x:c>
      <x:c r="E25" s="75" t="inlineStr">
        <x:is>
          <x:t xml:space="preserve"/>
        </x:is>
      </x:c>
      <x:c r="F25" s="58" t="n">
        <x:v>0</x:v>
      </x:c>
      <x:c r="G25" s="58" t="n">
        <x:v>0</x:v>
      </x:c>
      <x:c r="H25" s="85" t="n">
        <x:f>MAX(0,G25-F25)</x:f>
        <x:v>0</x:v>
      </x:c>
      <x:c r="I25" s="58" t="n">
        <x:v>0</x:v>
      </x:c>
      <x:c r="J25" s="94" t="n">
        <x:f>Assumptions!$B$20</x:f>
        <x:v>214</x:v>
      </x:c>
      <x:c r="K25" s="95" t="n">
        <x:f>Assumptions!$B$21</x:f>
        <x:v>12</x:v>
      </x:c>
      <x:c r="L25" s="95" t="n">
        <x:f>IF(H25=0,0,H25/K25)</x:f>
        <x:v>0</x:v>
      </x:c>
      <x:c r="M25" s="94" t="n">
        <x:f>H25*J25/K25</x:f>
        <x:v>0</x:v>
      </x:c>
      <x:c r="N25" s="52" t="n">
        <x:v>0</x:v>
      </x:c>
      <x:c r="O25" s="52" t="n">
        <x:v>0</x:v>
      </x:c>
      <x:c r="P25" s="85" t="n">
        <x:f>IF(N25=0,M25,N25)+O25</x:f>
        <x:v>0</x:v>
      </x:c>
      <x:c r="Q25" s="58" t="n">
        <x:v>0</x:v>
      </x:c>
      <x:c r="R25" s="58" t="n">
        <x:v>0</x:v>
      </x:c>
      <x:c r="S25" s="58" t="n">
        <x:v>0</x:v>
      </x:c>
      <x:c r="T25" s="75" t="inlineStr">
        <x:is>
          <x:t xml:space="preserve"/>
        </x:is>
      </x:c>
      <x:c r="U25" s="75" t="inlineStr">
        <x:is>
          <x:t xml:space="preserve"/>
        </x:is>
      </x:c>
    </x:row>
    <x:row r="26">
      <x:c r="A26" s="30" t="inlineStr">
        <x:is>
          <x:t xml:space="preserve">FT016</x:t>
        </x:is>
      </x:c>
      <x:c r="B26" s="82" t="inlineStr">
        <x:is>
          <x:t xml:space="preserve"/>
        </x:is>
      </x:c>
      <x:c r="C26" s="87" t="str">
        <x:f>IF(B26="","",MAX(1,MIN(24,INT((B26-Assumptions!$B$7)/7)+1)))</x:f>
      </x:c>
      <x:c r="D26" s="76" t="inlineStr">
        <x:is>
          <x:t xml:space="preserve"/>
        </x:is>
      </x:c>
      <x:c r="E26" s="76" t="inlineStr">
        <x:is>
          <x:t xml:space="preserve"/>
        </x:is>
      </x:c>
      <x:c r="F26" s="58" t="n">
        <x:v>0</x:v>
      </x:c>
      <x:c r="G26" s="58" t="n">
        <x:v>0</x:v>
      </x:c>
      <x:c r="H26" s="87" t="n">
        <x:f>MAX(0,G26-F26)</x:f>
        <x:v>0</x:v>
      </x:c>
      <x:c r="I26" s="58" t="n">
        <x:v>0</x:v>
      </x:c>
      <x:c r="J26" s="57" t="n">
        <x:f>Assumptions!$B$20</x:f>
        <x:v>214</x:v>
      </x:c>
      <x:c r="K26" s="96" t="n">
        <x:f>Assumptions!$B$21</x:f>
        <x:v>12</x:v>
      </x:c>
      <x:c r="L26" s="96" t="n">
        <x:f>IF(H26=0,0,H26/K26)</x:f>
        <x:v>0</x:v>
      </x:c>
      <x:c r="M26" s="57" t="n">
        <x:f>H26*J26/K26</x:f>
        <x:v>0</x:v>
      </x:c>
      <x:c r="N26" s="52" t="n">
        <x:v>0</x:v>
      </x:c>
      <x:c r="O26" s="52" t="n">
        <x:v>0</x:v>
      </x:c>
      <x:c r="P26" s="87" t="n">
        <x:f>IF(N26=0,M26,N26)+O26</x:f>
        <x:v>0</x:v>
      </x:c>
      <x:c r="Q26" s="58" t="n">
        <x:v>0</x:v>
      </x:c>
      <x:c r="R26" s="58" t="n">
        <x:v>0</x:v>
      </x:c>
      <x:c r="S26" s="58" t="n">
        <x:v>0</x:v>
      </x:c>
      <x:c r="T26" s="76" t="inlineStr">
        <x:is>
          <x:t xml:space="preserve"/>
        </x:is>
      </x:c>
      <x:c r="U26" s="76" t="inlineStr">
        <x:is>
          <x:t xml:space="preserve"/>
        </x:is>
      </x:c>
    </x:row>
    <x:row r="27">
      <x:c r="A27" s="31" t="inlineStr">
        <x:is>
          <x:t xml:space="preserve">FT017</x:t>
        </x:is>
      </x:c>
      <x:c r="B27" s="80" t="inlineStr">
        <x:is>
          <x:t xml:space="preserve"/>
        </x:is>
      </x:c>
      <x:c r="C27" s="85" t="str">
        <x:f>IF(B27="","",MAX(1,MIN(24,INT((B27-Assumptions!$B$7)/7)+1)))</x:f>
      </x:c>
      <x:c r="D27" s="75" t="inlineStr">
        <x:is>
          <x:t xml:space="preserve"/>
        </x:is>
      </x:c>
      <x:c r="E27" s="75" t="inlineStr">
        <x:is>
          <x:t xml:space="preserve"/>
        </x:is>
      </x:c>
      <x:c r="F27" s="58" t="n">
        <x:v>0</x:v>
      </x:c>
      <x:c r="G27" s="58" t="n">
        <x:v>0</x:v>
      </x:c>
      <x:c r="H27" s="85" t="n">
        <x:f>MAX(0,G27-F27)</x:f>
        <x:v>0</x:v>
      </x:c>
      <x:c r="I27" s="58" t="n">
        <x:v>0</x:v>
      </x:c>
      <x:c r="J27" s="94" t="n">
        <x:f>Assumptions!$B$20</x:f>
        <x:v>214</x:v>
      </x:c>
      <x:c r="K27" s="95" t="n">
        <x:f>Assumptions!$B$21</x:f>
        <x:v>12</x:v>
      </x:c>
      <x:c r="L27" s="95" t="n">
        <x:f>IF(H27=0,0,H27/K27)</x:f>
        <x:v>0</x:v>
      </x:c>
      <x:c r="M27" s="94" t="n">
        <x:f>H27*J27/K27</x:f>
        <x:v>0</x:v>
      </x:c>
      <x:c r="N27" s="52" t="n">
        <x:v>0</x:v>
      </x:c>
      <x:c r="O27" s="52" t="n">
        <x:v>0</x:v>
      </x:c>
      <x:c r="P27" s="85" t="n">
        <x:f>IF(N27=0,M27,N27)+O27</x:f>
        <x:v>0</x:v>
      </x:c>
      <x:c r="Q27" s="58" t="n">
        <x:v>0</x:v>
      </x:c>
      <x:c r="R27" s="58" t="n">
        <x:v>0</x:v>
      </x:c>
      <x:c r="S27" s="58" t="n">
        <x:v>0</x:v>
      </x:c>
      <x:c r="T27" s="75" t="inlineStr">
        <x:is>
          <x:t xml:space="preserve"/>
        </x:is>
      </x:c>
      <x:c r="U27" s="75" t="inlineStr">
        <x:is>
          <x:t xml:space="preserve"/>
        </x:is>
      </x:c>
    </x:row>
    <x:row r="28">
      <x:c r="A28" s="30" t="inlineStr">
        <x:is>
          <x:t xml:space="preserve">FT018</x:t>
        </x:is>
      </x:c>
      <x:c r="B28" s="82" t="inlineStr">
        <x:is>
          <x:t xml:space="preserve"/>
        </x:is>
      </x:c>
      <x:c r="C28" s="87" t="str">
        <x:f>IF(B28="","",MAX(1,MIN(24,INT((B28-Assumptions!$B$7)/7)+1)))</x:f>
      </x:c>
      <x:c r="D28" s="76" t="inlineStr">
        <x:is>
          <x:t xml:space="preserve"/>
        </x:is>
      </x:c>
      <x:c r="E28" s="76" t="inlineStr">
        <x:is>
          <x:t xml:space="preserve"/>
        </x:is>
      </x:c>
      <x:c r="F28" s="58" t="n">
        <x:v>0</x:v>
      </x:c>
      <x:c r="G28" s="58" t="n">
        <x:v>0</x:v>
      </x:c>
      <x:c r="H28" s="87" t="n">
        <x:f>MAX(0,G28-F28)</x:f>
        <x:v>0</x:v>
      </x:c>
      <x:c r="I28" s="58" t="n">
        <x:v>0</x:v>
      </x:c>
      <x:c r="J28" s="57" t="n">
        <x:f>Assumptions!$B$20</x:f>
        <x:v>214</x:v>
      </x:c>
      <x:c r="K28" s="96" t="n">
        <x:f>Assumptions!$B$21</x:f>
        <x:v>12</x:v>
      </x:c>
      <x:c r="L28" s="96" t="n">
        <x:f>IF(H28=0,0,H28/K28)</x:f>
        <x:v>0</x:v>
      </x:c>
      <x:c r="M28" s="57" t="n">
        <x:f>H28*J28/K28</x:f>
        <x:v>0</x:v>
      </x:c>
      <x:c r="N28" s="52" t="n">
        <x:v>0</x:v>
      </x:c>
      <x:c r="O28" s="52" t="n">
        <x:v>0</x:v>
      </x:c>
      <x:c r="P28" s="87" t="n">
        <x:f>IF(N28=0,M28,N28)+O28</x:f>
        <x:v>0</x:v>
      </x:c>
      <x:c r="Q28" s="58" t="n">
        <x:v>0</x:v>
      </x:c>
      <x:c r="R28" s="58" t="n">
        <x:v>0</x:v>
      </x:c>
      <x:c r="S28" s="58" t="n">
        <x:v>0</x:v>
      </x:c>
      <x:c r="T28" s="76" t="inlineStr">
        <x:is>
          <x:t xml:space="preserve"/>
        </x:is>
      </x:c>
      <x:c r="U28" s="76" t="inlineStr">
        <x:is>
          <x:t xml:space="preserve"/>
        </x:is>
      </x:c>
    </x:row>
    <x:row r="29">
      <x:c r="A29" s="31" t="inlineStr">
        <x:is>
          <x:t xml:space="preserve">FT019</x:t>
        </x:is>
      </x:c>
      <x:c r="B29" s="80" t="inlineStr">
        <x:is>
          <x:t xml:space="preserve"/>
        </x:is>
      </x:c>
      <x:c r="C29" s="85" t="str">
        <x:f>IF(B29="","",MAX(1,MIN(24,INT((B29-Assumptions!$B$7)/7)+1)))</x:f>
      </x:c>
      <x:c r="D29" s="75" t="inlineStr">
        <x:is>
          <x:t xml:space="preserve"/>
        </x:is>
      </x:c>
      <x:c r="E29" s="75" t="inlineStr">
        <x:is>
          <x:t xml:space="preserve"/>
        </x:is>
      </x:c>
      <x:c r="F29" s="58" t="n">
        <x:v>0</x:v>
      </x:c>
      <x:c r="G29" s="58" t="n">
        <x:v>0</x:v>
      </x:c>
      <x:c r="H29" s="85" t="n">
        <x:f>MAX(0,G29-F29)</x:f>
        <x:v>0</x:v>
      </x:c>
      <x:c r="I29" s="58" t="n">
        <x:v>0</x:v>
      </x:c>
      <x:c r="J29" s="94" t="n">
        <x:f>Assumptions!$B$20</x:f>
        <x:v>214</x:v>
      </x:c>
      <x:c r="K29" s="95" t="n">
        <x:f>Assumptions!$B$21</x:f>
        <x:v>12</x:v>
      </x:c>
      <x:c r="L29" s="95" t="n">
        <x:f>IF(H29=0,0,H29/K29)</x:f>
        <x:v>0</x:v>
      </x:c>
      <x:c r="M29" s="94" t="n">
        <x:f>H29*J29/K29</x:f>
        <x:v>0</x:v>
      </x:c>
      <x:c r="N29" s="52" t="n">
        <x:v>0</x:v>
      </x:c>
      <x:c r="O29" s="52" t="n">
        <x:v>0</x:v>
      </x:c>
      <x:c r="P29" s="85" t="n">
        <x:f>IF(N29=0,M29,N29)+O29</x:f>
        <x:v>0</x:v>
      </x:c>
      <x:c r="Q29" s="58" t="n">
        <x:v>0</x:v>
      </x:c>
      <x:c r="R29" s="58" t="n">
        <x:v>0</x:v>
      </x:c>
      <x:c r="S29" s="58" t="n">
        <x:v>0</x:v>
      </x:c>
      <x:c r="T29" s="75" t="inlineStr">
        <x:is>
          <x:t xml:space="preserve"/>
        </x:is>
      </x:c>
      <x:c r="U29" s="75" t="inlineStr">
        <x:is>
          <x:t xml:space="preserve"/>
        </x:is>
      </x:c>
    </x:row>
    <x:row r="30">
      <x:c r="A30" s="30" t="inlineStr">
        <x:is>
          <x:t xml:space="preserve">FT020</x:t>
        </x:is>
      </x:c>
      <x:c r="B30" s="82" t="inlineStr">
        <x:is>
          <x:t xml:space="preserve"/>
        </x:is>
      </x:c>
      <x:c r="C30" s="87" t="str">
        <x:f>IF(B30="","",MAX(1,MIN(24,INT((B30-Assumptions!$B$7)/7)+1)))</x:f>
      </x:c>
      <x:c r="D30" s="76" t="inlineStr">
        <x:is>
          <x:t xml:space="preserve"/>
        </x:is>
      </x:c>
      <x:c r="E30" s="76" t="inlineStr">
        <x:is>
          <x:t xml:space="preserve"/>
        </x:is>
      </x:c>
      <x:c r="F30" s="58" t="n">
        <x:v>0</x:v>
      </x:c>
      <x:c r="G30" s="58" t="n">
        <x:v>0</x:v>
      </x:c>
      <x:c r="H30" s="87" t="n">
        <x:f>MAX(0,G30-F30)</x:f>
        <x:v>0</x:v>
      </x:c>
      <x:c r="I30" s="58" t="n">
        <x:v>0</x:v>
      </x:c>
      <x:c r="J30" s="57" t="n">
        <x:f>Assumptions!$B$20</x:f>
        <x:v>214</x:v>
      </x:c>
      <x:c r="K30" s="96" t="n">
        <x:f>Assumptions!$B$21</x:f>
        <x:v>12</x:v>
      </x:c>
      <x:c r="L30" s="96" t="n">
        <x:f>IF(H30=0,0,H30/K30)</x:f>
        <x:v>0</x:v>
      </x:c>
      <x:c r="M30" s="57" t="n">
        <x:f>H30*J30/K30</x:f>
        <x:v>0</x:v>
      </x:c>
      <x:c r="N30" s="52" t="n">
        <x:v>0</x:v>
      </x:c>
      <x:c r="O30" s="52" t="n">
        <x:v>0</x:v>
      </x:c>
      <x:c r="P30" s="87" t="n">
        <x:f>IF(N30=0,M30,N30)+O30</x:f>
        <x:v>0</x:v>
      </x:c>
      <x:c r="Q30" s="58" t="n">
        <x:v>0</x:v>
      </x:c>
      <x:c r="R30" s="58" t="n">
        <x:v>0</x:v>
      </x:c>
      <x:c r="S30" s="58" t="n">
        <x:v>0</x:v>
      </x:c>
      <x:c r="T30" s="76" t="inlineStr">
        <x:is>
          <x:t xml:space="preserve"/>
        </x:is>
      </x:c>
      <x:c r="U30" s="76" t="inlineStr">
        <x:is>
          <x:t xml:space="preserve"/>
        </x:is>
      </x:c>
    </x:row>
    <x:row r="31">
      <x:c r="A31" s="31" t="inlineStr">
        <x:is>
          <x:t xml:space="preserve">FT021</x:t>
        </x:is>
      </x:c>
      <x:c r="B31" s="80" t="inlineStr">
        <x:is>
          <x:t xml:space="preserve"/>
        </x:is>
      </x:c>
      <x:c r="C31" s="85" t="str">
        <x:f>IF(B31="","",MAX(1,MIN(24,INT((B31-Assumptions!$B$7)/7)+1)))</x:f>
      </x:c>
      <x:c r="D31" s="75" t="inlineStr">
        <x:is>
          <x:t xml:space="preserve"/>
        </x:is>
      </x:c>
      <x:c r="E31" s="75" t="inlineStr">
        <x:is>
          <x:t xml:space="preserve"/>
        </x:is>
      </x:c>
      <x:c r="F31" s="58" t="n">
        <x:v>0</x:v>
      </x:c>
      <x:c r="G31" s="58" t="n">
        <x:v>0</x:v>
      </x:c>
      <x:c r="H31" s="85" t="n">
        <x:f>MAX(0,G31-F31)</x:f>
        <x:v>0</x:v>
      </x:c>
      <x:c r="I31" s="58" t="n">
        <x:v>0</x:v>
      </x:c>
      <x:c r="J31" s="94" t="n">
        <x:f>Assumptions!$B$20</x:f>
        <x:v>214</x:v>
      </x:c>
      <x:c r="K31" s="95" t="n">
        <x:f>Assumptions!$B$21</x:f>
        <x:v>12</x:v>
      </x:c>
      <x:c r="L31" s="95" t="n">
        <x:f>IF(H31=0,0,H31/K31)</x:f>
        <x:v>0</x:v>
      </x:c>
      <x:c r="M31" s="94" t="n">
        <x:f>H31*J31/K31</x:f>
        <x:v>0</x:v>
      </x:c>
      <x:c r="N31" s="52" t="n">
        <x:v>0</x:v>
      </x:c>
      <x:c r="O31" s="52" t="n">
        <x:v>0</x:v>
      </x:c>
      <x:c r="P31" s="85" t="n">
        <x:f>IF(N31=0,M31,N31)+O31</x:f>
        <x:v>0</x:v>
      </x:c>
      <x:c r="Q31" s="58" t="n">
        <x:v>0</x:v>
      </x:c>
      <x:c r="R31" s="58" t="n">
        <x:v>0</x:v>
      </x:c>
      <x:c r="S31" s="58" t="n">
        <x:v>0</x:v>
      </x:c>
      <x:c r="T31" s="75" t="inlineStr">
        <x:is>
          <x:t xml:space="preserve"/>
        </x:is>
      </x:c>
      <x:c r="U31" s="75" t="inlineStr">
        <x:is>
          <x:t xml:space="preserve"/>
        </x:is>
      </x:c>
    </x:row>
    <x:row r="32">
      <x:c r="A32" s="30" t="inlineStr">
        <x:is>
          <x:t xml:space="preserve">FT022</x:t>
        </x:is>
      </x:c>
      <x:c r="B32" s="82" t="inlineStr">
        <x:is>
          <x:t xml:space="preserve"/>
        </x:is>
      </x:c>
      <x:c r="C32" s="87" t="str">
        <x:f>IF(B32="","",MAX(1,MIN(24,INT((B32-Assumptions!$B$7)/7)+1)))</x:f>
      </x:c>
      <x:c r="D32" s="76" t="inlineStr">
        <x:is>
          <x:t xml:space="preserve"/>
        </x:is>
      </x:c>
      <x:c r="E32" s="76" t="inlineStr">
        <x:is>
          <x:t xml:space="preserve"/>
        </x:is>
      </x:c>
      <x:c r="F32" s="58" t="n">
        <x:v>0</x:v>
      </x:c>
      <x:c r="G32" s="58" t="n">
        <x:v>0</x:v>
      </x:c>
      <x:c r="H32" s="87" t="n">
        <x:f>MAX(0,G32-F32)</x:f>
        <x:v>0</x:v>
      </x:c>
      <x:c r="I32" s="58" t="n">
        <x:v>0</x:v>
      </x:c>
      <x:c r="J32" s="57" t="n">
        <x:f>Assumptions!$B$20</x:f>
        <x:v>214</x:v>
      </x:c>
      <x:c r="K32" s="96" t="n">
        <x:f>Assumptions!$B$21</x:f>
        <x:v>12</x:v>
      </x:c>
      <x:c r="L32" s="96" t="n">
        <x:f>IF(H32=0,0,H32/K32)</x:f>
        <x:v>0</x:v>
      </x:c>
      <x:c r="M32" s="57" t="n">
        <x:f>H32*J32/K32</x:f>
        <x:v>0</x:v>
      </x:c>
      <x:c r="N32" s="52" t="n">
        <x:v>0</x:v>
      </x:c>
      <x:c r="O32" s="52" t="n">
        <x:v>0</x:v>
      </x:c>
      <x:c r="P32" s="87" t="n">
        <x:f>IF(N32=0,M32,N32)+O32</x:f>
        <x:v>0</x:v>
      </x:c>
      <x:c r="Q32" s="58" t="n">
        <x:v>0</x:v>
      </x:c>
      <x:c r="R32" s="58" t="n">
        <x:v>0</x:v>
      </x:c>
      <x:c r="S32" s="58" t="n">
        <x:v>0</x:v>
      </x:c>
      <x:c r="T32" s="76" t="inlineStr">
        <x:is>
          <x:t xml:space="preserve"/>
        </x:is>
      </x:c>
      <x:c r="U32" s="76" t="inlineStr">
        <x:is>
          <x:t xml:space="preserve"/>
        </x:is>
      </x:c>
    </x:row>
    <x:row r="33">
      <x:c r="A33" s="31" t="inlineStr">
        <x:is>
          <x:t xml:space="preserve">FT023</x:t>
        </x:is>
      </x:c>
      <x:c r="B33" s="80" t="inlineStr">
        <x:is>
          <x:t xml:space="preserve"/>
        </x:is>
      </x:c>
      <x:c r="C33" s="85" t="str">
        <x:f>IF(B33="","",MAX(1,MIN(24,INT((B33-Assumptions!$B$7)/7)+1)))</x:f>
      </x:c>
      <x:c r="D33" s="75" t="inlineStr">
        <x:is>
          <x:t xml:space="preserve"/>
        </x:is>
      </x:c>
      <x:c r="E33" s="75" t="inlineStr">
        <x:is>
          <x:t xml:space="preserve"/>
        </x:is>
      </x:c>
      <x:c r="F33" s="58" t="n">
        <x:v>0</x:v>
      </x:c>
      <x:c r="G33" s="58" t="n">
        <x:v>0</x:v>
      </x:c>
      <x:c r="H33" s="85" t="n">
        <x:f>MAX(0,G33-F33)</x:f>
        <x:v>0</x:v>
      </x:c>
      <x:c r="I33" s="58" t="n">
        <x:v>0</x:v>
      </x:c>
      <x:c r="J33" s="94" t="n">
        <x:f>Assumptions!$B$20</x:f>
        <x:v>214</x:v>
      </x:c>
      <x:c r="K33" s="95" t="n">
        <x:f>Assumptions!$B$21</x:f>
        <x:v>12</x:v>
      </x:c>
      <x:c r="L33" s="95" t="n">
        <x:f>IF(H33=0,0,H33/K33)</x:f>
        <x:v>0</x:v>
      </x:c>
      <x:c r="M33" s="94" t="n">
        <x:f>H33*J33/K33</x:f>
        <x:v>0</x:v>
      </x:c>
      <x:c r="N33" s="52" t="n">
        <x:v>0</x:v>
      </x:c>
      <x:c r="O33" s="52" t="n">
        <x:v>0</x:v>
      </x:c>
      <x:c r="P33" s="85" t="n">
        <x:f>IF(N33=0,M33,N33)+O33</x:f>
        <x:v>0</x:v>
      </x:c>
      <x:c r="Q33" s="58" t="n">
        <x:v>0</x:v>
      </x:c>
      <x:c r="R33" s="58" t="n">
        <x:v>0</x:v>
      </x:c>
      <x:c r="S33" s="58" t="n">
        <x:v>0</x:v>
      </x:c>
      <x:c r="T33" s="75" t="inlineStr">
        <x:is>
          <x:t xml:space="preserve"/>
        </x:is>
      </x:c>
      <x:c r="U33" s="75" t="inlineStr">
        <x:is>
          <x:t xml:space="preserve"/>
        </x:is>
      </x:c>
    </x:row>
    <x:row r="34">
      <x:c r="A34" s="30" t="inlineStr">
        <x:is>
          <x:t xml:space="preserve">FT024</x:t>
        </x:is>
      </x:c>
      <x:c r="B34" s="82" t="inlineStr">
        <x:is>
          <x:t xml:space="preserve"/>
        </x:is>
      </x:c>
      <x:c r="C34" s="87" t="str">
        <x:f>IF(B34="","",MAX(1,MIN(24,INT((B34-Assumptions!$B$7)/7)+1)))</x:f>
      </x:c>
      <x:c r="D34" s="76" t="inlineStr">
        <x:is>
          <x:t xml:space="preserve"/>
        </x:is>
      </x:c>
      <x:c r="E34" s="76" t="inlineStr">
        <x:is>
          <x:t xml:space="preserve"/>
        </x:is>
      </x:c>
      <x:c r="F34" s="58" t="n">
        <x:v>0</x:v>
      </x:c>
      <x:c r="G34" s="58" t="n">
        <x:v>0</x:v>
      </x:c>
      <x:c r="H34" s="87" t="n">
        <x:f>MAX(0,G34-F34)</x:f>
        <x:v>0</x:v>
      </x:c>
      <x:c r="I34" s="58" t="n">
        <x:v>0</x:v>
      </x:c>
      <x:c r="J34" s="57" t="n">
        <x:f>Assumptions!$B$20</x:f>
        <x:v>214</x:v>
      </x:c>
      <x:c r="K34" s="96" t="n">
        <x:f>Assumptions!$B$21</x:f>
        <x:v>12</x:v>
      </x:c>
      <x:c r="L34" s="96" t="n">
        <x:f>IF(H34=0,0,H34/K34)</x:f>
        <x:v>0</x:v>
      </x:c>
      <x:c r="M34" s="57" t="n">
        <x:f>H34*J34/K34</x:f>
        <x:v>0</x:v>
      </x:c>
      <x:c r="N34" s="52" t="n">
        <x:v>0</x:v>
      </x:c>
      <x:c r="O34" s="52" t="n">
        <x:v>0</x:v>
      </x:c>
      <x:c r="P34" s="87" t="n">
        <x:f>IF(N34=0,M34,N34)+O34</x:f>
        <x:v>0</x:v>
      </x:c>
      <x:c r="Q34" s="58" t="n">
        <x:v>0</x:v>
      </x:c>
      <x:c r="R34" s="58" t="n">
        <x:v>0</x:v>
      </x:c>
      <x:c r="S34" s="58" t="n">
        <x:v>0</x:v>
      </x:c>
      <x:c r="T34" s="76" t="inlineStr">
        <x:is>
          <x:t xml:space="preserve"/>
        </x:is>
      </x:c>
      <x:c r="U34" s="76" t="inlineStr">
        <x:is>
          <x:t xml:space="preserve"/>
        </x:is>
      </x:c>
    </x:row>
    <x:row r="35">
      <x:c r="A35" s="31" t="inlineStr">
        <x:is>
          <x:t xml:space="preserve">FT025</x:t>
        </x:is>
      </x:c>
      <x:c r="B35" s="80" t="inlineStr">
        <x:is>
          <x:t xml:space="preserve"/>
        </x:is>
      </x:c>
      <x:c r="C35" s="85" t="str">
        <x:f>IF(B35="","",MAX(1,MIN(24,INT((B35-Assumptions!$B$7)/7)+1)))</x:f>
      </x:c>
      <x:c r="D35" s="75" t="inlineStr">
        <x:is>
          <x:t xml:space="preserve"/>
        </x:is>
      </x:c>
      <x:c r="E35" s="75" t="inlineStr">
        <x:is>
          <x:t xml:space="preserve"/>
        </x:is>
      </x:c>
      <x:c r="F35" s="58" t="n">
        <x:v>0</x:v>
      </x:c>
      <x:c r="G35" s="58" t="n">
        <x:v>0</x:v>
      </x:c>
      <x:c r="H35" s="85" t="n">
        <x:f>MAX(0,G35-F35)</x:f>
        <x:v>0</x:v>
      </x:c>
      <x:c r="I35" s="58" t="n">
        <x:v>0</x:v>
      </x:c>
      <x:c r="J35" s="94" t="n">
        <x:f>Assumptions!$B$20</x:f>
        <x:v>214</x:v>
      </x:c>
      <x:c r="K35" s="95" t="n">
        <x:f>Assumptions!$B$21</x:f>
        <x:v>12</x:v>
      </x:c>
      <x:c r="L35" s="95" t="n">
        <x:f>IF(H35=0,0,H35/K35)</x:f>
        <x:v>0</x:v>
      </x:c>
      <x:c r="M35" s="94" t="n">
        <x:f>H35*J35/K35</x:f>
        <x:v>0</x:v>
      </x:c>
      <x:c r="N35" s="52" t="n">
        <x:v>0</x:v>
      </x:c>
      <x:c r="O35" s="52" t="n">
        <x:v>0</x:v>
      </x:c>
      <x:c r="P35" s="85" t="n">
        <x:f>IF(N35=0,M35,N35)+O35</x:f>
        <x:v>0</x:v>
      </x:c>
      <x:c r="Q35" s="58" t="n">
        <x:v>0</x:v>
      </x:c>
      <x:c r="R35" s="58" t="n">
        <x:v>0</x:v>
      </x:c>
      <x:c r="S35" s="58" t="n">
        <x:v>0</x:v>
      </x:c>
      <x:c r="T35" s="75" t="inlineStr">
        <x:is>
          <x:t xml:space="preserve"/>
        </x:is>
      </x:c>
      <x:c r="U35" s="75" t="inlineStr">
        <x:is>
          <x:t xml:space="preserve"/>
        </x:is>
      </x:c>
    </x:row>
    <x:row r="36">
      <x:c r="A36" s="30" t="inlineStr">
        <x:is>
          <x:t xml:space="preserve">FT026</x:t>
        </x:is>
      </x:c>
      <x:c r="B36" s="82" t="inlineStr">
        <x:is>
          <x:t xml:space="preserve"/>
        </x:is>
      </x:c>
      <x:c r="C36" s="87" t="str">
        <x:f>IF(B36="","",MAX(1,MIN(24,INT((B36-Assumptions!$B$7)/7)+1)))</x:f>
      </x:c>
      <x:c r="D36" s="76" t="inlineStr">
        <x:is>
          <x:t xml:space="preserve"/>
        </x:is>
      </x:c>
      <x:c r="E36" s="76" t="inlineStr">
        <x:is>
          <x:t xml:space="preserve"/>
        </x:is>
      </x:c>
      <x:c r="F36" s="58" t="n">
        <x:v>0</x:v>
      </x:c>
      <x:c r="G36" s="58" t="n">
        <x:v>0</x:v>
      </x:c>
      <x:c r="H36" s="87" t="n">
        <x:f>MAX(0,G36-F36)</x:f>
        <x:v>0</x:v>
      </x:c>
      <x:c r="I36" s="58" t="n">
        <x:v>0</x:v>
      </x:c>
      <x:c r="J36" s="57" t="n">
        <x:f>Assumptions!$B$20</x:f>
        <x:v>214</x:v>
      </x:c>
      <x:c r="K36" s="96" t="n">
        <x:f>Assumptions!$B$21</x:f>
        <x:v>12</x:v>
      </x:c>
      <x:c r="L36" s="96" t="n">
        <x:f>IF(H36=0,0,H36/K36)</x:f>
        <x:v>0</x:v>
      </x:c>
      <x:c r="M36" s="57" t="n">
        <x:f>H36*J36/K36</x:f>
        <x:v>0</x:v>
      </x:c>
      <x:c r="N36" s="52" t="n">
        <x:v>0</x:v>
      </x:c>
      <x:c r="O36" s="52" t="n">
        <x:v>0</x:v>
      </x:c>
      <x:c r="P36" s="87" t="n">
        <x:f>IF(N36=0,M36,N36)+O36</x:f>
        <x:v>0</x:v>
      </x:c>
      <x:c r="Q36" s="58" t="n">
        <x:v>0</x:v>
      </x:c>
      <x:c r="R36" s="58" t="n">
        <x:v>0</x:v>
      </x:c>
      <x:c r="S36" s="58" t="n">
        <x:v>0</x:v>
      </x:c>
      <x:c r="T36" s="76" t="inlineStr">
        <x:is>
          <x:t xml:space="preserve"/>
        </x:is>
      </x:c>
      <x:c r="U36" s="76" t="inlineStr">
        <x:is>
          <x:t xml:space="preserve"/>
        </x:is>
      </x:c>
    </x:row>
    <x:row r="37">
      <x:c r="A37" s="31" t="inlineStr">
        <x:is>
          <x:t xml:space="preserve">FT027</x:t>
        </x:is>
      </x:c>
      <x:c r="B37" s="80" t="inlineStr">
        <x:is>
          <x:t xml:space="preserve"/>
        </x:is>
      </x:c>
      <x:c r="C37" s="85" t="str">
        <x:f>IF(B37="","",MAX(1,MIN(24,INT((B37-Assumptions!$B$7)/7)+1)))</x:f>
      </x:c>
      <x:c r="D37" s="75" t="inlineStr">
        <x:is>
          <x:t xml:space="preserve"/>
        </x:is>
      </x:c>
      <x:c r="E37" s="75" t="inlineStr">
        <x:is>
          <x:t xml:space="preserve"/>
        </x:is>
      </x:c>
      <x:c r="F37" s="58" t="n">
        <x:v>0</x:v>
      </x:c>
      <x:c r="G37" s="58" t="n">
        <x:v>0</x:v>
      </x:c>
      <x:c r="H37" s="85" t="n">
        <x:f>MAX(0,G37-F37)</x:f>
        <x:v>0</x:v>
      </x:c>
      <x:c r="I37" s="58" t="n">
        <x:v>0</x:v>
      </x:c>
      <x:c r="J37" s="94" t="n">
        <x:f>Assumptions!$B$20</x:f>
        <x:v>214</x:v>
      </x:c>
      <x:c r="K37" s="95" t="n">
        <x:f>Assumptions!$B$21</x:f>
        <x:v>12</x:v>
      </x:c>
      <x:c r="L37" s="95" t="n">
        <x:f>IF(H37=0,0,H37/K37)</x:f>
        <x:v>0</x:v>
      </x:c>
      <x:c r="M37" s="94" t="n">
        <x:f>H37*J37/K37</x:f>
        <x:v>0</x:v>
      </x:c>
      <x:c r="N37" s="52" t="n">
        <x:v>0</x:v>
      </x:c>
      <x:c r="O37" s="52" t="n">
        <x:v>0</x:v>
      </x:c>
      <x:c r="P37" s="85" t="n">
        <x:f>IF(N37=0,M37,N37)+O37</x:f>
        <x:v>0</x:v>
      </x:c>
      <x:c r="Q37" s="58" t="n">
        <x:v>0</x:v>
      </x:c>
      <x:c r="R37" s="58" t="n">
        <x:v>0</x:v>
      </x:c>
      <x:c r="S37" s="58" t="n">
        <x:v>0</x:v>
      </x:c>
      <x:c r="T37" s="75" t="inlineStr">
        <x:is>
          <x:t xml:space="preserve"/>
        </x:is>
      </x:c>
      <x:c r="U37" s="75" t="inlineStr">
        <x:is>
          <x:t xml:space="preserve"/>
        </x:is>
      </x:c>
    </x:row>
    <x:row r="38">
      <x:c r="A38" s="30" t="inlineStr">
        <x:is>
          <x:t xml:space="preserve">FT028</x:t>
        </x:is>
      </x:c>
      <x:c r="B38" s="82" t="inlineStr">
        <x:is>
          <x:t xml:space="preserve"/>
        </x:is>
      </x:c>
      <x:c r="C38" s="87" t="str">
        <x:f>IF(B38="","",MAX(1,MIN(24,INT((B38-Assumptions!$B$7)/7)+1)))</x:f>
      </x:c>
      <x:c r="D38" s="76" t="inlineStr">
        <x:is>
          <x:t xml:space="preserve"/>
        </x:is>
      </x:c>
      <x:c r="E38" s="76" t="inlineStr">
        <x:is>
          <x:t xml:space="preserve"/>
        </x:is>
      </x:c>
      <x:c r="F38" s="58" t="n">
        <x:v>0</x:v>
      </x:c>
      <x:c r="G38" s="58" t="n">
        <x:v>0</x:v>
      </x:c>
      <x:c r="H38" s="87" t="n">
        <x:f>MAX(0,G38-F38)</x:f>
        <x:v>0</x:v>
      </x:c>
      <x:c r="I38" s="58" t="n">
        <x:v>0</x:v>
      </x:c>
      <x:c r="J38" s="57" t="n">
        <x:f>Assumptions!$B$20</x:f>
        <x:v>214</x:v>
      </x:c>
      <x:c r="K38" s="96" t="n">
        <x:f>Assumptions!$B$21</x:f>
        <x:v>12</x:v>
      </x:c>
      <x:c r="L38" s="96" t="n">
        <x:f>IF(H38=0,0,H38/K38)</x:f>
        <x:v>0</x:v>
      </x:c>
      <x:c r="M38" s="57" t="n">
        <x:f>H38*J38/K38</x:f>
        <x:v>0</x:v>
      </x:c>
      <x:c r="N38" s="52" t="n">
        <x:v>0</x:v>
      </x:c>
      <x:c r="O38" s="52" t="n">
        <x:v>0</x:v>
      </x:c>
      <x:c r="P38" s="87" t="n">
        <x:f>IF(N38=0,M38,N38)+O38</x:f>
        <x:v>0</x:v>
      </x:c>
      <x:c r="Q38" s="58" t="n">
        <x:v>0</x:v>
      </x:c>
      <x:c r="R38" s="58" t="n">
        <x:v>0</x:v>
      </x:c>
      <x:c r="S38" s="58" t="n">
        <x:v>0</x:v>
      </x:c>
      <x:c r="T38" s="76" t="inlineStr">
        <x:is>
          <x:t xml:space="preserve"/>
        </x:is>
      </x:c>
      <x:c r="U38" s="76" t="inlineStr">
        <x:is>
          <x:t xml:space="preserve"/>
        </x:is>
      </x:c>
    </x:row>
    <x:row r="39">
      <x:c r="A39" s="31" t="inlineStr">
        <x:is>
          <x:t xml:space="preserve">FT029</x:t>
        </x:is>
      </x:c>
      <x:c r="B39" s="80" t="inlineStr">
        <x:is>
          <x:t xml:space="preserve"/>
        </x:is>
      </x:c>
      <x:c r="C39" s="85" t="str">
        <x:f>IF(B39="","",MAX(1,MIN(24,INT((B39-Assumptions!$B$7)/7)+1)))</x:f>
      </x:c>
      <x:c r="D39" s="75" t="inlineStr">
        <x:is>
          <x:t xml:space="preserve"/>
        </x:is>
      </x:c>
      <x:c r="E39" s="75" t="inlineStr">
        <x:is>
          <x:t xml:space="preserve"/>
        </x:is>
      </x:c>
      <x:c r="F39" s="58" t="n">
        <x:v>0</x:v>
      </x:c>
      <x:c r="G39" s="58" t="n">
        <x:v>0</x:v>
      </x:c>
      <x:c r="H39" s="85" t="n">
        <x:f>MAX(0,G39-F39)</x:f>
        <x:v>0</x:v>
      </x:c>
      <x:c r="I39" s="58" t="n">
        <x:v>0</x:v>
      </x:c>
      <x:c r="J39" s="94" t="n">
        <x:f>Assumptions!$B$20</x:f>
        <x:v>214</x:v>
      </x:c>
      <x:c r="K39" s="95" t="n">
        <x:f>Assumptions!$B$21</x:f>
        <x:v>12</x:v>
      </x:c>
      <x:c r="L39" s="95" t="n">
        <x:f>IF(H39=0,0,H39/K39)</x:f>
        <x:v>0</x:v>
      </x:c>
      <x:c r="M39" s="94" t="n">
        <x:f>H39*J39/K39</x:f>
        <x:v>0</x:v>
      </x:c>
      <x:c r="N39" s="52" t="n">
        <x:v>0</x:v>
      </x:c>
      <x:c r="O39" s="52" t="n">
        <x:v>0</x:v>
      </x:c>
      <x:c r="P39" s="85" t="n">
        <x:f>IF(N39=0,M39,N39)+O39</x:f>
        <x:v>0</x:v>
      </x:c>
      <x:c r="Q39" s="58" t="n">
        <x:v>0</x:v>
      </x:c>
      <x:c r="R39" s="58" t="n">
        <x:v>0</x:v>
      </x:c>
      <x:c r="S39" s="58" t="n">
        <x:v>0</x:v>
      </x:c>
      <x:c r="T39" s="75" t="inlineStr">
        <x:is>
          <x:t xml:space="preserve"/>
        </x:is>
      </x:c>
      <x:c r="U39" s="75" t="inlineStr">
        <x:is>
          <x:t xml:space="preserve"/>
        </x:is>
      </x:c>
    </x:row>
    <x:row r="40">
      <x:c r="A40" s="30" t="inlineStr">
        <x:is>
          <x:t xml:space="preserve">FT030</x:t>
        </x:is>
      </x:c>
      <x:c r="B40" s="82" t="inlineStr">
        <x:is>
          <x:t xml:space="preserve"/>
        </x:is>
      </x:c>
      <x:c r="C40" s="87" t="str">
        <x:f>IF(B40="","",MAX(1,MIN(24,INT((B40-Assumptions!$B$7)/7)+1)))</x:f>
      </x:c>
      <x:c r="D40" s="76" t="inlineStr">
        <x:is>
          <x:t xml:space="preserve"/>
        </x:is>
      </x:c>
      <x:c r="E40" s="76" t="inlineStr">
        <x:is>
          <x:t xml:space="preserve"/>
        </x:is>
      </x:c>
      <x:c r="F40" s="58" t="n">
        <x:v>0</x:v>
      </x:c>
      <x:c r="G40" s="58" t="n">
        <x:v>0</x:v>
      </x:c>
      <x:c r="H40" s="87" t="n">
        <x:f>MAX(0,G40-F40)</x:f>
        <x:v>0</x:v>
      </x:c>
      <x:c r="I40" s="58" t="n">
        <x:v>0</x:v>
      </x:c>
      <x:c r="J40" s="57" t="n">
        <x:f>Assumptions!$B$20</x:f>
        <x:v>214</x:v>
      </x:c>
      <x:c r="K40" s="96" t="n">
        <x:f>Assumptions!$B$21</x:f>
        <x:v>12</x:v>
      </x:c>
      <x:c r="L40" s="96" t="n">
        <x:f>IF(H40=0,0,H40/K40)</x:f>
        <x:v>0</x:v>
      </x:c>
      <x:c r="M40" s="57" t="n">
        <x:f>H40*J40/K40</x:f>
        <x:v>0</x:v>
      </x:c>
      <x:c r="N40" s="52" t="n">
        <x:v>0</x:v>
      </x:c>
      <x:c r="O40" s="52" t="n">
        <x:v>0</x:v>
      </x:c>
      <x:c r="P40" s="87" t="n">
        <x:f>IF(N40=0,M40,N40)+O40</x:f>
        <x:v>0</x:v>
      </x:c>
      <x:c r="Q40" s="58" t="n">
        <x:v>0</x:v>
      </x:c>
      <x:c r="R40" s="58" t="n">
        <x:v>0</x:v>
      </x:c>
      <x:c r="S40" s="58" t="n">
        <x:v>0</x:v>
      </x:c>
      <x:c r="T40" s="76" t="inlineStr">
        <x:is>
          <x:t xml:space="preserve"/>
        </x:is>
      </x:c>
      <x:c r="U40" s="76" t="inlineStr">
        <x:is>
          <x:t xml:space="preserve"/>
        </x:is>
      </x:c>
    </x:row>
    <x:row r="41">
      <x:c r="A41" s="31" t="inlineStr">
        <x:is>
          <x:t xml:space="preserve">FT031</x:t>
        </x:is>
      </x:c>
      <x:c r="B41" s="80" t="inlineStr">
        <x:is>
          <x:t xml:space="preserve"/>
        </x:is>
      </x:c>
      <x:c r="C41" s="85" t="str">
        <x:f>IF(B41="","",MAX(1,MIN(24,INT((B41-Assumptions!$B$7)/7)+1)))</x:f>
      </x:c>
      <x:c r="D41" s="75" t="inlineStr">
        <x:is>
          <x:t xml:space="preserve"/>
        </x:is>
      </x:c>
      <x:c r="E41" s="75" t="inlineStr">
        <x:is>
          <x:t xml:space="preserve"/>
        </x:is>
      </x:c>
      <x:c r="F41" s="58" t="n">
        <x:v>0</x:v>
      </x:c>
      <x:c r="G41" s="58" t="n">
        <x:v>0</x:v>
      </x:c>
      <x:c r="H41" s="85" t="n">
        <x:f>MAX(0,G41-F41)</x:f>
        <x:v>0</x:v>
      </x:c>
      <x:c r="I41" s="58" t="n">
        <x:v>0</x:v>
      </x:c>
      <x:c r="J41" s="94" t="n">
        <x:f>Assumptions!$B$20</x:f>
        <x:v>214</x:v>
      </x:c>
      <x:c r="K41" s="95" t="n">
        <x:f>Assumptions!$B$21</x:f>
        <x:v>12</x:v>
      </x:c>
      <x:c r="L41" s="95" t="n">
        <x:f>IF(H41=0,0,H41/K41)</x:f>
        <x:v>0</x:v>
      </x:c>
      <x:c r="M41" s="94" t="n">
        <x:f>H41*J41/K41</x:f>
        <x:v>0</x:v>
      </x:c>
      <x:c r="N41" s="52" t="n">
        <x:v>0</x:v>
      </x:c>
      <x:c r="O41" s="52" t="n">
        <x:v>0</x:v>
      </x:c>
      <x:c r="P41" s="85" t="n">
        <x:f>IF(N41=0,M41,N41)+O41</x:f>
        <x:v>0</x:v>
      </x:c>
      <x:c r="Q41" s="58" t="n">
        <x:v>0</x:v>
      </x:c>
      <x:c r="R41" s="58" t="n">
        <x:v>0</x:v>
      </x:c>
      <x:c r="S41" s="58" t="n">
        <x:v>0</x:v>
      </x:c>
      <x:c r="T41" s="75" t="inlineStr">
        <x:is>
          <x:t xml:space="preserve"/>
        </x:is>
      </x:c>
      <x:c r="U41" s="75" t="inlineStr">
        <x:is>
          <x:t xml:space="preserve"/>
        </x:is>
      </x:c>
    </x:row>
    <x:row r="42">
      <x:c r="A42" s="30" t="inlineStr">
        <x:is>
          <x:t xml:space="preserve">FT032</x:t>
        </x:is>
      </x:c>
      <x:c r="B42" s="82" t="inlineStr">
        <x:is>
          <x:t xml:space="preserve"/>
        </x:is>
      </x:c>
      <x:c r="C42" s="87" t="str">
        <x:f>IF(B42="","",MAX(1,MIN(24,INT((B42-Assumptions!$B$7)/7)+1)))</x:f>
      </x:c>
      <x:c r="D42" s="76" t="inlineStr">
        <x:is>
          <x:t xml:space="preserve"/>
        </x:is>
      </x:c>
      <x:c r="E42" s="76" t="inlineStr">
        <x:is>
          <x:t xml:space="preserve"/>
        </x:is>
      </x:c>
      <x:c r="F42" s="58" t="n">
        <x:v>0</x:v>
      </x:c>
      <x:c r="G42" s="58" t="n">
        <x:v>0</x:v>
      </x:c>
      <x:c r="H42" s="87" t="n">
        <x:f>MAX(0,G42-F42)</x:f>
        <x:v>0</x:v>
      </x:c>
      <x:c r="I42" s="58" t="n">
        <x:v>0</x:v>
      </x:c>
      <x:c r="J42" s="57" t="n">
        <x:f>Assumptions!$B$20</x:f>
        <x:v>214</x:v>
      </x:c>
      <x:c r="K42" s="96" t="n">
        <x:f>Assumptions!$B$21</x:f>
        <x:v>12</x:v>
      </x:c>
      <x:c r="L42" s="96" t="n">
        <x:f>IF(H42=0,0,H42/K42)</x:f>
        <x:v>0</x:v>
      </x:c>
      <x:c r="M42" s="57" t="n">
        <x:f>H42*J42/K42</x:f>
        <x:v>0</x:v>
      </x:c>
      <x:c r="N42" s="52" t="n">
        <x:v>0</x:v>
      </x:c>
      <x:c r="O42" s="52" t="n">
        <x:v>0</x:v>
      </x:c>
      <x:c r="P42" s="87" t="n">
        <x:f>IF(N42=0,M42,N42)+O42</x:f>
        <x:v>0</x:v>
      </x:c>
      <x:c r="Q42" s="58" t="n">
        <x:v>0</x:v>
      </x:c>
      <x:c r="R42" s="58" t="n">
        <x:v>0</x:v>
      </x:c>
      <x:c r="S42" s="58" t="n">
        <x:v>0</x:v>
      </x:c>
      <x:c r="T42" s="76" t="inlineStr">
        <x:is>
          <x:t xml:space="preserve"/>
        </x:is>
      </x:c>
      <x:c r="U42" s="76" t="inlineStr">
        <x:is>
          <x:t xml:space="preserve"/>
        </x:is>
      </x:c>
    </x:row>
    <x:row r="43">
      <x:c r="A43" s="31" t="inlineStr">
        <x:is>
          <x:t xml:space="preserve">FT033</x:t>
        </x:is>
      </x:c>
      <x:c r="B43" s="80" t="inlineStr">
        <x:is>
          <x:t xml:space="preserve"/>
        </x:is>
      </x:c>
      <x:c r="C43" s="85" t="str">
        <x:f>IF(B43="","",MAX(1,MIN(24,INT((B43-Assumptions!$B$7)/7)+1)))</x:f>
      </x:c>
      <x:c r="D43" s="75" t="inlineStr">
        <x:is>
          <x:t xml:space="preserve"/>
        </x:is>
      </x:c>
      <x:c r="E43" s="75" t="inlineStr">
        <x:is>
          <x:t xml:space="preserve"/>
        </x:is>
      </x:c>
      <x:c r="F43" s="58" t="n">
        <x:v>0</x:v>
      </x:c>
      <x:c r="G43" s="58" t="n">
        <x:v>0</x:v>
      </x:c>
      <x:c r="H43" s="85" t="n">
        <x:f>MAX(0,G43-F43)</x:f>
        <x:v>0</x:v>
      </x:c>
      <x:c r="I43" s="58" t="n">
        <x:v>0</x:v>
      </x:c>
      <x:c r="J43" s="94" t="n">
        <x:f>Assumptions!$B$20</x:f>
        <x:v>214</x:v>
      </x:c>
      <x:c r="K43" s="95" t="n">
        <x:f>Assumptions!$B$21</x:f>
        <x:v>12</x:v>
      </x:c>
      <x:c r="L43" s="95" t="n">
        <x:f>IF(H43=0,0,H43/K43)</x:f>
        <x:v>0</x:v>
      </x:c>
      <x:c r="M43" s="94" t="n">
        <x:f>H43*J43/K43</x:f>
        <x:v>0</x:v>
      </x:c>
      <x:c r="N43" s="52" t="n">
        <x:v>0</x:v>
      </x:c>
      <x:c r="O43" s="52" t="n">
        <x:v>0</x:v>
      </x:c>
      <x:c r="P43" s="85" t="n">
        <x:f>IF(N43=0,M43,N43)+O43</x:f>
        <x:v>0</x:v>
      </x:c>
      <x:c r="Q43" s="58" t="n">
        <x:v>0</x:v>
      </x:c>
      <x:c r="R43" s="58" t="n">
        <x:v>0</x:v>
      </x:c>
      <x:c r="S43" s="58" t="n">
        <x:v>0</x:v>
      </x:c>
      <x:c r="T43" s="75" t="inlineStr">
        <x:is>
          <x:t xml:space="preserve"/>
        </x:is>
      </x:c>
      <x:c r="U43" s="75" t="inlineStr">
        <x:is>
          <x:t xml:space="preserve"/>
        </x:is>
      </x:c>
    </x:row>
    <x:row r="44">
      <x:c r="A44" s="30" t="inlineStr">
        <x:is>
          <x:t xml:space="preserve">FT034</x:t>
        </x:is>
      </x:c>
      <x:c r="B44" s="82" t="inlineStr">
        <x:is>
          <x:t xml:space="preserve"/>
        </x:is>
      </x:c>
      <x:c r="C44" s="87" t="str">
        <x:f>IF(B44="","",MAX(1,MIN(24,INT((B44-Assumptions!$B$7)/7)+1)))</x:f>
      </x:c>
      <x:c r="D44" s="76" t="inlineStr">
        <x:is>
          <x:t xml:space="preserve"/>
        </x:is>
      </x:c>
      <x:c r="E44" s="76" t="inlineStr">
        <x:is>
          <x:t xml:space="preserve"/>
        </x:is>
      </x:c>
      <x:c r="F44" s="58" t="n">
        <x:v>0</x:v>
      </x:c>
      <x:c r="G44" s="58" t="n">
        <x:v>0</x:v>
      </x:c>
      <x:c r="H44" s="87" t="n">
        <x:f>MAX(0,G44-F44)</x:f>
        <x:v>0</x:v>
      </x:c>
      <x:c r="I44" s="58" t="n">
        <x:v>0</x:v>
      </x:c>
      <x:c r="J44" s="57" t="n">
        <x:f>Assumptions!$B$20</x:f>
        <x:v>214</x:v>
      </x:c>
      <x:c r="K44" s="96" t="n">
        <x:f>Assumptions!$B$21</x:f>
        <x:v>12</x:v>
      </x:c>
      <x:c r="L44" s="96" t="n">
        <x:f>IF(H44=0,0,H44/K44)</x:f>
        <x:v>0</x:v>
      </x:c>
      <x:c r="M44" s="57" t="n">
        <x:f>H44*J44/K44</x:f>
        <x:v>0</x:v>
      </x:c>
      <x:c r="N44" s="52" t="n">
        <x:v>0</x:v>
      </x:c>
      <x:c r="O44" s="52" t="n">
        <x:v>0</x:v>
      </x:c>
      <x:c r="P44" s="87" t="n">
        <x:f>IF(N44=0,M44,N44)+O44</x:f>
        <x:v>0</x:v>
      </x:c>
      <x:c r="Q44" s="58" t="n">
        <x:v>0</x:v>
      </x:c>
      <x:c r="R44" s="58" t="n">
        <x:v>0</x:v>
      </x:c>
      <x:c r="S44" s="58" t="n">
        <x:v>0</x:v>
      </x:c>
      <x:c r="T44" s="76" t="inlineStr">
        <x:is>
          <x:t xml:space="preserve"/>
        </x:is>
      </x:c>
      <x:c r="U44" s="76" t="inlineStr">
        <x:is>
          <x:t xml:space="preserve"/>
        </x:is>
      </x:c>
    </x:row>
    <x:row r="45">
      <x:c r="A45" s="31" t="inlineStr">
        <x:is>
          <x:t xml:space="preserve">FT035</x:t>
        </x:is>
      </x:c>
      <x:c r="B45" s="80" t="inlineStr">
        <x:is>
          <x:t xml:space="preserve"/>
        </x:is>
      </x:c>
      <x:c r="C45" s="85" t="str">
        <x:f>IF(B45="","",MAX(1,MIN(24,INT((B45-Assumptions!$B$7)/7)+1)))</x:f>
      </x:c>
      <x:c r="D45" s="75" t="inlineStr">
        <x:is>
          <x:t xml:space="preserve"/>
        </x:is>
      </x:c>
      <x:c r="E45" s="75" t="inlineStr">
        <x:is>
          <x:t xml:space="preserve"/>
        </x:is>
      </x:c>
      <x:c r="F45" s="58" t="n">
        <x:v>0</x:v>
      </x:c>
      <x:c r="G45" s="58" t="n">
        <x:v>0</x:v>
      </x:c>
      <x:c r="H45" s="85" t="n">
        <x:f>MAX(0,G45-F45)</x:f>
        <x:v>0</x:v>
      </x:c>
      <x:c r="I45" s="58" t="n">
        <x:v>0</x:v>
      </x:c>
      <x:c r="J45" s="94" t="n">
        <x:f>Assumptions!$B$20</x:f>
        <x:v>214</x:v>
      </x:c>
      <x:c r="K45" s="95" t="n">
        <x:f>Assumptions!$B$21</x:f>
        <x:v>12</x:v>
      </x:c>
      <x:c r="L45" s="95" t="n">
        <x:f>IF(H45=0,0,H45/K45)</x:f>
        <x:v>0</x:v>
      </x:c>
      <x:c r="M45" s="94" t="n">
        <x:f>H45*J45/K45</x:f>
        <x:v>0</x:v>
      </x:c>
      <x:c r="N45" s="52" t="n">
        <x:v>0</x:v>
      </x:c>
      <x:c r="O45" s="52" t="n">
        <x:v>0</x:v>
      </x:c>
      <x:c r="P45" s="85" t="n">
        <x:f>IF(N45=0,M45,N45)+O45</x:f>
        <x:v>0</x:v>
      </x:c>
      <x:c r="Q45" s="58" t="n">
        <x:v>0</x:v>
      </x:c>
      <x:c r="R45" s="58" t="n">
        <x:v>0</x:v>
      </x:c>
      <x:c r="S45" s="58" t="n">
        <x:v>0</x:v>
      </x:c>
      <x:c r="T45" s="75" t="inlineStr">
        <x:is>
          <x:t xml:space="preserve"/>
        </x:is>
      </x:c>
      <x:c r="U45" s="75" t="inlineStr">
        <x:is>
          <x:t xml:space="preserve"/>
        </x:is>
      </x:c>
    </x:row>
    <x:row r="46">
      <x:c r="A46" s="30" t="inlineStr">
        <x:is>
          <x:t xml:space="preserve">FT036</x:t>
        </x:is>
      </x:c>
      <x:c r="B46" s="82" t="inlineStr">
        <x:is>
          <x:t xml:space="preserve"/>
        </x:is>
      </x:c>
      <x:c r="C46" s="87" t="str">
        <x:f>IF(B46="","",MAX(1,MIN(24,INT((B46-Assumptions!$B$7)/7)+1)))</x:f>
      </x:c>
      <x:c r="D46" s="76" t="inlineStr">
        <x:is>
          <x:t xml:space="preserve"/>
        </x:is>
      </x:c>
      <x:c r="E46" s="76" t="inlineStr">
        <x:is>
          <x:t xml:space="preserve"/>
        </x:is>
      </x:c>
      <x:c r="F46" s="58" t="n">
        <x:v>0</x:v>
      </x:c>
      <x:c r="G46" s="58" t="n">
        <x:v>0</x:v>
      </x:c>
      <x:c r="H46" s="87" t="n">
        <x:f>MAX(0,G46-F46)</x:f>
        <x:v>0</x:v>
      </x:c>
      <x:c r="I46" s="58" t="n">
        <x:v>0</x:v>
      </x:c>
      <x:c r="J46" s="57" t="n">
        <x:f>Assumptions!$B$20</x:f>
        <x:v>214</x:v>
      </x:c>
      <x:c r="K46" s="96" t="n">
        <x:f>Assumptions!$B$21</x:f>
        <x:v>12</x:v>
      </x:c>
      <x:c r="L46" s="96" t="n">
        <x:f>IF(H46=0,0,H46/K46)</x:f>
        <x:v>0</x:v>
      </x:c>
      <x:c r="M46" s="57" t="n">
        <x:f>H46*J46/K46</x:f>
        <x:v>0</x:v>
      </x:c>
      <x:c r="N46" s="52" t="n">
        <x:v>0</x:v>
      </x:c>
      <x:c r="O46" s="52" t="n">
        <x:v>0</x:v>
      </x:c>
      <x:c r="P46" s="87" t="n">
        <x:f>IF(N46=0,M46,N46)+O46</x:f>
        <x:v>0</x:v>
      </x:c>
      <x:c r="Q46" s="58" t="n">
        <x:v>0</x:v>
      </x:c>
      <x:c r="R46" s="58" t="n">
        <x:v>0</x:v>
      </x:c>
      <x:c r="S46" s="58" t="n">
        <x:v>0</x:v>
      </x:c>
      <x:c r="T46" s="76" t="inlineStr">
        <x:is>
          <x:t xml:space="preserve"/>
        </x:is>
      </x:c>
      <x:c r="U46" s="76" t="inlineStr">
        <x:is>
          <x:t xml:space="preserve"/>
        </x:is>
      </x:c>
    </x:row>
    <x:row r="47">
      <x:c r="A47" s="31" t="inlineStr">
        <x:is>
          <x:t xml:space="preserve">FT037</x:t>
        </x:is>
      </x:c>
      <x:c r="B47" s="80" t="inlineStr">
        <x:is>
          <x:t xml:space="preserve"/>
        </x:is>
      </x:c>
      <x:c r="C47" s="85" t="str">
        <x:f>IF(B47="","",MAX(1,MIN(24,INT((B47-Assumptions!$B$7)/7)+1)))</x:f>
      </x:c>
      <x:c r="D47" s="75" t="inlineStr">
        <x:is>
          <x:t xml:space="preserve"/>
        </x:is>
      </x:c>
      <x:c r="E47" s="75" t="inlineStr">
        <x:is>
          <x:t xml:space="preserve"/>
        </x:is>
      </x:c>
      <x:c r="F47" s="58" t="n">
        <x:v>0</x:v>
      </x:c>
      <x:c r="G47" s="58" t="n">
        <x:v>0</x:v>
      </x:c>
      <x:c r="H47" s="85" t="n">
        <x:f>MAX(0,G47-F47)</x:f>
        <x:v>0</x:v>
      </x:c>
      <x:c r="I47" s="58" t="n">
        <x:v>0</x:v>
      </x:c>
      <x:c r="J47" s="94" t="n">
        <x:f>Assumptions!$B$20</x:f>
        <x:v>214</x:v>
      </x:c>
      <x:c r="K47" s="95" t="n">
        <x:f>Assumptions!$B$21</x:f>
        <x:v>12</x:v>
      </x:c>
      <x:c r="L47" s="95" t="n">
        <x:f>IF(H47=0,0,H47/K47)</x:f>
        <x:v>0</x:v>
      </x:c>
      <x:c r="M47" s="94" t="n">
        <x:f>H47*J47/K47</x:f>
        <x:v>0</x:v>
      </x:c>
      <x:c r="N47" s="52" t="n">
        <x:v>0</x:v>
      </x:c>
      <x:c r="O47" s="52" t="n">
        <x:v>0</x:v>
      </x:c>
      <x:c r="P47" s="85" t="n">
        <x:f>IF(N47=0,M47,N47)+O47</x:f>
        <x:v>0</x:v>
      </x:c>
      <x:c r="Q47" s="58" t="n">
        <x:v>0</x:v>
      </x:c>
      <x:c r="R47" s="58" t="n">
        <x:v>0</x:v>
      </x:c>
      <x:c r="S47" s="58" t="n">
        <x:v>0</x:v>
      </x:c>
      <x:c r="T47" s="75" t="inlineStr">
        <x:is>
          <x:t xml:space="preserve"/>
        </x:is>
      </x:c>
      <x:c r="U47" s="75" t="inlineStr">
        <x:is>
          <x:t xml:space="preserve"/>
        </x:is>
      </x:c>
    </x:row>
    <x:row r="48">
      <x:c r="A48" s="30" t="inlineStr">
        <x:is>
          <x:t xml:space="preserve">FT038</x:t>
        </x:is>
      </x:c>
      <x:c r="B48" s="82" t="inlineStr">
        <x:is>
          <x:t xml:space="preserve"/>
        </x:is>
      </x:c>
      <x:c r="C48" s="87" t="str">
        <x:f>IF(B48="","",MAX(1,MIN(24,INT((B48-Assumptions!$B$7)/7)+1)))</x:f>
      </x:c>
      <x:c r="D48" s="76" t="inlineStr">
        <x:is>
          <x:t xml:space="preserve"/>
        </x:is>
      </x:c>
      <x:c r="E48" s="76" t="inlineStr">
        <x:is>
          <x:t xml:space="preserve"/>
        </x:is>
      </x:c>
      <x:c r="F48" s="58" t="n">
        <x:v>0</x:v>
      </x:c>
      <x:c r="G48" s="58" t="n">
        <x:v>0</x:v>
      </x:c>
      <x:c r="H48" s="87" t="n">
        <x:f>MAX(0,G48-F48)</x:f>
        <x:v>0</x:v>
      </x:c>
      <x:c r="I48" s="58" t="n">
        <x:v>0</x:v>
      </x:c>
      <x:c r="J48" s="57" t="n">
        <x:f>Assumptions!$B$20</x:f>
        <x:v>214</x:v>
      </x:c>
      <x:c r="K48" s="96" t="n">
        <x:f>Assumptions!$B$21</x:f>
        <x:v>12</x:v>
      </x:c>
      <x:c r="L48" s="96" t="n">
        <x:f>IF(H48=0,0,H48/K48)</x:f>
        <x:v>0</x:v>
      </x:c>
      <x:c r="M48" s="57" t="n">
        <x:f>H48*J48/K48</x:f>
        <x:v>0</x:v>
      </x:c>
      <x:c r="N48" s="52" t="n">
        <x:v>0</x:v>
      </x:c>
      <x:c r="O48" s="52" t="n">
        <x:v>0</x:v>
      </x:c>
      <x:c r="P48" s="87" t="n">
        <x:f>IF(N48=0,M48,N48)+O48</x:f>
        <x:v>0</x:v>
      </x:c>
      <x:c r="Q48" s="58" t="n">
        <x:v>0</x:v>
      </x:c>
      <x:c r="R48" s="58" t="n">
        <x:v>0</x:v>
      </x:c>
      <x:c r="S48" s="58" t="n">
        <x:v>0</x:v>
      </x:c>
      <x:c r="T48" s="76" t="inlineStr">
        <x:is>
          <x:t xml:space="preserve"/>
        </x:is>
      </x:c>
      <x:c r="U48" s="76" t="inlineStr">
        <x:is>
          <x:t xml:space="preserve"/>
        </x:is>
      </x:c>
    </x:row>
    <x:row r="49">
      <x:c r="A49" s="31" t="inlineStr">
        <x:is>
          <x:t xml:space="preserve">FT039</x:t>
        </x:is>
      </x:c>
      <x:c r="B49" s="80" t="inlineStr">
        <x:is>
          <x:t xml:space="preserve"/>
        </x:is>
      </x:c>
      <x:c r="C49" s="85" t="str">
        <x:f>IF(B49="","",MAX(1,MIN(24,INT((B49-Assumptions!$B$7)/7)+1)))</x:f>
      </x:c>
      <x:c r="D49" s="75" t="inlineStr">
        <x:is>
          <x:t xml:space="preserve"/>
        </x:is>
      </x:c>
      <x:c r="E49" s="75" t="inlineStr">
        <x:is>
          <x:t xml:space="preserve"/>
        </x:is>
      </x:c>
      <x:c r="F49" s="58" t="n">
        <x:v>0</x:v>
      </x:c>
      <x:c r="G49" s="58" t="n">
        <x:v>0</x:v>
      </x:c>
      <x:c r="H49" s="85" t="n">
        <x:f>MAX(0,G49-F49)</x:f>
        <x:v>0</x:v>
      </x:c>
      <x:c r="I49" s="58" t="n">
        <x:v>0</x:v>
      </x:c>
      <x:c r="J49" s="94" t="n">
        <x:f>Assumptions!$B$20</x:f>
        <x:v>214</x:v>
      </x:c>
      <x:c r="K49" s="95" t="n">
        <x:f>Assumptions!$B$21</x:f>
        <x:v>12</x:v>
      </x:c>
      <x:c r="L49" s="95" t="n">
        <x:f>IF(H49=0,0,H49/K49)</x:f>
        <x:v>0</x:v>
      </x:c>
      <x:c r="M49" s="94" t="n">
        <x:f>H49*J49/K49</x:f>
        <x:v>0</x:v>
      </x:c>
      <x:c r="N49" s="52" t="n">
        <x:v>0</x:v>
      </x:c>
      <x:c r="O49" s="52" t="n">
        <x:v>0</x:v>
      </x:c>
      <x:c r="P49" s="85" t="n">
        <x:f>IF(N49=0,M49,N49)+O49</x:f>
        <x:v>0</x:v>
      </x:c>
      <x:c r="Q49" s="58" t="n">
        <x:v>0</x:v>
      </x:c>
      <x:c r="R49" s="58" t="n">
        <x:v>0</x:v>
      </x:c>
      <x:c r="S49" s="58" t="n">
        <x:v>0</x:v>
      </x:c>
      <x:c r="T49" s="75" t="inlineStr">
        <x:is>
          <x:t xml:space="preserve"/>
        </x:is>
      </x:c>
      <x:c r="U49" s="75" t="inlineStr">
        <x:is>
          <x:t xml:space="preserve"/>
        </x:is>
      </x:c>
    </x:row>
    <x:row r="50">
      <x:c r="A50" s="30" t="inlineStr">
        <x:is>
          <x:t xml:space="preserve">FT040</x:t>
        </x:is>
      </x:c>
      <x:c r="B50" s="82" t="inlineStr">
        <x:is>
          <x:t xml:space="preserve"/>
        </x:is>
      </x:c>
      <x:c r="C50" s="87" t="str">
        <x:f>IF(B50="","",MAX(1,MIN(24,INT((B50-Assumptions!$B$7)/7)+1)))</x:f>
      </x:c>
      <x:c r="D50" s="76" t="inlineStr">
        <x:is>
          <x:t xml:space="preserve"/>
        </x:is>
      </x:c>
      <x:c r="E50" s="76" t="inlineStr">
        <x:is>
          <x:t xml:space="preserve"/>
        </x:is>
      </x:c>
      <x:c r="F50" s="58" t="n">
        <x:v>0</x:v>
      </x:c>
      <x:c r="G50" s="58" t="n">
        <x:v>0</x:v>
      </x:c>
      <x:c r="H50" s="87" t="n">
        <x:f>MAX(0,G50-F50)</x:f>
        <x:v>0</x:v>
      </x:c>
      <x:c r="I50" s="58" t="n">
        <x:v>0</x:v>
      </x:c>
      <x:c r="J50" s="57" t="n">
        <x:f>Assumptions!$B$20</x:f>
        <x:v>214</x:v>
      </x:c>
      <x:c r="K50" s="96" t="n">
        <x:f>Assumptions!$B$21</x:f>
        <x:v>12</x:v>
      </x:c>
      <x:c r="L50" s="96" t="n">
        <x:f>IF(H50=0,0,H50/K50)</x:f>
        <x:v>0</x:v>
      </x:c>
      <x:c r="M50" s="57" t="n">
        <x:f>H50*J50/K50</x:f>
        <x:v>0</x:v>
      </x:c>
      <x:c r="N50" s="52" t="n">
        <x:v>0</x:v>
      </x:c>
      <x:c r="O50" s="52" t="n">
        <x:v>0</x:v>
      </x:c>
      <x:c r="P50" s="87" t="n">
        <x:f>IF(N50=0,M50,N50)+O50</x:f>
        <x:v>0</x:v>
      </x:c>
      <x:c r="Q50" s="58" t="n">
        <x:v>0</x:v>
      </x:c>
      <x:c r="R50" s="58" t="n">
        <x:v>0</x:v>
      </x:c>
      <x:c r="S50" s="58" t="n">
        <x:v>0</x:v>
      </x:c>
      <x:c r="T50" s="76" t="inlineStr">
        <x:is>
          <x:t xml:space="preserve"/>
        </x:is>
      </x:c>
      <x:c r="U50" s="76" t="inlineStr">
        <x:is>
          <x:t xml:space="preserve"/>
        </x:is>
      </x:c>
    </x:row>
    <x:row r="51">
      <x:c r="A51" s="31" t="inlineStr">
        <x:is>
          <x:t xml:space="preserve">FT041</x:t>
        </x:is>
      </x:c>
      <x:c r="B51" s="80" t="inlineStr">
        <x:is>
          <x:t xml:space="preserve"/>
        </x:is>
      </x:c>
      <x:c r="C51" s="85" t="str">
        <x:f>IF(B51="","",MAX(1,MIN(24,INT((B51-Assumptions!$B$7)/7)+1)))</x:f>
      </x:c>
      <x:c r="D51" s="75" t="inlineStr">
        <x:is>
          <x:t xml:space="preserve"/>
        </x:is>
      </x:c>
      <x:c r="E51" s="75" t="inlineStr">
        <x:is>
          <x:t xml:space="preserve"/>
        </x:is>
      </x:c>
      <x:c r="F51" s="58" t="n">
        <x:v>0</x:v>
      </x:c>
      <x:c r="G51" s="58" t="n">
        <x:v>0</x:v>
      </x:c>
      <x:c r="H51" s="85" t="n">
        <x:f>MAX(0,G51-F51)</x:f>
        <x:v>0</x:v>
      </x:c>
      <x:c r="I51" s="58" t="n">
        <x:v>0</x:v>
      </x:c>
      <x:c r="J51" s="94" t="n">
        <x:f>Assumptions!$B$20</x:f>
        <x:v>214</x:v>
      </x:c>
      <x:c r="K51" s="95" t="n">
        <x:f>Assumptions!$B$21</x:f>
        <x:v>12</x:v>
      </x:c>
      <x:c r="L51" s="95" t="n">
        <x:f>IF(H51=0,0,H51/K51)</x:f>
        <x:v>0</x:v>
      </x:c>
      <x:c r="M51" s="94" t="n">
        <x:f>H51*J51/K51</x:f>
        <x:v>0</x:v>
      </x:c>
      <x:c r="N51" s="52" t="n">
        <x:v>0</x:v>
      </x:c>
      <x:c r="O51" s="52" t="n">
        <x:v>0</x:v>
      </x:c>
      <x:c r="P51" s="85" t="n">
        <x:f>IF(N51=0,M51,N51)+O51</x:f>
        <x:v>0</x:v>
      </x:c>
      <x:c r="Q51" s="58" t="n">
        <x:v>0</x:v>
      </x:c>
      <x:c r="R51" s="58" t="n">
        <x:v>0</x:v>
      </x:c>
      <x:c r="S51" s="58" t="n">
        <x:v>0</x:v>
      </x:c>
      <x:c r="T51" s="75" t="inlineStr">
        <x:is>
          <x:t xml:space="preserve"/>
        </x:is>
      </x:c>
      <x:c r="U51" s="75" t="inlineStr">
        <x:is>
          <x:t xml:space="preserve"/>
        </x:is>
      </x:c>
    </x:row>
    <x:row r="52">
      <x:c r="A52" s="30" t="inlineStr">
        <x:is>
          <x:t xml:space="preserve">FT042</x:t>
        </x:is>
      </x:c>
      <x:c r="B52" s="82" t="inlineStr">
        <x:is>
          <x:t xml:space="preserve"/>
        </x:is>
      </x:c>
      <x:c r="C52" s="87" t="str">
        <x:f>IF(B52="","",MAX(1,MIN(24,INT((B52-Assumptions!$B$7)/7)+1)))</x:f>
      </x:c>
      <x:c r="D52" s="76" t="inlineStr">
        <x:is>
          <x:t xml:space="preserve"/>
        </x:is>
      </x:c>
      <x:c r="E52" s="76" t="inlineStr">
        <x:is>
          <x:t xml:space="preserve"/>
        </x:is>
      </x:c>
      <x:c r="F52" s="58" t="n">
        <x:v>0</x:v>
      </x:c>
      <x:c r="G52" s="58" t="n">
        <x:v>0</x:v>
      </x:c>
      <x:c r="H52" s="87" t="n">
        <x:f>MAX(0,G52-F52)</x:f>
        <x:v>0</x:v>
      </x:c>
      <x:c r="I52" s="58" t="n">
        <x:v>0</x:v>
      </x:c>
      <x:c r="J52" s="57" t="n">
        <x:f>Assumptions!$B$20</x:f>
        <x:v>214</x:v>
      </x:c>
      <x:c r="K52" s="96" t="n">
        <x:f>Assumptions!$B$21</x:f>
        <x:v>12</x:v>
      </x:c>
      <x:c r="L52" s="96" t="n">
        <x:f>IF(H52=0,0,H52/K52)</x:f>
        <x:v>0</x:v>
      </x:c>
      <x:c r="M52" s="57" t="n">
        <x:f>H52*J52/K52</x:f>
        <x:v>0</x:v>
      </x:c>
      <x:c r="N52" s="52" t="n">
        <x:v>0</x:v>
      </x:c>
      <x:c r="O52" s="52" t="n">
        <x:v>0</x:v>
      </x:c>
      <x:c r="P52" s="87" t="n">
        <x:f>IF(N52=0,M52,N52)+O52</x:f>
        <x:v>0</x:v>
      </x:c>
      <x:c r="Q52" s="58" t="n">
        <x:v>0</x:v>
      </x:c>
      <x:c r="R52" s="58" t="n">
        <x:v>0</x:v>
      </x:c>
      <x:c r="S52" s="58" t="n">
        <x:v>0</x:v>
      </x:c>
      <x:c r="T52" s="76" t="inlineStr">
        <x:is>
          <x:t xml:space="preserve"/>
        </x:is>
      </x:c>
      <x:c r="U52" s="76" t="inlineStr">
        <x:is>
          <x:t xml:space="preserve"/>
        </x:is>
      </x:c>
    </x:row>
    <x:row r="53">
      <x:c r="A53" s="31" t="inlineStr">
        <x:is>
          <x:t xml:space="preserve">FT043</x:t>
        </x:is>
      </x:c>
      <x:c r="B53" s="80" t="inlineStr">
        <x:is>
          <x:t xml:space="preserve"/>
        </x:is>
      </x:c>
      <x:c r="C53" s="85" t="str">
        <x:f>IF(B53="","",MAX(1,MIN(24,INT((B53-Assumptions!$B$7)/7)+1)))</x:f>
      </x:c>
      <x:c r="D53" s="75" t="inlineStr">
        <x:is>
          <x:t xml:space="preserve"/>
        </x:is>
      </x:c>
      <x:c r="E53" s="75" t="inlineStr">
        <x:is>
          <x:t xml:space="preserve"/>
        </x:is>
      </x:c>
      <x:c r="F53" s="58" t="n">
        <x:v>0</x:v>
      </x:c>
      <x:c r="G53" s="58" t="n">
        <x:v>0</x:v>
      </x:c>
      <x:c r="H53" s="85" t="n">
        <x:f>MAX(0,G53-F53)</x:f>
        <x:v>0</x:v>
      </x:c>
      <x:c r="I53" s="58" t="n">
        <x:v>0</x:v>
      </x:c>
      <x:c r="J53" s="94" t="n">
        <x:f>Assumptions!$B$20</x:f>
        <x:v>214</x:v>
      </x:c>
      <x:c r="K53" s="95" t="n">
        <x:f>Assumptions!$B$21</x:f>
        <x:v>12</x:v>
      </x:c>
      <x:c r="L53" s="95" t="n">
        <x:f>IF(H53=0,0,H53/K53)</x:f>
        <x:v>0</x:v>
      </x:c>
      <x:c r="M53" s="94" t="n">
        <x:f>H53*J53/K53</x:f>
        <x:v>0</x:v>
      </x:c>
      <x:c r="N53" s="52" t="n">
        <x:v>0</x:v>
      </x:c>
      <x:c r="O53" s="52" t="n">
        <x:v>0</x:v>
      </x:c>
      <x:c r="P53" s="85" t="n">
        <x:f>IF(N53=0,M53,N53)+O53</x:f>
        <x:v>0</x:v>
      </x:c>
      <x:c r="Q53" s="58" t="n">
        <x:v>0</x:v>
      </x:c>
      <x:c r="R53" s="58" t="n">
        <x:v>0</x:v>
      </x:c>
      <x:c r="S53" s="58" t="n">
        <x:v>0</x:v>
      </x:c>
      <x:c r="T53" s="75" t="inlineStr">
        <x:is>
          <x:t xml:space="preserve"/>
        </x:is>
      </x:c>
      <x:c r="U53" s="75" t="inlineStr">
        <x:is>
          <x:t xml:space="preserve"/>
        </x:is>
      </x:c>
    </x:row>
    <x:row r="54">
      <x:c r="A54" s="30" t="inlineStr">
        <x:is>
          <x:t xml:space="preserve">FT044</x:t>
        </x:is>
      </x:c>
      <x:c r="B54" s="82" t="inlineStr">
        <x:is>
          <x:t xml:space="preserve"/>
        </x:is>
      </x:c>
      <x:c r="C54" s="87" t="str">
        <x:f>IF(B54="","",MAX(1,MIN(24,INT((B54-Assumptions!$B$7)/7)+1)))</x:f>
      </x:c>
      <x:c r="D54" s="76" t="inlineStr">
        <x:is>
          <x:t xml:space="preserve"/>
        </x:is>
      </x:c>
      <x:c r="E54" s="76" t="inlineStr">
        <x:is>
          <x:t xml:space="preserve"/>
        </x:is>
      </x:c>
      <x:c r="F54" s="58" t="n">
        <x:v>0</x:v>
      </x:c>
      <x:c r="G54" s="58" t="n">
        <x:v>0</x:v>
      </x:c>
      <x:c r="H54" s="87" t="n">
        <x:f>MAX(0,G54-F54)</x:f>
        <x:v>0</x:v>
      </x:c>
      <x:c r="I54" s="58" t="n">
        <x:v>0</x:v>
      </x:c>
      <x:c r="J54" s="57" t="n">
        <x:f>Assumptions!$B$20</x:f>
        <x:v>214</x:v>
      </x:c>
      <x:c r="K54" s="96" t="n">
        <x:f>Assumptions!$B$21</x:f>
        <x:v>12</x:v>
      </x:c>
      <x:c r="L54" s="96" t="n">
        <x:f>IF(H54=0,0,H54/K54)</x:f>
        <x:v>0</x:v>
      </x:c>
      <x:c r="M54" s="57" t="n">
        <x:f>H54*J54/K54</x:f>
        <x:v>0</x:v>
      </x:c>
      <x:c r="N54" s="52" t="n">
        <x:v>0</x:v>
      </x:c>
      <x:c r="O54" s="52" t="n">
        <x:v>0</x:v>
      </x:c>
      <x:c r="P54" s="87" t="n">
        <x:f>IF(N54=0,M54,N54)+O54</x:f>
        <x:v>0</x:v>
      </x:c>
      <x:c r="Q54" s="58" t="n">
        <x:v>0</x:v>
      </x:c>
      <x:c r="R54" s="58" t="n">
        <x:v>0</x:v>
      </x:c>
      <x:c r="S54" s="58" t="n">
        <x:v>0</x:v>
      </x:c>
      <x:c r="T54" s="76" t="inlineStr">
        <x:is>
          <x:t xml:space="preserve"/>
        </x:is>
      </x:c>
      <x:c r="U54" s="76" t="inlineStr">
        <x:is>
          <x:t xml:space="preserve"/>
        </x:is>
      </x:c>
    </x:row>
    <x:row r="55">
      <x:c r="A55" s="31" t="inlineStr">
        <x:is>
          <x:t xml:space="preserve">FT045</x:t>
        </x:is>
      </x:c>
      <x:c r="B55" s="80" t="inlineStr">
        <x:is>
          <x:t xml:space="preserve"/>
        </x:is>
      </x:c>
      <x:c r="C55" s="85" t="str">
        <x:f>IF(B55="","",MAX(1,MIN(24,INT((B55-Assumptions!$B$7)/7)+1)))</x:f>
      </x:c>
      <x:c r="D55" s="75" t="inlineStr">
        <x:is>
          <x:t xml:space="preserve"/>
        </x:is>
      </x:c>
      <x:c r="E55" s="75" t="inlineStr">
        <x:is>
          <x:t xml:space="preserve"/>
        </x:is>
      </x:c>
      <x:c r="F55" s="58" t="n">
        <x:v>0</x:v>
      </x:c>
      <x:c r="G55" s="58" t="n">
        <x:v>0</x:v>
      </x:c>
      <x:c r="H55" s="85" t="n">
        <x:f>MAX(0,G55-F55)</x:f>
        <x:v>0</x:v>
      </x:c>
      <x:c r="I55" s="58" t="n">
        <x:v>0</x:v>
      </x:c>
      <x:c r="J55" s="94" t="n">
        <x:f>Assumptions!$B$20</x:f>
        <x:v>214</x:v>
      </x:c>
      <x:c r="K55" s="95" t="n">
        <x:f>Assumptions!$B$21</x:f>
        <x:v>12</x:v>
      </x:c>
      <x:c r="L55" s="95" t="n">
        <x:f>IF(H55=0,0,H55/K55)</x:f>
        <x:v>0</x:v>
      </x:c>
      <x:c r="M55" s="94" t="n">
        <x:f>H55*J55/K55</x:f>
        <x:v>0</x:v>
      </x:c>
      <x:c r="N55" s="52" t="n">
        <x:v>0</x:v>
      </x:c>
      <x:c r="O55" s="52" t="n">
        <x:v>0</x:v>
      </x:c>
      <x:c r="P55" s="85" t="n">
        <x:f>IF(N55=0,M55,N55)+O55</x:f>
        <x:v>0</x:v>
      </x:c>
      <x:c r="Q55" s="58" t="n">
        <x:v>0</x:v>
      </x:c>
      <x:c r="R55" s="58" t="n">
        <x:v>0</x:v>
      </x:c>
      <x:c r="S55" s="58" t="n">
        <x:v>0</x:v>
      </x:c>
      <x:c r="T55" s="75" t="inlineStr">
        <x:is>
          <x:t xml:space="preserve"/>
        </x:is>
      </x:c>
      <x:c r="U55" s="75" t="inlineStr">
        <x:is>
          <x:t xml:space="preserve"/>
        </x:is>
      </x:c>
    </x:row>
    <x:row r="56">
      <x:c r="A56" s="30" t="inlineStr">
        <x:is>
          <x:t xml:space="preserve">FT046</x:t>
        </x:is>
      </x:c>
      <x:c r="B56" s="82" t="inlineStr">
        <x:is>
          <x:t xml:space="preserve"/>
        </x:is>
      </x:c>
      <x:c r="C56" s="87" t="str">
        <x:f>IF(B56="","",MAX(1,MIN(24,INT((B56-Assumptions!$B$7)/7)+1)))</x:f>
      </x:c>
      <x:c r="D56" s="76" t="inlineStr">
        <x:is>
          <x:t xml:space="preserve"/>
        </x:is>
      </x:c>
      <x:c r="E56" s="76" t="inlineStr">
        <x:is>
          <x:t xml:space="preserve"/>
        </x:is>
      </x:c>
      <x:c r="F56" s="58" t="n">
        <x:v>0</x:v>
      </x:c>
      <x:c r="G56" s="58" t="n">
        <x:v>0</x:v>
      </x:c>
      <x:c r="H56" s="87" t="n">
        <x:f>MAX(0,G56-F56)</x:f>
        <x:v>0</x:v>
      </x:c>
      <x:c r="I56" s="58" t="n">
        <x:v>0</x:v>
      </x:c>
      <x:c r="J56" s="57" t="n">
        <x:f>Assumptions!$B$20</x:f>
        <x:v>214</x:v>
      </x:c>
      <x:c r="K56" s="96" t="n">
        <x:f>Assumptions!$B$21</x:f>
        <x:v>12</x:v>
      </x:c>
      <x:c r="L56" s="96" t="n">
        <x:f>IF(H56=0,0,H56/K56)</x:f>
        <x:v>0</x:v>
      </x:c>
      <x:c r="M56" s="57" t="n">
        <x:f>H56*J56/K56</x:f>
        <x:v>0</x:v>
      </x:c>
      <x:c r="N56" s="52" t="n">
        <x:v>0</x:v>
      </x:c>
      <x:c r="O56" s="52" t="n">
        <x:v>0</x:v>
      </x:c>
      <x:c r="P56" s="87" t="n">
        <x:f>IF(N56=0,M56,N56)+O56</x:f>
        <x:v>0</x:v>
      </x:c>
      <x:c r="Q56" s="58" t="n">
        <x:v>0</x:v>
      </x:c>
      <x:c r="R56" s="58" t="n">
        <x:v>0</x:v>
      </x:c>
      <x:c r="S56" s="58" t="n">
        <x:v>0</x:v>
      </x:c>
      <x:c r="T56" s="76" t="inlineStr">
        <x:is>
          <x:t xml:space="preserve"/>
        </x:is>
      </x:c>
      <x:c r="U56" s="76" t="inlineStr">
        <x:is>
          <x:t xml:space="preserve"/>
        </x:is>
      </x:c>
    </x:row>
    <x:row r="57">
      <x:c r="A57" s="31" t="inlineStr">
        <x:is>
          <x:t xml:space="preserve">FT047</x:t>
        </x:is>
      </x:c>
      <x:c r="B57" s="80" t="inlineStr">
        <x:is>
          <x:t xml:space="preserve"/>
        </x:is>
      </x:c>
      <x:c r="C57" s="85" t="str">
        <x:f>IF(B57="","",MAX(1,MIN(24,INT((B57-Assumptions!$B$7)/7)+1)))</x:f>
      </x:c>
      <x:c r="D57" s="75" t="inlineStr">
        <x:is>
          <x:t xml:space="preserve"/>
        </x:is>
      </x:c>
      <x:c r="E57" s="75" t="inlineStr">
        <x:is>
          <x:t xml:space="preserve"/>
        </x:is>
      </x:c>
      <x:c r="F57" s="58" t="n">
        <x:v>0</x:v>
      </x:c>
      <x:c r="G57" s="58" t="n">
        <x:v>0</x:v>
      </x:c>
      <x:c r="H57" s="85" t="n">
        <x:f>MAX(0,G57-F57)</x:f>
        <x:v>0</x:v>
      </x:c>
      <x:c r="I57" s="58" t="n">
        <x:v>0</x:v>
      </x:c>
      <x:c r="J57" s="94" t="n">
        <x:f>Assumptions!$B$20</x:f>
        <x:v>214</x:v>
      </x:c>
      <x:c r="K57" s="95" t="n">
        <x:f>Assumptions!$B$21</x:f>
        <x:v>12</x:v>
      </x:c>
      <x:c r="L57" s="95" t="n">
        <x:f>IF(H57=0,0,H57/K57)</x:f>
        <x:v>0</x:v>
      </x:c>
      <x:c r="M57" s="94" t="n">
        <x:f>H57*J57/K57</x:f>
        <x:v>0</x:v>
      </x:c>
      <x:c r="N57" s="52" t="n">
        <x:v>0</x:v>
      </x:c>
      <x:c r="O57" s="52" t="n">
        <x:v>0</x:v>
      </x:c>
      <x:c r="P57" s="85" t="n">
        <x:f>IF(N57=0,M57,N57)+O57</x:f>
        <x:v>0</x:v>
      </x:c>
      <x:c r="Q57" s="58" t="n">
        <x:v>0</x:v>
      </x:c>
      <x:c r="R57" s="58" t="n">
        <x:v>0</x:v>
      </x:c>
      <x:c r="S57" s="58" t="n">
        <x:v>0</x:v>
      </x:c>
      <x:c r="T57" s="75" t="inlineStr">
        <x:is>
          <x:t xml:space="preserve"/>
        </x:is>
      </x:c>
      <x:c r="U57" s="75" t="inlineStr">
        <x:is>
          <x:t xml:space="preserve"/>
        </x:is>
      </x:c>
    </x:row>
    <x:row r="58">
      <x:c r="A58" s="30" t="inlineStr">
        <x:is>
          <x:t xml:space="preserve">FT048</x:t>
        </x:is>
      </x:c>
      <x:c r="B58" s="82" t="inlineStr">
        <x:is>
          <x:t xml:space="preserve"/>
        </x:is>
      </x:c>
      <x:c r="C58" s="87" t="str">
        <x:f>IF(B58="","",MAX(1,MIN(24,INT((B58-Assumptions!$B$7)/7)+1)))</x:f>
      </x:c>
      <x:c r="D58" s="76" t="inlineStr">
        <x:is>
          <x:t xml:space="preserve"/>
        </x:is>
      </x:c>
      <x:c r="E58" s="76" t="inlineStr">
        <x:is>
          <x:t xml:space="preserve"/>
        </x:is>
      </x:c>
      <x:c r="F58" s="58" t="n">
        <x:v>0</x:v>
      </x:c>
      <x:c r="G58" s="58" t="n">
        <x:v>0</x:v>
      </x:c>
      <x:c r="H58" s="87" t="n">
        <x:f>MAX(0,G58-F58)</x:f>
        <x:v>0</x:v>
      </x:c>
      <x:c r="I58" s="58" t="n">
        <x:v>0</x:v>
      </x:c>
      <x:c r="J58" s="57" t="n">
        <x:f>Assumptions!$B$20</x:f>
        <x:v>214</x:v>
      </x:c>
      <x:c r="K58" s="96" t="n">
        <x:f>Assumptions!$B$21</x:f>
        <x:v>12</x:v>
      </x:c>
      <x:c r="L58" s="96" t="n">
        <x:f>IF(H58=0,0,H58/K58)</x:f>
        <x:v>0</x:v>
      </x:c>
      <x:c r="M58" s="57" t="n">
        <x:f>H58*J58/K58</x:f>
        <x:v>0</x:v>
      </x:c>
      <x:c r="N58" s="52" t="n">
        <x:v>0</x:v>
      </x:c>
      <x:c r="O58" s="52" t="n">
        <x:v>0</x:v>
      </x:c>
      <x:c r="P58" s="87" t="n">
        <x:f>IF(N58=0,M58,N58)+O58</x:f>
        <x:v>0</x:v>
      </x:c>
      <x:c r="Q58" s="58" t="n">
        <x:v>0</x:v>
      </x:c>
      <x:c r="R58" s="58" t="n">
        <x:v>0</x:v>
      </x:c>
      <x:c r="S58" s="58" t="n">
        <x:v>0</x:v>
      </x:c>
      <x:c r="T58" s="76" t="inlineStr">
        <x:is>
          <x:t xml:space="preserve"/>
        </x:is>
      </x:c>
      <x:c r="U58" s="76" t="inlineStr">
        <x:is>
          <x:t xml:space="preserve"/>
        </x:is>
      </x:c>
    </x:row>
    <x:row r="59">
      <x:c r="A59" s="31" t="inlineStr">
        <x:is>
          <x:t xml:space="preserve">FT049</x:t>
        </x:is>
      </x:c>
      <x:c r="B59" s="80" t="inlineStr">
        <x:is>
          <x:t xml:space="preserve"/>
        </x:is>
      </x:c>
      <x:c r="C59" s="85" t="str">
        <x:f>IF(B59="","",MAX(1,MIN(24,INT((B59-Assumptions!$B$7)/7)+1)))</x:f>
      </x:c>
      <x:c r="D59" s="75" t="inlineStr">
        <x:is>
          <x:t xml:space="preserve"/>
        </x:is>
      </x:c>
      <x:c r="E59" s="75" t="inlineStr">
        <x:is>
          <x:t xml:space="preserve"/>
        </x:is>
      </x:c>
      <x:c r="F59" s="58" t="n">
        <x:v>0</x:v>
      </x:c>
      <x:c r="G59" s="58" t="n">
        <x:v>0</x:v>
      </x:c>
      <x:c r="H59" s="85" t="n">
        <x:f>MAX(0,G59-F59)</x:f>
        <x:v>0</x:v>
      </x:c>
      <x:c r="I59" s="58" t="n">
        <x:v>0</x:v>
      </x:c>
      <x:c r="J59" s="94" t="n">
        <x:f>Assumptions!$B$20</x:f>
        <x:v>214</x:v>
      </x:c>
      <x:c r="K59" s="95" t="n">
        <x:f>Assumptions!$B$21</x:f>
        <x:v>12</x:v>
      </x:c>
      <x:c r="L59" s="95" t="n">
        <x:f>IF(H59=0,0,H59/K59)</x:f>
        <x:v>0</x:v>
      </x:c>
      <x:c r="M59" s="94" t="n">
        <x:f>H59*J59/K59</x:f>
        <x:v>0</x:v>
      </x:c>
      <x:c r="N59" s="52" t="n">
        <x:v>0</x:v>
      </x:c>
      <x:c r="O59" s="52" t="n">
        <x:v>0</x:v>
      </x:c>
      <x:c r="P59" s="85" t="n">
        <x:f>IF(N59=0,M59,N59)+O59</x:f>
        <x:v>0</x:v>
      </x:c>
      <x:c r="Q59" s="58" t="n">
        <x:v>0</x:v>
      </x:c>
      <x:c r="R59" s="58" t="n">
        <x:v>0</x:v>
      </x:c>
      <x:c r="S59" s="58" t="n">
        <x:v>0</x:v>
      </x:c>
      <x:c r="T59" s="75" t="inlineStr">
        <x:is>
          <x:t xml:space="preserve"/>
        </x:is>
      </x:c>
      <x:c r="U59" s="75" t="inlineStr">
        <x:is>
          <x:t xml:space="preserve"/>
        </x:is>
      </x:c>
    </x:row>
    <x:row r="60">
      <x:c r="A60" s="30" t="inlineStr">
        <x:is>
          <x:t xml:space="preserve">FT050</x:t>
        </x:is>
      </x:c>
      <x:c r="B60" s="82" t="inlineStr">
        <x:is>
          <x:t xml:space="preserve"/>
        </x:is>
      </x:c>
      <x:c r="C60" s="87" t="str">
        <x:f>IF(B60="","",MAX(1,MIN(24,INT((B60-Assumptions!$B$7)/7)+1)))</x:f>
      </x:c>
      <x:c r="D60" s="76" t="inlineStr">
        <x:is>
          <x:t xml:space="preserve"/>
        </x:is>
      </x:c>
      <x:c r="E60" s="76" t="inlineStr">
        <x:is>
          <x:t xml:space="preserve"/>
        </x:is>
      </x:c>
      <x:c r="F60" s="58" t="n">
        <x:v>0</x:v>
      </x:c>
      <x:c r="G60" s="58" t="n">
        <x:v>0</x:v>
      </x:c>
      <x:c r="H60" s="87" t="n">
        <x:f>MAX(0,G60-F60)</x:f>
        <x:v>0</x:v>
      </x:c>
      <x:c r="I60" s="58" t="n">
        <x:v>0</x:v>
      </x:c>
      <x:c r="J60" s="57" t="n">
        <x:f>Assumptions!$B$20</x:f>
        <x:v>214</x:v>
      </x:c>
      <x:c r="K60" s="96" t="n">
        <x:f>Assumptions!$B$21</x:f>
        <x:v>12</x:v>
      </x:c>
      <x:c r="L60" s="96" t="n">
        <x:f>IF(H60=0,0,H60/K60)</x:f>
        <x:v>0</x:v>
      </x:c>
      <x:c r="M60" s="57" t="n">
        <x:f>H60*J60/K60</x:f>
        <x:v>0</x:v>
      </x:c>
      <x:c r="N60" s="52" t="n">
        <x:v>0</x:v>
      </x:c>
      <x:c r="O60" s="52" t="n">
        <x:v>0</x:v>
      </x:c>
      <x:c r="P60" s="87" t="n">
        <x:f>IF(N60=0,M60,N60)+O60</x:f>
        <x:v>0</x:v>
      </x:c>
      <x:c r="Q60" s="58" t="n">
        <x:v>0</x:v>
      </x:c>
      <x:c r="R60" s="58" t="n">
        <x:v>0</x:v>
      </x:c>
      <x:c r="S60" s="58" t="n">
        <x:v>0</x:v>
      </x:c>
      <x:c r="T60" s="76" t="inlineStr">
        <x:is>
          <x:t xml:space="preserve"/>
        </x:is>
      </x:c>
      <x:c r="U60" s="76" t="inlineStr">
        <x:is>
          <x:t xml:space="preserve"/>
        </x:is>
      </x:c>
    </x:row>
    <x:row r="61">
      <x:c r="A61" s="31" t="inlineStr">
        <x:is>
          <x:t xml:space="preserve">FT051</x:t>
        </x:is>
      </x:c>
      <x:c r="B61" s="80" t="inlineStr">
        <x:is>
          <x:t xml:space="preserve"/>
        </x:is>
      </x:c>
      <x:c r="C61" s="85" t="str">
        <x:f>IF(B61="","",MAX(1,MIN(24,INT((B61-Assumptions!$B$7)/7)+1)))</x:f>
      </x:c>
      <x:c r="D61" s="75" t="inlineStr">
        <x:is>
          <x:t xml:space="preserve"/>
        </x:is>
      </x:c>
      <x:c r="E61" s="75" t="inlineStr">
        <x:is>
          <x:t xml:space="preserve"/>
        </x:is>
      </x:c>
      <x:c r="F61" s="58" t="n">
        <x:v>0</x:v>
      </x:c>
      <x:c r="G61" s="58" t="n">
        <x:v>0</x:v>
      </x:c>
      <x:c r="H61" s="85" t="n">
        <x:f>MAX(0,G61-F61)</x:f>
        <x:v>0</x:v>
      </x:c>
      <x:c r="I61" s="58" t="n">
        <x:v>0</x:v>
      </x:c>
      <x:c r="J61" s="94" t="n">
        <x:f>Assumptions!$B$20</x:f>
        <x:v>214</x:v>
      </x:c>
      <x:c r="K61" s="95" t="n">
        <x:f>Assumptions!$B$21</x:f>
        <x:v>12</x:v>
      </x:c>
      <x:c r="L61" s="95" t="n">
        <x:f>IF(H61=0,0,H61/K61)</x:f>
        <x:v>0</x:v>
      </x:c>
      <x:c r="M61" s="94" t="n">
        <x:f>H61*J61/K61</x:f>
        <x:v>0</x:v>
      </x:c>
      <x:c r="N61" s="52" t="n">
        <x:v>0</x:v>
      </x:c>
      <x:c r="O61" s="52" t="n">
        <x:v>0</x:v>
      </x:c>
      <x:c r="P61" s="85" t="n">
        <x:f>IF(N61=0,M61,N61)+O61</x:f>
        <x:v>0</x:v>
      </x:c>
      <x:c r="Q61" s="58" t="n">
        <x:v>0</x:v>
      </x:c>
      <x:c r="R61" s="58" t="n">
        <x:v>0</x:v>
      </x:c>
      <x:c r="S61" s="58" t="n">
        <x:v>0</x:v>
      </x:c>
      <x:c r="T61" s="75" t="inlineStr">
        <x:is>
          <x:t xml:space="preserve"/>
        </x:is>
      </x:c>
      <x:c r="U61" s="75" t="inlineStr">
        <x:is>
          <x:t xml:space="preserve"/>
        </x:is>
      </x:c>
    </x:row>
    <x:row r="62">
      <x:c r="A62" s="30" t="inlineStr">
        <x:is>
          <x:t xml:space="preserve">FT052</x:t>
        </x:is>
      </x:c>
      <x:c r="B62" s="82" t="inlineStr">
        <x:is>
          <x:t xml:space="preserve"/>
        </x:is>
      </x:c>
      <x:c r="C62" s="87" t="str">
        <x:f>IF(B62="","",MAX(1,MIN(24,INT((B62-Assumptions!$B$7)/7)+1)))</x:f>
      </x:c>
      <x:c r="D62" s="76" t="inlineStr">
        <x:is>
          <x:t xml:space="preserve"/>
        </x:is>
      </x:c>
      <x:c r="E62" s="76" t="inlineStr">
        <x:is>
          <x:t xml:space="preserve"/>
        </x:is>
      </x:c>
      <x:c r="F62" s="58" t="n">
        <x:v>0</x:v>
      </x:c>
      <x:c r="G62" s="58" t="n">
        <x:v>0</x:v>
      </x:c>
      <x:c r="H62" s="87" t="n">
        <x:f>MAX(0,G62-F62)</x:f>
        <x:v>0</x:v>
      </x:c>
      <x:c r="I62" s="58" t="n">
        <x:v>0</x:v>
      </x:c>
      <x:c r="J62" s="57" t="n">
        <x:f>Assumptions!$B$20</x:f>
        <x:v>214</x:v>
      </x:c>
      <x:c r="K62" s="96" t="n">
        <x:f>Assumptions!$B$21</x:f>
        <x:v>12</x:v>
      </x:c>
      <x:c r="L62" s="96" t="n">
        <x:f>IF(H62=0,0,H62/K62)</x:f>
        <x:v>0</x:v>
      </x:c>
      <x:c r="M62" s="57" t="n">
        <x:f>H62*J62/K62</x:f>
        <x:v>0</x:v>
      </x:c>
      <x:c r="N62" s="52" t="n">
        <x:v>0</x:v>
      </x:c>
      <x:c r="O62" s="52" t="n">
        <x:v>0</x:v>
      </x:c>
      <x:c r="P62" s="87" t="n">
        <x:f>IF(N62=0,M62,N62)+O62</x:f>
        <x:v>0</x:v>
      </x:c>
      <x:c r="Q62" s="58" t="n">
        <x:v>0</x:v>
      </x:c>
      <x:c r="R62" s="58" t="n">
        <x:v>0</x:v>
      </x:c>
      <x:c r="S62" s="58" t="n">
        <x:v>0</x:v>
      </x:c>
      <x:c r="T62" s="76" t="inlineStr">
        <x:is>
          <x:t xml:space="preserve"/>
        </x:is>
      </x:c>
      <x:c r="U62" s="76" t="inlineStr">
        <x:is>
          <x:t xml:space="preserve"/>
        </x:is>
      </x:c>
    </x:row>
    <x:row r="63">
      <x:c r="A63" s="31" t="inlineStr">
        <x:is>
          <x:t xml:space="preserve">FT053</x:t>
        </x:is>
      </x:c>
      <x:c r="B63" s="80" t="inlineStr">
        <x:is>
          <x:t xml:space="preserve"/>
        </x:is>
      </x:c>
      <x:c r="C63" s="85" t="str">
        <x:f>IF(B63="","",MAX(1,MIN(24,INT((B63-Assumptions!$B$7)/7)+1)))</x:f>
      </x:c>
      <x:c r="D63" s="75" t="inlineStr">
        <x:is>
          <x:t xml:space="preserve"/>
        </x:is>
      </x:c>
      <x:c r="E63" s="75" t="inlineStr">
        <x:is>
          <x:t xml:space="preserve"/>
        </x:is>
      </x:c>
      <x:c r="F63" s="58" t="n">
        <x:v>0</x:v>
      </x:c>
      <x:c r="G63" s="58" t="n">
        <x:v>0</x:v>
      </x:c>
      <x:c r="H63" s="85" t="n">
        <x:f>MAX(0,G63-F63)</x:f>
        <x:v>0</x:v>
      </x:c>
      <x:c r="I63" s="58" t="n">
        <x:v>0</x:v>
      </x:c>
      <x:c r="J63" s="94" t="n">
        <x:f>Assumptions!$B$20</x:f>
        <x:v>214</x:v>
      </x:c>
      <x:c r="K63" s="95" t="n">
        <x:f>Assumptions!$B$21</x:f>
        <x:v>12</x:v>
      </x:c>
      <x:c r="L63" s="95" t="n">
        <x:f>IF(H63=0,0,H63/K63)</x:f>
        <x:v>0</x:v>
      </x:c>
      <x:c r="M63" s="94" t="n">
        <x:f>H63*J63/K63</x:f>
        <x:v>0</x:v>
      </x:c>
      <x:c r="N63" s="52" t="n">
        <x:v>0</x:v>
      </x:c>
      <x:c r="O63" s="52" t="n">
        <x:v>0</x:v>
      </x:c>
      <x:c r="P63" s="85" t="n">
        <x:f>IF(N63=0,M63,N63)+O63</x:f>
        <x:v>0</x:v>
      </x:c>
      <x:c r="Q63" s="58" t="n">
        <x:v>0</x:v>
      </x:c>
      <x:c r="R63" s="58" t="n">
        <x:v>0</x:v>
      </x:c>
      <x:c r="S63" s="58" t="n">
        <x:v>0</x:v>
      </x:c>
      <x:c r="T63" s="75" t="inlineStr">
        <x:is>
          <x:t xml:space="preserve"/>
        </x:is>
      </x:c>
      <x:c r="U63" s="75" t="inlineStr">
        <x:is>
          <x:t xml:space="preserve"/>
        </x:is>
      </x:c>
    </x:row>
    <x:row r="64">
      <x:c r="A64" s="30" t="inlineStr">
        <x:is>
          <x:t xml:space="preserve">FT054</x:t>
        </x:is>
      </x:c>
      <x:c r="B64" s="82" t="inlineStr">
        <x:is>
          <x:t xml:space="preserve"/>
        </x:is>
      </x:c>
      <x:c r="C64" s="87" t="str">
        <x:f>IF(B64="","",MAX(1,MIN(24,INT((B64-Assumptions!$B$7)/7)+1)))</x:f>
      </x:c>
      <x:c r="D64" s="76" t="inlineStr">
        <x:is>
          <x:t xml:space="preserve"/>
        </x:is>
      </x:c>
      <x:c r="E64" s="76" t="inlineStr">
        <x:is>
          <x:t xml:space="preserve"/>
        </x:is>
      </x:c>
      <x:c r="F64" s="58" t="n">
        <x:v>0</x:v>
      </x:c>
      <x:c r="G64" s="58" t="n">
        <x:v>0</x:v>
      </x:c>
      <x:c r="H64" s="87" t="n">
        <x:f>MAX(0,G64-F64)</x:f>
        <x:v>0</x:v>
      </x:c>
      <x:c r="I64" s="58" t="n">
        <x:v>0</x:v>
      </x:c>
      <x:c r="J64" s="57" t="n">
        <x:f>Assumptions!$B$20</x:f>
        <x:v>214</x:v>
      </x:c>
      <x:c r="K64" s="96" t="n">
        <x:f>Assumptions!$B$21</x:f>
        <x:v>12</x:v>
      </x:c>
      <x:c r="L64" s="96" t="n">
        <x:f>IF(H64=0,0,H64/K64)</x:f>
        <x:v>0</x:v>
      </x:c>
      <x:c r="M64" s="57" t="n">
        <x:f>H64*J64/K64</x:f>
        <x:v>0</x:v>
      </x:c>
      <x:c r="N64" s="52" t="n">
        <x:v>0</x:v>
      </x:c>
      <x:c r="O64" s="52" t="n">
        <x:v>0</x:v>
      </x:c>
      <x:c r="P64" s="87" t="n">
        <x:f>IF(N64=0,M64,N64)+O64</x:f>
        <x:v>0</x:v>
      </x:c>
      <x:c r="Q64" s="58" t="n">
        <x:v>0</x:v>
      </x:c>
      <x:c r="R64" s="58" t="n">
        <x:v>0</x:v>
      </x:c>
      <x:c r="S64" s="58" t="n">
        <x:v>0</x:v>
      </x:c>
      <x:c r="T64" s="76" t="inlineStr">
        <x:is>
          <x:t xml:space="preserve"/>
        </x:is>
      </x:c>
      <x:c r="U64" s="76" t="inlineStr">
        <x:is>
          <x:t xml:space="preserve"/>
        </x:is>
      </x:c>
    </x:row>
    <x:row r="65">
      <x:c r="A65" s="31" t="inlineStr">
        <x:is>
          <x:t xml:space="preserve">FT055</x:t>
        </x:is>
      </x:c>
      <x:c r="B65" s="80" t="inlineStr">
        <x:is>
          <x:t xml:space="preserve"/>
        </x:is>
      </x:c>
      <x:c r="C65" s="85" t="str">
        <x:f>IF(B65="","",MAX(1,MIN(24,INT((B65-Assumptions!$B$7)/7)+1)))</x:f>
      </x:c>
      <x:c r="D65" s="75" t="inlineStr">
        <x:is>
          <x:t xml:space="preserve"/>
        </x:is>
      </x:c>
      <x:c r="E65" s="75" t="inlineStr">
        <x:is>
          <x:t xml:space="preserve"/>
        </x:is>
      </x:c>
      <x:c r="F65" s="58" t="n">
        <x:v>0</x:v>
      </x:c>
      <x:c r="G65" s="58" t="n">
        <x:v>0</x:v>
      </x:c>
      <x:c r="H65" s="85" t="n">
        <x:f>MAX(0,G65-F65)</x:f>
        <x:v>0</x:v>
      </x:c>
      <x:c r="I65" s="58" t="n">
        <x:v>0</x:v>
      </x:c>
      <x:c r="J65" s="94" t="n">
        <x:f>Assumptions!$B$20</x:f>
        <x:v>214</x:v>
      </x:c>
      <x:c r="K65" s="95" t="n">
        <x:f>Assumptions!$B$21</x:f>
        <x:v>12</x:v>
      </x:c>
      <x:c r="L65" s="95" t="n">
        <x:f>IF(H65=0,0,H65/K65)</x:f>
        <x:v>0</x:v>
      </x:c>
      <x:c r="M65" s="94" t="n">
        <x:f>H65*J65/K65</x:f>
        <x:v>0</x:v>
      </x:c>
      <x:c r="N65" s="52" t="n">
        <x:v>0</x:v>
      </x:c>
      <x:c r="O65" s="52" t="n">
        <x:v>0</x:v>
      </x:c>
      <x:c r="P65" s="85" t="n">
        <x:f>IF(N65=0,M65,N65)+O65</x:f>
        <x:v>0</x:v>
      </x:c>
      <x:c r="Q65" s="58" t="n">
        <x:v>0</x:v>
      </x:c>
      <x:c r="R65" s="58" t="n">
        <x:v>0</x:v>
      </x:c>
      <x:c r="S65" s="58" t="n">
        <x:v>0</x:v>
      </x:c>
      <x:c r="T65" s="75" t="inlineStr">
        <x:is>
          <x:t xml:space="preserve"/>
        </x:is>
      </x:c>
      <x:c r="U65" s="75" t="inlineStr">
        <x:is>
          <x:t xml:space="preserve"/>
        </x:is>
      </x:c>
    </x:row>
    <x:row r="66">
      <x:c r="A66" s="30" t="inlineStr">
        <x:is>
          <x:t xml:space="preserve">FT056</x:t>
        </x:is>
      </x:c>
      <x:c r="B66" s="82" t="inlineStr">
        <x:is>
          <x:t xml:space="preserve"/>
        </x:is>
      </x:c>
      <x:c r="C66" s="87" t="str">
        <x:f>IF(B66="","",MAX(1,MIN(24,INT((B66-Assumptions!$B$7)/7)+1)))</x:f>
      </x:c>
      <x:c r="D66" s="76" t="inlineStr">
        <x:is>
          <x:t xml:space="preserve"/>
        </x:is>
      </x:c>
      <x:c r="E66" s="76" t="inlineStr">
        <x:is>
          <x:t xml:space="preserve"/>
        </x:is>
      </x:c>
      <x:c r="F66" s="58" t="n">
        <x:v>0</x:v>
      </x:c>
      <x:c r="G66" s="58" t="n">
        <x:v>0</x:v>
      </x:c>
      <x:c r="H66" s="87" t="n">
        <x:f>MAX(0,G66-F66)</x:f>
        <x:v>0</x:v>
      </x:c>
      <x:c r="I66" s="58" t="n">
        <x:v>0</x:v>
      </x:c>
      <x:c r="J66" s="57" t="n">
        <x:f>Assumptions!$B$20</x:f>
        <x:v>214</x:v>
      </x:c>
      <x:c r="K66" s="96" t="n">
        <x:f>Assumptions!$B$21</x:f>
        <x:v>12</x:v>
      </x:c>
      <x:c r="L66" s="96" t="n">
        <x:f>IF(H66=0,0,H66/K66)</x:f>
        <x:v>0</x:v>
      </x:c>
      <x:c r="M66" s="57" t="n">
        <x:f>H66*J66/K66</x:f>
        <x:v>0</x:v>
      </x:c>
      <x:c r="N66" s="52" t="n">
        <x:v>0</x:v>
      </x:c>
      <x:c r="O66" s="52" t="n">
        <x:v>0</x:v>
      </x:c>
      <x:c r="P66" s="87" t="n">
        <x:f>IF(N66=0,M66,N66)+O66</x:f>
        <x:v>0</x:v>
      </x:c>
      <x:c r="Q66" s="58" t="n">
        <x:v>0</x:v>
      </x:c>
      <x:c r="R66" s="58" t="n">
        <x:v>0</x:v>
      </x:c>
      <x:c r="S66" s="58" t="n">
        <x:v>0</x:v>
      </x:c>
      <x:c r="T66" s="76" t="inlineStr">
        <x:is>
          <x:t xml:space="preserve"/>
        </x:is>
      </x:c>
      <x:c r="U66" s="76" t="inlineStr">
        <x:is>
          <x:t xml:space="preserve"/>
        </x:is>
      </x:c>
    </x:row>
    <x:row r="67">
      <x:c r="A67" s="31" t="inlineStr">
        <x:is>
          <x:t xml:space="preserve">FT057</x:t>
        </x:is>
      </x:c>
      <x:c r="B67" s="80" t="inlineStr">
        <x:is>
          <x:t xml:space="preserve"/>
        </x:is>
      </x:c>
      <x:c r="C67" s="85" t="str">
        <x:f>IF(B67="","",MAX(1,MIN(24,INT((B67-Assumptions!$B$7)/7)+1)))</x:f>
      </x:c>
      <x:c r="D67" s="75" t="inlineStr">
        <x:is>
          <x:t xml:space="preserve"/>
        </x:is>
      </x:c>
      <x:c r="E67" s="75" t="inlineStr">
        <x:is>
          <x:t xml:space="preserve"/>
        </x:is>
      </x:c>
      <x:c r="F67" s="58" t="n">
        <x:v>0</x:v>
      </x:c>
      <x:c r="G67" s="58" t="n">
        <x:v>0</x:v>
      </x:c>
      <x:c r="H67" s="85" t="n">
        <x:f>MAX(0,G67-F67)</x:f>
        <x:v>0</x:v>
      </x:c>
      <x:c r="I67" s="58" t="n">
        <x:v>0</x:v>
      </x:c>
      <x:c r="J67" s="94" t="n">
        <x:f>Assumptions!$B$20</x:f>
        <x:v>214</x:v>
      </x:c>
      <x:c r="K67" s="95" t="n">
        <x:f>Assumptions!$B$21</x:f>
        <x:v>12</x:v>
      </x:c>
      <x:c r="L67" s="95" t="n">
        <x:f>IF(H67=0,0,H67/K67)</x:f>
        <x:v>0</x:v>
      </x:c>
      <x:c r="M67" s="94" t="n">
        <x:f>H67*J67/K67</x:f>
        <x:v>0</x:v>
      </x:c>
      <x:c r="N67" s="52" t="n">
        <x:v>0</x:v>
      </x:c>
      <x:c r="O67" s="52" t="n">
        <x:v>0</x:v>
      </x:c>
      <x:c r="P67" s="85" t="n">
        <x:f>IF(N67=0,M67,N67)+O67</x:f>
        <x:v>0</x:v>
      </x:c>
      <x:c r="Q67" s="58" t="n">
        <x:v>0</x:v>
      </x:c>
      <x:c r="R67" s="58" t="n">
        <x:v>0</x:v>
      </x:c>
      <x:c r="S67" s="58" t="n">
        <x:v>0</x:v>
      </x:c>
      <x:c r="T67" s="75" t="inlineStr">
        <x:is>
          <x:t xml:space="preserve"/>
        </x:is>
      </x:c>
      <x:c r="U67" s="75" t="inlineStr">
        <x:is>
          <x:t xml:space="preserve"/>
        </x:is>
      </x:c>
    </x:row>
    <x:row r="68">
      <x:c r="A68" s="30" t="inlineStr">
        <x:is>
          <x:t xml:space="preserve">FT058</x:t>
        </x:is>
      </x:c>
      <x:c r="B68" s="82" t="inlineStr">
        <x:is>
          <x:t xml:space="preserve"/>
        </x:is>
      </x:c>
      <x:c r="C68" s="87" t="str">
        <x:f>IF(B68="","",MAX(1,MIN(24,INT((B68-Assumptions!$B$7)/7)+1)))</x:f>
      </x:c>
      <x:c r="D68" s="76" t="inlineStr">
        <x:is>
          <x:t xml:space="preserve"/>
        </x:is>
      </x:c>
      <x:c r="E68" s="76" t="inlineStr">
        <x:is>
          <x:t xml:space="preserve"/>
        </x:is>
      </x:c>
      <x:c r="F68" s="58" t="n">
        <x:v>0</x:v>
      </x:c>
      <x:c r="G68" s="58" t="n">
        <x:v>0</x:v>
      </x:c>
      <x:c r="H68" s="87" t="n">
        <x:f>MAX(0,G68-F68)</x:f>
        <x:v>0</x:v>
      </x:c>
      <x:c r="I68" s="58" t="n">
        <x:v>0</x:v>
      </x:c>
      <x:c r="J68" s="57" t="n">
        <x:f>Assumptions!$B$20</x:f>
        <x:v>214</x:v>
      </x:c>
      <x:c r="K68" s="96" t="n">
        <x:f>Assumptions!$B$21</x:f>
        <x:v>12</x:v>
      </x:c>
      <x:c r="L68" s="96" t="n">
        <x:f>IF(H68=0,0,H68/K68)</x:f>
        <x:v>0</x:v>
      </x:c>
      <x:c r="M68" s="57" t="n">
        <x:f>H68*J68/K68</x:f>
        <x:v>0</x:v>
      </x:c>
      <x:c r="N68" s="52" t="n">
        <x:v>0</x:v>
      </x:c>
      <x:c r="O68" s="52" t="n">
        <x:v>0</x:v>
      </x:c>
      <x:c r="P68" s="87" t="n">
        <x:f>IF(N68=0,M68,N68)+O68</x:f>
        <x:v>0</x:v>
      </x:c>
      <x:c r="Q68" s="58" t="n">
        <x:v>0</x:v>
      </x:c>
      <x:c r="R68" s="58" t="n">
        <x:v>0</x:v>
      </x:c>
      <x:c r="S68" s="58" t="n">
        <x:v>0</x:v>
      </x:c>
      <x:c r="T68" s="76" t="inlineStr">
        <x:is>
          <x:t xml:space="preserve"/>
        </x:is>
      </x:c>
      <x:c r="U68" s="76" t="inlineStr">
        <x:is>
          <x:t xml:space="preserve"/>
        </x:is>
      </x:c>
    </x:row>
    <x:row r="69">
      <x:c r="A69" s="31" t="inlineStr">
        <x:is>
          <x:t xml:space="preserve">FT059</x:t>
        </x:is>
      </x:c>
      <x:c r="B69" s="80" t="inlineStr">
        <x:is>
          <x:t xml:space="preserve"/>
        </x:is>
      </x:c>
      <x:c r="C69" s="85" t="str">
        <x:f>IF(B69="","",MAX(1,MIN(24,INT((B69-Assumptions!$B$7)/7)+1)))</x:f>
      </x:c>
      <x:c r="D69" s="75" t="inlineStr">
        <x:is>
          <x:t xml:space="preserve"/>
        </x:is>
      </x:c>
      <x:c r="E69" s="75" t="inlineStr">
        <x:is>
          <x:t xml:space="preserve"/>
        </x:is>
      </x:c>
      <x:c r="F69" s="58" t="n">
        <x:v>0</x:v>
      </x:c>
      <x:c r="G69" s="58" t="n">
        <x:v>0</x:v>
      </x:c>
      <x:c r="H69" s="85" t="n">
        <x:f>MAX(0,G69-F69)</x:f>
        <x:v>0</x:v>
      </x:c>
      <x:c r="I69" s="58" t="n">
        <x:v>0</x:v>
      </x:c>
      <x:c r="J69" s="94" t="n">
        <x:f>Assumptions!$B$20</x:f>
        <x:v>214</x:v>
      </x:c>
      <x:c r="K69" s="95" t="n">
        <x:f>Assumptions!$B$21</x:f>
        <x:v>12</x:v>
      </x:c>
      <x:c r="L69" s="95" t="n">
        <x:f>IF(H69=0,0,H69/K69)</x:f>
        <x:v>0</x:v>
      </x:c>
      <x:c r="M69" s="94" t="n">
        <x:f>H69*J69/K69</x:f>
        <x:v>0</x:v>
      </x:c>
      <x:c r="N69" s="52" t="n">
        <x:v>0</x:v>
      </x:c>
      <x:c r="O69" s="52" t="n">
        <x:v>0</x:v>
      </x:c>
      <x:c r="P69" s="85" t="n">
        <x:f>IF(N69=0,M69,N69)+O69</x:f>
        <x:v>0</x:v>
      </x:c>
      <x:c r="Q69" s="58" t="n">
        <x:v>0</x:v>
      </x:c>
      <x:c r="R69" s="58" t="n">
        <x:v>0</x:v>
      </x:c>
      <x:c r="S69" s="58" t="n">
        <x:v>0</x:v>
      </x:c>
      <x:c r="T69" s="75" t="inlineStr">
        <x:is>
          <x:t xml:space="preserve"/>
        </x:is>
      </x:c>
      <x:c r="U69" s="75" t="inlineStr">
        <x:is>
          <x:t xml:space="preserve"/>
        </x:is>
      </x:c>
    </x:row>
    <x:row r="70">
      <x:c r="A70" s="30" t="inlineStr">
        <x:is>
          <x:t xml:space="preserve">FT060</x:t>
        </x:is>
      </x:c>
      <x:c r="B70" s="82" t="inlineStr">
        <x:is>
          <x:t xml:space="preserve"/>
        </x:is>
      </x:c>
      <x:c r="C70" s="87" t="str">
        <x:f>IF(B70="","",MAX(1,MIN(24,INT((B70-Assumptions!$B$7)/7)+1)))</x:f>
      </x:c>
      <x:c r="D70" s="76" t="inlineStr">
        <x:is>
          <x:t xml:space="preserve"/>
        </x:is>
      </x:c>
      <x:c r="E70" s="76" t="inlineStr">
        <x:is>
          <x:t xml:space="preserve"/>
        </x:is>
      </x:c>
      <x:c r="F70" s="58" t="n">
        <x:v>0</x:v>
      </x:c>
      <x:c r="G70" s="58" t="n">
        <x:v>0</x:v>
      </x:c>
      <x:c r="H70" s="87" t="n">
        <x:f>MAX(0,G70-F70)</x:f>
        <x:v>0</x:v>
      </x:c>
      <x:c r="I70" s="58" t="n">
        <x:v>0</x:v>
      </x:c>
      <x:c r="J70" s="57" t="n">
        <x:f>Assumptions!$B$20</x:f>
        <x:v>214</x:v>
      </x:c>
      <x:c r="K70" s="96" t="n">
        <x:f>Assumptions!$B$21</x:f>
        <x:v>12</x:v>
      </x:c>
      <x:c r="L70" s="96" t="n">
        <x:f>IF(H70=0,0,H70/K70)</x:f>
        <x:v>0</x:v>
      </x:c>
      <x:c r="M70" s="57" t="n">
        <x:f>H70*J70/K70</x:f>
        <x:v>0</x:v>
      </x:c>
      <x:c r="N70" s="52" t="n">
        <x:v>0</x:v>
      </x:c>
      <x:c r="O70" s="52" t="n">
        <x:v>0</x:v>
      </x:c>
      <x:c r="P70" s="87" t="n">
        <x:f>IF(N70=0,M70,N70)+O70</x:f>
        <x:v>0</x:v>
      </x:c>
      <x:c r="Q70" s="58" t="n">
        <x:v>0</x:v>
      </x:c>
      <x:c r="R70" s="58" t="n">
        <x:v>0</x:v>
      </x:c>
      <x:c r="S70" s="58" t="n">
        <x:v>0</x:v>
      </x:c>
      <x:c r="T70" s="76" t="inlineStr">
        <x:is>
          <x:t xml:space="preserve"/>
        </x:is>
      </x:c>
      <x:c r="U70" s="76" t="inlineStr">
        <x:is>
          <x:t xml:space="preserve"/>
        </x:is>
      </x:c>
    </x:row>
    <x:row r="71">
      <x:c r="A71" s="31" t="inlineStr">
        <x:is>
          <x:t xml:space="preserve">FT061</x:t>
        </x:is>
      </x:c>
      <x:c r="B71" s="80" t="inlineStr">
        <x:is>
          <x:t xml:space="preserve"/>
        </x:is>
      </x:c>
      <x:c r="C71" s="85" t="str">
        <x:f>IF(B71="","",MAX(1,MIN(24,INT((B71-Assumptions!$B$7)/7)+1)))</x:f>
      </x:c>
      <x:c r="D71" s="75" t="inlineStr">
        <x:is>
          <x:t xml:space="preserve"/>
        </x:is>
      </x:c>
      <x:c r="E71" s="75" t="inlineStr">
        <x:is>
          <x:t xml:space="preserve"/>
        </x:is>
      </x:c>
      <x:c r="F71" s="58" t="n">
        <x:v>0</x:v>
      </x:c>
      <x:c r="G71" s="58" t="n">
        <x:v>0</x:v>
      </x:c>
      <x:c r="H71" s="85" t="n">
        <x:f>MAX(0,G71-F71)</x:f>
        <x:v>0</x:v>
      </x:c>
      <x:c r="I71" s="58" t="n">
        <x:v>0</x:v>
      </x:c>
      <x:c r="J71" s="94" t="n">
        <x:f>Assumptions!$B$20</x:f>
        <x:v>214</x:v>
      </x:c>
      <x:c r="K71" s="95" t="n">
        <x:f>Assumptions!$B$21</x:f>
        <x:v>12</x:v>
      </x:c>
      <x:c r="L71" s="95" t="n">
        <x:f>IF(H71=0,0,H71/K71)</x:f>
        <x:v>0</x:v>
      </x:c>
      <x:c r="M71" s="94" t="n">
        <x:f>H71*J71/K71</x:f>
        <x:v>0</x:v>
      </x:c>
      <x:c r="N71" s="52" t="n">
        <x:v>0</x:v>
      </x:c>
      <x:c r="O71" s="52" t="n">
        <x:v>0</x:v>
      </x:c>
      <x:c r="P71" s="85" t="n">
        <x:f>IF(N71=0,M71,N71)+O71</x:f>
        <x:v>0</x:v>
      </x:c>
      <x:c r="Q71" s="58" t="n">
        <x:v>0</x:v>
      </x:c>
      <x:c r="R71" s="58" t="n">
        <x:v>0</x:v>
      </x:c>
      <x:c r="S71" s="58" t="n">
        <x:v>0</x:v>
      </x:c>
      <x:c r="T71" s="75" t="inlineStr">
        <x:is>
          <x:t xml:space="preserve"/>
        </x:is>
      </x:c>
      <x:c r="U71" s="75" t="inlineStr">
        <x:is>
          <x:t xml:space="preserve"/>
        </x:is>
      </x:c>
    </x:row>
    <x:row r="72">
      <x:c r="A72" s="30" t="inlineStr">
        <x:is>
          <x:t xml:space="preserve">FT062</x:t>
        </x:is>
      </x:c>
      <x:c r="B72" s="82" t="inlineStr">
        <x:is>
          <x:t xml:space="preserve"/>
        </x:is>
      </x:c>
      <x:c r="C72" s="87" t="str">
        <x:f>IF(B72="","",MAX(1,MIN(24,INT((B72-Assumptions!$B$7)/7)+1)))</x:f>
      </x:c>
      <x:c r="D72" s="76" t="inlineStr">
        <x:is>
          <x:t xml:space="preserve"/>
        </x:is>
      </x:c>
      <x:c r="E72" s="76" t="inlineStr">
        <x:is>
          <x:t xml:space="preserve"/>
        </x:is>
      </x:c>
      <x:c r="F72" s="58" t="n">
        <x:v>0</x:v>
      </x:c>
      <x:c r="G72" s="58" t="n">
        <x:v>0</x:v>
      </x:c>
      <x:c r="H72" s="87" t="n">
        <x:f>MAX(0,G72-F72)</x:f>
        <x:v>0</x:v>
      </x:c>
      <x:c r="I72" s="58" t="n">
        <x:v>0</x:v>
      </x:c>
      <x:c r="J72" s="57" t="n">
        <x:f>Assumptions!$B$20</x:f>
        <x:v>214</x:v>
      </x:c>
      <x:c r="K72" s="96" t="n">
        <x:f>Assumptions!$B$21</x:f>
        <x:v>12</x:v>
      </x:c>
      <x:c r="L72" s="96" t="n">
        <x:f>IF(H72=0,0,H72/K72)</x:f>
        <x:v>0</x:v>
      </x:c>
      <x:c r="M72" s="57" t="n">
        <x:f>H72*J72/K72</x:f>
        <x:v>0</x:v>
      </x:c>
      <x:c r="N72" s="52" t="n">
        <x:v>0</x:v>
      </x:c>
      <x:c r="O72" s="52" t="n">
        <x:v>0</x:v>
      </x:c>
      <x:c r="P72" s="87" t="n">
        <x:f>IF(N72=0,M72,N72)+O72</x:f>
        <x:v>0</x:v>
      </x:c>
      <x:c r="Q72" s="58" t="n">
        <x:v>0</x:v>
      </x:c>
      <x:c r="R72" s="58" t="n">
        <x:v>0</x:v>
      </x:c>
      <x:c r="S72" s="58" t="n">
        <x:v>0</x:v>
      </x:c>
      <x:c r="T72" s="76" t="inlineStr">
        <x:is>
          <x:t xml:space="preserve"/>
        </x:is>
      </x:c>
      <x:c r="U72" s="76" t="inlineStr">
        <x:is>
          <x:t xml:space="preserve"/>
        </x:is>
      </x:c>
    </x:row>
    <x:row r="73">
      <x:c r="A73" s="31" t="inlineStr">
        <x:is>
          <x:t xml:space="preserve">FT063</x:t>
        </x:is>
      </x:c>
      <x:c r="B73" s="80" t="inlineStr">
        <x:is>
          <x:t xml:space="preserve"/>
        </x:is>
      </x:c>
      <x:c r="C73" s="85" t="str">
        <x:f>IF(B73="","",MAX(1,MIN(24,INT((B73-Assumptions!$B$7)/7)+1)))</x:f>
      </x:c>
      <x:c r="D73" s="75" t="inlineStr">
        <x:is>
          <x:t xml:space="preserve"/>
        </x:is>
      </x:c>
      <x:c r="E73" s="75" t="inlineStr">
        <x:is>
          <x:t xml:space="preserve"/>
        </x:is>
      </x:c>
      <x:c r="F73" s="58" t="n">
        <x:v>0</x:v>
      </x:c>
      <x:c r="G73" s="58" t="n">
        <x:v>0</x:v>
      </x:c>
      <x:c r="H73" s="85" t="n">
        <x:f>MAX(0,G73-F73)</x:f>
        <x:v>0</x:v>
      </x:c>
      <x:c r="I73" s="58" t="n">
        <x:v>0</x:v>
      </x:c>
      <x:c r="J73" s="94" t="n">
        <x:f>Assumptions!$B$20</x:f>
        <x:v>214</x:v>
      </x:c>
      <x:c r="K73" s="95" t="n">
        <x:f>Assumptions!$B$21</x:f>
        <x:v>12</x:v>
      </x:c>
      <x:c r="L73" s="95" t="n">
        <x:f>IF(H73=0,0,H73/K73)</x:f>
        <x:v>0</x:v>
      </x:c>
      <x:c r="M73" s="94" t="n">
        <x:f>H73*J73/K73</x:f>
        <x:v>0</x:v>
      </x:c>
      <x:c r="N73" s="52" t="n">
        <x:v>0</x:v>
      </x:c>
      <x:c r="O73" s="52" t="n">
        <x:v>0</x:v>
      </x:c>
      <x:c r="P73" s="85" t="n">
        <x:f>IF(N73=0,M73,N73)+O73</x:f>
        <x:v>0</x:v>
      </x:c>
      <x:c r="Q73" s="58" t="n">
        <x:v>0</x:v>
      </x:c>
      <x:c r="R73" s="58" t="n">
        <x:v>0</x:v>
      </x:c>
      <x:c r="S73" s="58" t="n">
        <x:v>0</x:v>
      </x:c>
      <x:c r="T73" s="75" t="inlineStr">
        <x:is>
          <x:t xml:space="preserve"/>
        </x:is>
      </x:c>
      <x:c r="U73" s="75" t="inlineStr">
        <x:is>
          <x:t xml:space="preserve"/>
        </x:is>
      </x:c>
    </x:row>
    <x:row r="74">
      <x:c r="A74" s="30" t="inlineStr">
        <x:is>
          <x:t xml:space="preserve">FT064</x:t>
        </x:is>
      </x:c>
      <x:c r="B74" s="82" t="inlineStr">
        <x:is>
          <x:t xml:space="preserve"/>
        </x:is>
      </x:c>
      <x:c r="C74" s="87" t="str">
        <x:f>IF(B74="","",MAX(1,MIN(24,INT((B74-Assumptions!$B$7)/7)+1)))</x:f>
      </x:c>
      <x:c r="D74" s="76" t="inlineStr">
        <x:is>
          <x:t xml:space="preserve"/>
        </x:is>
      </x:c>
      <x:c r="E74" s="76" t="inlineStr">
        <x:is>
          <x:t xml:space="preserve"/>
        </x:is>
      </x:c>
      <x:c r="F74" s="58" t="n">
        <x:v>0</x:v>
      </x:c>
      <x:c r="G74" s="58" t="n">
        <x:v>0</x:v>
      </x:c>
      <x:c r="H74" s="87" t="n">
        <x:f>MAX(0,G74-F74)</x:f>
        <x:v>0</x:v>
      </x:c>
      <x:c r="I74" s="58" t="n">
        <x:v>0</x:v>
      </x:c>
      <x:c r="J74" s="57" t="n">
        <x:f>Assumptions!$B$20</x:f>
        <x:v>214</x:v>
      </x:c>
      <x:c r="K74" s="96" t="n">
        <x:f>Assumptions!$B$21</x:f>
        <x:v>12</x:v>
      </x:c>
      <x:c r="L74" s="96" t="n">
        <x:f>IF(H74=0,0,H74/K74)</x:f>
        <x:v>0</x:v>
      </x:c>
      <x:c r="M74" s="57" t="n">
        <x:f>H74*J74/K74</x:f>
        <x:v>0</x:v>
      </x:c>
      <x:c r="N74" s="52" t="n">
        <x:v>0</x:v>
      </x:c>
      <x:c r="O74" s="52" t="n">
        <x:v>0</x:v>
      </x:c>
      <x:c r="P74" s="87" t="n">
        <x:f>IF(N74=0,M74,N74)+O74</x:f>
        <x:v>0</x:v>
      </x:c>
      <x:c r="Q74" s="58" t="n">
        <x:v>0</x:v>
      </x:c>
      <x:c r="R74" s="58" t="n">
        <x:v>0</x:v>
      </x:c>
      <x:c r="S74" s="58" t="n">
        <x:v>0</x:v>
      </x:c>
      <x:c r="T74" s="76" t="inlineStr">
        <x:is>
          <x:t xml:space="preserve"/>
        </x:is>
      </x:c>
      <x:c r="U74" s="76" t="inlineStr">
        <x:is>
          <x:t xml:space="preserve"/>
        </x:is>
      </x:c>
    </x:row>
    <x:row r="75">
      <x:c r="A75" s="31" t="inlineStr">
        <x:is>
          <x:t xml:space="preserve">FT065</x:t>
        </x:is>
      </x:c>
      <x:c r="B75" s="80" t="inlineStr">
        <x:is>
          <x:t xml:space="preserve"/>
        </x:is>
      </x:c>
      <x:c r="C75" s="85" t="str">
        <x:f>IF(B75="","",MAX(1,MIN(24,INT((B75-Assumptions!$B$7)/7)+1)))</x:f>
      </x:c>
      <x:c r="D75" s="75" t="inlineStr">
        <x:is>
          <x:t xml:space="preserve"/>
        </x:is>
      </x:c>
      <x:c r="E75" s="75" t="inlineStr">
        <x:is>
          <x:t xml:space="preserve"/>
        </x:is>
      </x:c>
      <x:c r="F75" s="58" t="n">
        <x:v>0</x:v>
      </x:c>
      <x:c r="G75" s="58" t="n">
        <x:v>0</x:v>
      </x:c>
      <x:c r="H75" s="85" t="n">
        <x:f>MAX(0,G75-F75)</x:f>
        <x:v>0</x:v>
      </x:c>
      <x:c r="I75" s="58" t="n">
        <x:v>0</x:v>
      </x:c>
      <x:c r="J75" s="94" t="n">
        <x:f>Assumptions!$B$20</x:f>
        <x:v>214</x:v>
      </x:c>
      <x:c r="K75" s="95" t="n">
        <x:f>Assumptions!$B$21</x:f>
        <x:v>12</x:v>
      </x:c>
      <x:c r="L75" s="95" t="n">
        <x:f>IF(H75=0,0,H75/K75)</x:f>
        <x:v>0</x:v>
      </x:c>
      <x:c r="M75" s="94" t="n">
        <x:f>H75*J75/K75</x:f>
        <x:v>0</x:v>
      </x:c>
      <x:c r="N75" s="52" t="n">
        <x:v>0</x:v>
      </x:c>
      <x:c r="O75" s="52" t="n">
        <x:v>0</x:v>
      </x:c>
      <x:c r="P75" s="85" t="n">
        <x:f>IF(N75=0,M75,N75)+O75</x:f>
        <x:v>0</x:v>
      </x:c>
      <x:c r="Q75" s="58" t="n">
        <x:v>0</x:v>
      </x:c>
      <x:c r="R75" s="58" t="n">
        <x:v>0</x:v>
      </x:c>
      <x:c r="S75" s="58" t="n">
        <x:v>0</x:v>
      </x:c>
      <x:c r="T75" s="75" t="inlineStr">
        <x:is>
          <x:t xml:space="preserve"/>
        </x:is>
      </x:c>
      <x:c r="U75" s="75" t="inlineStr">
        <x:is>
          <x:t xml:space="preserve"/>
        </x:is>
      </x:c>
    </x:row>
    <x:row r="76">
      <x:c r="A76" s="30" t="inlineStr">
        <x:is>
          <x:t xml:space="preserve">FT066</x:t>
        </x:is>
      </x:c>
      <x:c r="B76" s="82" t="inlineStr">
        <x:is>
          <x:t xml:space="preserve"/>
        </x:is>
      </x:c>
      <x:c r="C76" s="87" t="str">
        <x:f>IF(B76="","",MAX(1,MIN(24,INT((B76-Assumptions!$B$7)/7)+1)))</x:f>
      </x:c>
      <x:c r="D76" s="76" t="inlineStr">
        <x:is>
          <x:t xml:space="preserve"/>
        </x:is>
      </x:c>
      <x:c r="E76" s="76" t="inlineStr">
        <x:is>
          <x:t xml:space="preserve"/>
        </x:is>
      </x:c>
      <x:c r="F76" s="58" t="n">
        <x:v>0</x:v>
      </x:c>
      <x:c r="G76" s="58" t="n">
        <x:v>0</x:v>
      </x:c>
      <x:c r="H76" s="87" t="n">
        <x:f>MAX(0,G76-F76)</x:f>
        <x:v>0</x:v>
      </x:c>
      <x:c r="I76" s="58" t="n">
        <x:v>0</x:v>
      </x:c>
      <x:c r="J76" s="57" t="n">
        <x:f>Assumptions!$B$20</x:f>
        <x:v>214</x:v>
      </x:c>
      <x:c r="K76" s="96" t="n">
        <x:f>Assumptions!$B$21</x:f>
        <x:v>12</x:v>
      </x:c>
      <x:c r="L76" s="96" t="n">
        <x:f>IF(H76=0,0,H76/K76)</x:f>
        <x:v>0</x:v>
      </x:c>
      <x:c r="M76" s="57" t="n">
        <x:f>H76*J76/K76</x:f>
        <x:v>0</x:v>
      </x:c>
      <x:c r="N76" s="52" t="n">
        <x:v>0</x:v>
      </x:c>
      <x:c r="O76" s="52" t="n">
        <x:v>0</x:v>
      </x:c>
      <x:c r="P76" s="87" t="n">
        <x:f>IF(N76=0,M76,N76)+O76</x:f>
        <x:v>0</x:v>
      </x:c>
      <x:c r="Q76" s="58" t="n">
        <x:v>0</x:v>
      </x:c>
      <x:c r="R76" s="58" t="n">
        <x:v>0</x:v>
      </x:c>
      <x:c r="S76" s="58" t="n">
        <x:v>0</x:v>
      </x:c>
      <x:c r="T76" s="76" t="inlineStr">
        <x:is>
          <x:t xml:space="preserve"/>
        </x:is>
      </x:c>
      <x:c r="U76" s="76" t="inlineStr">
        <x:is>
          <x:t xml:space="preserve"/>
        </x:is>
      </x:c>
    </x:row>
    <x:row r="77">
      <x:c r="A77" s="31" t="inlineStr">
        <x:is>
          <x:t xml:space="preserve">FT067</x:t>
        </x:is>
      </x:c>
      <x:c r="B77" s="80" t="inlineStr">
        <x:is>
          <x:t xml:space="preserve"/>
        </x:is>
      </x:c>
      <x:c r="C77" s="85" t="str">
        <x:f>IF(B77="","",MAX(1,MIN(24,INT((B77-Assumptions!$B$7)/7)+1)))</x:f>
      </x:c>
      <x:c r="D77" s="75" t="inlineStr">
        <x:is>
          <x:t xml:space="preserve"/>
        </x:is>
      </x:c>
      <x:c r="E77" s="75" t="inlineStr">
        <x:is>
          <x:t xml:space="preserve"/>
        </x:is>
      </x:c>
      <x:c r="F77" s="58" t="n">
        <x:v>0</x:v>
      </x:c>
      <x:c r="G77" s="58" t="n">
        <x:v>0</x:v>
      </x:c>
      <x:c r="H77" s="85" t="n">
        <x:f>MAX(0,G77-F77)</x:f>
        <x:v>0</x:v>
      </x:c>
      <x:c r="I77" s="58" t="n">
        <x:v>0</x:v>
      </x:c>
      <x:c r="J77" s="94" t="n">
        <x:f>Assumptions!$B$20</x:f>
        <x:v>214</x:v>
      </x:c>
      <x:c r="K77" s="95" t="n">
        <x:f>Assumptions!$B$21</x:f>
        <x:v>12</x:v>
      </x:c>
      <x:c r="L77" s="95" t="n">
        <x:f>IF(H77=0,0,H77/K77)</x:f>
        <x:v>0</x:v>
      </x:c>
      <x:c r="M77" s="94" t="n">
        <x:f>H77*J77/K77</x:f>
        <x:v>0</x:v>
      </x:c>
      <x:c r="N77" s="52" t="n">
        <x:v>0</x:v>
      </x:c>
      <x:c r="O77" s="52" t="n">
        <x:v>0</x:v>
      </x:c>
      <x:c r="P77" s="85" t="n">
        <x:f>IF(N77=0,M77,N77)+O77</x:f>
        <x:v>0</x:v>
      </x:c>
      <x:c r="Q77" s="58" t="n">
        <x:v>0</x:v>
      </x:c>
      <x:c r="R77" s="58" t="n">
        <x:v>0</x:v>
      </x:c>
      <x:c r="S77" s="58" t="n">
        <x:v>0</x:v>
      </x:c>
      <x:c r="T77" s="75" t="inlineStr">
        <x:is>
          <x:t xml:space="preserve"/>
        </x:is>
      </x:c>
      <x:c r="U77" s="75" t="inlineStr">
        <x:is>
          <x:t xml:space="preserve"/>
        </x:is>
      </x:c>
    </x:row>
    <x:row r="78">
      <x:c r="A78" s="30" t="inlineStr">
        <x:is>
          <x:t xml:space="preserve">FT068</x:t>
        </x:is>
      </x:c>
      <x:c r="B78" s="82" t="inlineStr">
        <x:is>
          <x:t xml:space="preserve"/>
        </x:is>
      </x:c>
      <x:c r="C78" s="87" t="str">
        <x:f>IF(B78="","",MAX(1,MIN(24,INT((B78-Assumptions!$B$7)/7)+1)))</x:f>
      </x:c>
      <x:c r="D78" s="76" t="inlineStr">
        <x:is>
          <x:t xml:space="preserve"/>
        </x:is>
      </x:c>
      <x:c r="E78" s="76" t="inlineStr">
        <x:is>
          <x:t xml:space="preserve"/>
        </x:is>
      </x:c>
      <x:c r="F78" s="58" t="n">
        <x:v>0</x:v>
      </x:c>
      <x:c r="G78" s="58" t="n">
        <x:v>0</x:v>
      </x:c>
      <x:c r="H78" s="87" t="n">
        <x:f>MAX(0,G78-F78)</x:f>
        <x:v>0</x:v>
      </x:c>
      <x:c r="I78" s="58" t="n">
        <x:v>0</x:v>
      </x:c>
      <x:c r="J78" s="57" t="n">
        <x:f>Assumptions!$B$20</x:f>
        <x:v>214</x:v>
      </x:c>
      <x:c r="K78" s="96" t="n">
        <x:f>Assumptions!$B$21</x:f>
        <x:v>12</x:v>
      </x:c>
      <x:c r="L78" s="96" t="n">
        <x:f>IF(H78=0,0,H78/K78)</x:f>
        <x:v>0</x:v>
      </x:c>
      <x:c r="M78" s="57" t="n">
        <x:f>H78*J78/K78</x:f>
        <x:v>0</x:v>
      </x:c>
      <x:c r="N78" s="52" t="n">
        <x:v>0</x:v>
      </x:c>
      <x:c r="O78" s="52" t="n">
        <x:v>0</x:v>
      </x:c>
      <x:c r="P78" s="87" t="n">
        <x:f>IF(N78=0,M78,N78)+O78</x:f>
        <x:v>0</x:v>
      </x:c>
      <x:c r="Q78" s="58" t="n">
        <x:v>0</x:v>
      </x:c>
      <x:c r="R78" s="58" t="n">
        <x:v>0</x:v>
      </x:c>
      <x:c r="S78" s="58" t="n">
        <x:v>0</x:v>
      </x:c>
      <x:c r="T78" s="76" t="inlineStr">
        <x:is>
          <x:t xml:space="preserve"/>
        </x:is>
      </x:c>
      <x:c r="U78" s="76" t="inlineStr">
        <x:is>
          <x:t xml:space="preserve"/>
        </x:is>
      </x:c>
    </x:row>
    <x:row r="79">
      <x:c r="A79" s="31" t="inlineStr">
        <x:is>
          <x:t xml:space="preserve">FT069</x:t>
        </x:is>
      </x:c>
      <x:c r="B79" s="80" t="inlineStr">
        <x:is>
          <x:t xml:space="preserve"/>
        </x:is>
      </x:c>
      <x:c r="C79" s="85" t="str">
        <x:f>IF(B79="","",MAX(1,MIN(24,INT((B79-Assumptions!$B$7)/7)+1)))</x:f>
      </x:c>
      <x:c r="D79" s="75" t="inlineStr">
        <x:is>
          <x:t xml:space="preserve"/>
        </x:is>
      </x:c>
      <x:c r="E79" s="75" t="inlineStr">
        <x:is>
          <x:t xml:space="preserve"/>
        </x:is>
      </x:c>
      <x:c r="F79" s="58" t="n">
        <x:v>0</x:v>
      </x:c>
      <x:c r="G79" s="58" t="n">
        <x:v>0</x:v>
      </x:c>
      <x:c r="H79" s="85" t="n">
        <x:f>MAX(0,G79-F79)</x:f>
        <x:v>0</x:v>
      </x:c>
      <x:c r="I79" s="58" t="n">
        <x:v>0</x:v>
      </x:c>
      <x:c r="J79" s="94" t="n">
        <x:f>Assumptions!$B$20</x:f>
        <x:v>214</x:v>
      </x:c>
      <x:c r="K79" s="95" t="n">
        <x:f>Assumptions!$B$21</x:f>
        <x:v>12</x:v>
      </x:c>
      <x:c r="L79" s="95" t="n">
        <x:f>IF(H79=0,0,H79/K79)</x:f>
        <x:v>0</x:v>
      </x:c>
      <x:c r="M79" s="94" t="n">
        <x:f>H79*J79/K79</x:f>
        <x:v>0</x:v>
      </x:c>
      <x:c r="N79" s="52" t="n">
        <x:v>0</x:v>
      </x:c>
      <x:c r="O79" s="52" t="n">
        <x:v>0</x:v>
      </x:c>
      <x:c r="P79" s="85" t="n">
        <x:f>IF(N79=0,M79,N79)+O79</x:f>
        <x:v>0</x:v>
      </x:c>
      <x:c r="Q79" s="58" t="n">
        <x:v>0</x:v>
      </x:c>
      <x:c r="R79" s="58" t="n">
        <x:v>0</x:v>
      </x:c>
      <x:c r="S79" s="58" t="n">
        <x:v>0</x:v>
      </x:c>
      <x:c r="T79" s="75" t="inlineStr">
        <x:is>
          <x:t xml:space="preserve"/>
        </x:is>
      </x:c>
      <x:c r="U79" s="75" t="inlineStr">
        <x:is>
          <x:t xml:space="preserve"/>
        </x:is>
      </x:c>
    </x:row>
    <x:row r="80">
      <x:c r="A80" s="30" t="inlineStr">
        <x:is>
          <x:t xml:space="preserve">FT070</x:t>
        </x:is>
      </x:c>
      <x:c r="B80" s="82" t="inlineStr">
        <x:is>
          <x:t xml:space="preserve"/>
        </x:is>
      </x:c>
      <x:c r="C80" s="87" t="str">
        <x:f>IF(B80="","",MAX(1,MIN(24,INT((B80-Assumptions!$B$7)/7)+1)))</x:f>
      </x:c>
      <x:c r="D80" s="76" t="inlineStr">
        <x:is>
          <x:t xml:space="preserve"/>
        </x:is>
      </x:c>
      <x:c r="E80" s="76" t="inlineStr">
        <x:is>
          <x:t xml:space="preserve"/>
        </x:is>
      </x:c>
      <x:c r="F80" s="58" t="n">
        <x:v>0</x:v>
      </x:c>
      <x:c r="G80" s="58" t="n">
        <x:v>0</x:v>
      </x:c>
      <x:c r="H80" s="87" t="n">
        <x:f>MAX(0,G80-F80)</x:f>
        <x:v>0</x:v>
      </x:c>
      <x:c r="I80" s="58" t="n">
        <x:v>0</x:v>
      </x:c>
      <x:c r="J80" s="57" t="n">
        <x:f>Assumptions!$B$20</x:f>
        <x:v>214</x:v>
      </x:c>
      <x:c r="K80" s="96" t="n">
        <x:f>Assumptions!$B$21</x:f>
        <x:v>12</x:v>
      </x:c>
      <x:c r="L80" s="96" t="n">
        <x:f>IF(H80=0,0,H80/K80)</x:f>
        <x:v>0</x:v>
      </x:c>
      <x:c r="M80" s="57" t="n">
        <x:f>H80*J80/K80</x:f>
        <x:v>0</x:v>
      </x:c>
      <x:c r="N80" s="52" t="n">
        <x:v>0</x:v>
      </x:c>
      <x:c r="O80" s="52" t="n">
        <x:v>0</x:v>
      </x:c>
      <x:c r="P80" s="87" t="n">
        <x:f>IF(N80=0,M80,N80)+O80</x:f>
        <x:v>0</x:v>
      </x:c>
      <x:c r="Q80" s="58" t="n">
        <x:v>0</x:v>
      </x:c>
      <x:c r="R80" s="58" t="n">
        <x:v>0</x:v>
      </x:c>
      <x:c r="S80" s="58" t="n">
        <x:v>0</x:v>
      </x:c>
      <x:c r="T80" s="76" t="inlineStr">
        <x:is>
          <x:t xml:space="preserve"/>
        </x:is>
      </x:c>
      <x:c r="U80" s="76" t="inlineStr">
        <x:is>
          <x:t xml:space="preserve"/>
        </x:is>
      </x:c>
    </x:row>
    <x:row r="81">
      <x:c r="A81" s="31" t="inlineStr">
        <x:is>
          <x:t xml:space="preserve">FT071</x:t>
        </x:is>
      </x:c>
      <x:c r="B81" s="80" t="inlineStr">
        <x:is>
          <x:t xml:space="preserve"/>
        </x:is>
      </x:c>
      <x:c r="C81" s="85" t="str">
        <x:f>IF(B81="","",MAX(1,MIN(24,INT((B81-Assumptions!$B$7)/7)+1)))</x:f>
      </x:c>
      <x:c r="D81" s="75" t="inlineStr">
        <x:is>
          <x:t xml:space="preserve"/>
        </x:is>
      </x:c>
      <x:c r="E81" s="75" t="inlineStr">
        <x:is>
          <x:t xml:space="preserve"/>
        </x:is>
      </x:c>
      <x:c r="F81" s="58" t="n">
        <x:v>0</x:v>
      </x:c>
      <x:c r="G81" s="58" t="n">
        <x:v>0</x:v>
      </x:c>
      <x:c r="H81" s="85" t="n">
        <x:f>MAX(0,G81-F81)</x:f>
        <x:v>0</x:v>
      </x:c>
      <x:c r="I81" s="58" t="n">
        <x:v>0</x:v>
      </x:c>
      <x:c r="J81" s="94" t="n">
        <x:f>Assumptions!$B$20</x:f>
        <x:v>214</x:v>
      </x:c>
      <x:c r="K81" s="95" t="n">
        <x:f>Assumptions!$B$21</x:f>
        <x:v>12</x:v>
      </x:c>
      <x:c r="L81" s="95" t="n">
        <x:f>IF(H81=0,0,H81/K81)</x:f>
        <x:v>0</x:v>
      </x:c>
      <x:c r="M81" s="94" t="n">
        <x:f>H81*J81/K81</x:f>
        <x:v>0</x:v>
      </x:c>
      <x:c r="N81" s="52" t="n">
        <x:v>0</x:v>
      </x:c>
      <x:c r="O81" s="52" t="n">
        <x:v>0</x:v>
      </x:c>
      <x:c r="P81" s="85" t="n">
        <x:f>IF(N81=0,M81,N81)+O81</x:f>
        <x:v>0</x:v>
      </x:c>
      <x:c r="Q81" s="58" t="n">
        <x:v>0</x:v>
      </x:c>
      <x:c r="R81" s="58" t="n">
        <x:v>0</x:v>
      </x:c>
      <x:c r="S81" s="58" t="n">
        <x:v>0</x:v>
      </x:c>
      <x:c r="T81" s="75" t="inlineStr">
        <x:is>
          <x:t xml:space="preserve"/>
        </x:is>
      </x:c>
      <x:c r="U81" s="75" t="inlineStr">
        <x:is>
          <x:t xml:space="preserve"/>
        </x:is>
      </x:c>
    </x:row>
    <x:row r="82">
      <x:c r="A82" s="30" t="inlineStr">
        <x:is>
          <x:t xml:space="preserve">FT072</x:t>
        </x:is>
      </x:c>
      <x:c r="B82" s="82" t="inlineStr">
        <x:is>
          <x:t xml:space="preserve"/>
        </x:is>
      </x:c>
      <x:c r="C82" s="87" t="str">
        <x:f>IF(B82="","",MAX(1,MIN(24,INT((B82-Assumptions!$B$7)/7)+1)))</x:f>
      </x:c>
      <x:c r="D82" s="76" t="inlineStr">
        <x:is>
          <x:t xml:space="preserve"/>
        </x:is>
      </x:c>
      <x:c r="E82" s="76" t="inlineStr">
        <x:is>
          <x:t xml:space="preserve"/>
        </x:is>
      </x:c>
      <x:c r="F82" s="58" t="n">
        <x:v>0</x:v>
      </x:c>
      <x:c r="G82" s="58" t="n">
        <x:v>0</x:v>
      </x:c>
      <x:c r="H82" s="87" t="n">
        <x:f>MAX(0,G82-F82)</x:f>
        <x:v>0</x:v>
      </x:c>
      <x:c r="I82" s="58" t="n">
        <x:v>0</x:v>
      </x:c>
      <x:c r="J82" s="57" t="n">
        <x:f>Assumptions!$B$20</x:f>
        <x:v>214</x:v>
      </x:c>
      <x:c r="K82" s="96" t="n">
        <x:f>Assumptions!$B$21</x:f>
        <x:v>12</x:v>
      </x:c>
      <x:c r="L82" s="96" t="n">
        <x:f>IF(H82=0,0,H82/K82)</x:f>
        <x:v>0</x:v>
      </x:c>
      <x:c r="M82" s="57" t="n">
        <x:f>H82*J82/K82</x:f>
        <x:v>0</x:v>
      </x:c>
      <x:c r="N82" s="52" t="n">
        <x:v>0</x:v>
      </x:c>
      <x:c r="O82" s="52" t="n">
        <x:v>0</x:v>
      </x:c>
      <x:c r="P82" s="87" t="n">
        <x:f>IF(N82=0,M82,N82)+O82</x:f>
        <x:v>0</x:v>
      </x:c>
      <x:c r="Q82" s="58" t="n">
        <x:v>0</x:v>
      </x:c>
      <x:c r="R82" s="58" t="n">
        <x:v>0</x:v>
      </x:c>
      <x:c r="S82" s="58" t="n">
        <x:v>0</x:v>
      </x:c>
      <x:c r="T82" s="76" t="inlineStr">
        <x:is>
          <x:t xml:space="preserve"/>
        </x:is>
      </x:c>
      <x:c r="U82" s="76" t="inlineStr">
        <x:is>
          <x:t xml:space="preserve"/>
        </x:is>
      </x:c>
    </x:row>
    <x:row r="83">
      <x:c r="A83" s="31" t="inlineStr">
        <x:is>
          <x:t xml:space="preserve">FT073</x:t>
        </x:is>
      </x:c>
      <x:c r="B83" s="80" t="inlineStr">
        <x:is>
          <x:t xml:space="preserve"/>
        </x:is>
      </x:c>
      <x:c r="C83" s="85" t="str">
        <x:f>IF(B83="","",MAX(1,MIN(24,INT((B83-Assumptions!$B$7)/7)+1)))</x:f>
      </x:c>
      <x:c r="D83" s="75" t="inlineStr">
        <x:is>
          <x:t xml:space="preserve"/>
        </x:is>
      </x:c>
      <x:c r="E83" s="75" t="inlineStr">
        <x:is>
          <x:t xml:space="preserve"/>
        </x:is>
      </x:c>
      <x:c r="F83" s="58" t="n">
        <x:v>0</x:v>
      </x:c>
      <x:c r="G83" s="58" t="n">
        <x:v>0</x:v>
      </x:c>
      <x:c r="H83" s="85" t="n">
        <x:f>MAX(0,G83-F83)</x:f>
        <x:v>0</x:v>
      </x:c>
      <x:c r="I83" s="58" t="n">
        <x:v>0</x:v>
      </x:c>
      <x:c r="J83" s="94" t="n">
        <x:f>Assumptions!$B$20</x:f>
        <x:v>214</x:v>
      </x:c>
      <x:c r="K83" s="95" t="n">
        <x:f>Assumptions!$B$21</x:f>
        <x:v>12</x:v>
      </x:c>
      <x:c r="L83" s="95" t="n">
        <x:f>IF(H83=0,0,H83/K83)</x:f>
        <x:v>0</x:v>
      </x:c>
      <x:c r="M83" s="94" t="n">
        <x:f>H83*J83/K83</x:f>
        <x:v>0</x:v>
      </x:c>
      <x:c r="N83" s="52" t="n">
        <x:v>0</x:v>
      </x:c>
      <x:c r="O83" s="52" t="n">
        <x:v>0</x:v>
      </x:c>
      <x:c r="P83" s="85" t="n">
        <x:f>IF(N83=0,M83,N83)+O83</x:f>
        <x:v>0</x:v>
      </x:c>
      <x:c r="Q83" s="58" t="n">
        <x:v>0</x:v>
      </x:c>
      <x:c r="R83" s="58" t="n">
        <x:v>0</x:v>
      </x:c>
      <x:c r="S83" s="58" t="n">
        <x:v>0</x:v>
      </x:c>
      <x:c r="T83" s="75" t="inlineStr">
        <x:is>
          <x:t xml:space="preserve"/>
        </x:is>
      </x:c>
      <x:c r="U83" s="75" t="inlineStr">
        <x:is>
          <x:t xml:space="preserve"/>
        </x:is>
      </x:c>
    </x:row>
    <x:row r="84">
      <x:c r="A84" s="30" t="inlineStr">
        <x:is>
          <x:t xml:space="preserve">FT074</x:t>
        </x:is>
      </x:c>
      <x:c r="B84" s="82" t="inlineStr">
        <x:is>
          <x:t xml:space="preserve"/>
        </x:is>
      </x:c>
      <x:c r="C84" s="87" t="str">
        <x:f>IF(B84="","",MAX(1,MIN(24,INT((B84-Assumptions!$B$7)/7)+1)))</x:f>
      </x:c>
      <x:c r="D84" s="76" t="inlineStr">
        <x:is>
          <x:t xml:space="preserve"/>
        </x:is>
      </x:c>
      <x:c r="E84" s="76" t="inlineStr">
        <x:is>
          <x:t xml:space="preserve"/>
        </x:is>
      </x:c>
      <x:c r="F84" s="58" t="n">
        <x:v>0</x:v>
      </x:c>
      <x:c r="G84" s="58" t="n">
        <x:v>0</x:v>
      </x:c>
      <x:c r="H84" s="87" t="n">
        <x:f>MAX(0,G84-F84)</x:f>
        <x:v>0</x:v>
      </x:c>
      <x:c r="I84" s="58" t="n">
        <x:v>0</x:v>
      </x:c>
      <x:c r="J84" s="57" t="n">
        <x:f>Assumptions!$B$20</x:f>
        <x:v>214</x:v>
      </x:c>
      <x:c r="K84" s="96" t="n">
        <x:f>Assumptions!$B$21</x:f>
        <x:v>12</x:v>
      </x:c>
      <x:c r="L84" s="96" t="n">
        <x:f>IF(H84=0,0,H84/K84)</x:f>
        <x:v>0</x:v>
      </x:c>
      <x:c r="M84" s="57" t="n">
        <x:f>H84*J84/K84</x:f>
        <x:v>0</x:v>
      </x:c>
      <x:c r="N84" s="52" t="n">
        <x:v>0</x:v>
      </x:c>
      <x:c r="O84" s="52" t="n">
        <x:v>0</x:v>
      </x:c>
      <x:c r="P84" s="87" t="n">
        <x:f>IF(N84=0,M84,N84)+O84</x:f>
        <x:v>0</x:v>
      </x:c>
      <x:c r="Q84" s="58" t="n">
        <x:v>0</x:v>
      </x:c>
      <x:c r="R84" s="58" t="n">
        <x:v>0</x:v>
      </x:c>
      <x:c r="S84" s="58" t="n">
        <x:v>0</x:v>
      </x:c>
      <x:c r="T84" s="76" t="inlineStr">
        <x:is>
          <x:t xml:space="preserve"/>
        </x:is>
      </x:c>
      <x:c r="U84" s="76" t="inlineStr">
        <x:is>
          <x:t xml:space="preserve"/>
        </x:is>
      </x:c>
    </x:row>
    <x:row r="85">
      <x:c r="A85" s="31" t="inlineStr">
        <x:is>
          <x:t xml:space="preserve">FT075</x:t>
        </x:is>
      </x:c>
      <x:c r="B85" s="80" t="inlineStr">
        <x:is>
          <x:t xml:space="preserve"/>
        </x:is>
      </x:c>
      <x:c r="C85" s="85" t="str">
        <x:f>IF(B85="","",MAX(1,MIN(24,INT((B85-Assumptions!$B$7)/7)+1)))</x:f>
      </x:c>
      <x:c r="D85" s="75" t="inlineStr">
        <x:is>
          <x:t xml:space="preserve"/>
        </x:is>
      </x:c>
      <x:c r="E85" s="75" t="inlineStr">
        <x:is>
          <x:t xml:space="preserve"/>
        </x:is>
      </x:c>
      <x:c r="F85" s="58" t="n">
        <x:v>0</x:v>
      </x:c>
      <x:c r="G85" s="58" t="n">
        <x:v>0</x:v>
      </x:c>
      <x:c r="H85" s="85" t="n">
        <x:f>MAX(0,G85-F85)</x:f>
        <x:v>0</x:v>
      </x:c>
      <x:c r="I85" s="58" t="n">
        <x:v>0</x:v>
      </x:c>
      <x:c r="J85" s="94" t="n">
        <x:f>Assumptions!$B$20</x:f>
        <x:v>214</x:v>
      </x:c>
      <x:c r="K85" s="95" t="n">
        <x:f>Assumptions!$B$21</x:f>
        <x:v>12</x:v>
      </x:c>
      <x:c r="L85" s="95" t="n">
        <x:f>IF(H85=0,0,H85/K85)</x:f>
        <x:v>0</x:v>
      </x:c>
      <x:c r="M85" s="94" t="n">
        <x:f>H85*J85/K85</x:f>
        <x:v>0</x:v>
      </x:c>
      <x:c r="N85" s="52" t="n">
        <x:v>0</x:v>
      </x:c>
      <x:c r="O85" s="52" t="n">
        <x:v>0</x:v>
      </x:c>
      <x:c r="P85" s="85" t="n">
        <x:f>IF(N85=0,M85,N85)+O85</x:f>
        <x:v>0</x:v>
      </x:c>
      <x:c r="Q85" s="58" t="n">
        <x:v>0</x:v>
      </x:c>
      <x:c r="R85" s="58" t="n">
        <x:v>0</x:v>
      </x:c>
      <x:c r="S85" s="58" t="n">
        <x:v>0</x:v>
      </x:c>
      <x:c r="T85" s="75" t="inlineStr">
        <x:is>
          <x:t xml:space="preserve"/>
        </x:is>
      </x:c>
      <x:c r="U85" s="75" t="inlineStr">
        <x:is>
          <x:t xml:space="preserve"/>
        </x:is>
      </x:c>
    </x:row>
    <x:row r="86">
      <x:c r="A86" s="30" t="inlineStr">
        <x:is>
          <x:t xml:space="preserve">FT076</x:t>
        </x:is>
      </x:c>
      <x:c r="B86" s="82" t="inlineStr">
        <x:is>
          <x:t xml:space="preserve"/>
        </x:is>
      </x:c>
      <x:c r="C86" s="87" t="str">
        <x:f>IF(B86="","",MAX(1,MIN(24,INT((B86-Assumptions!$B$7)/7)+1)))</x:f>
      </x:c>
      <x:c r="D86" s="76" t="inlineStr">
        <x:is>
          <x:t xml:space="preserve"/>
        </x:is>
      </x:c>
      <x:c r="E86" s="76" t="inlineStr">
        <x:is>
          <x:t xml:space="preserve"/>
        </x:is>
      </x:c>
      <x:c r="F86" s="58" t="n">
        <x:v>0</x:v>
      </x:c>
      <x:c r="G86" s="58" t="n">
        <x:v>0</x:v>
      </x:c>
      <x:c r="H86" s="87" t="n">
        <x:f>MAX(0,G86-F86)</x:f>
        <x:v>0</x:v>
      </x:c>
      <x:c r="I86" s="58" t="n">
        <x:v>0</x:v>
      </x:c>
      <x:c r="J86" s="57" t="n">
        <x:f>Assumptions!$B$20</x:f>
        <x:v>214</x:v>
      </x:c>
      <x:c r="K86" s="96" t="n">
        <x:f>Assumptions!$B$21</x:f>
        <x:v>12</x:v>
      </x:c>
      <x:c r="L86" s="96" t="n">
        <x:f>IF(H86=0,0,H86/K86)</x:f>
        <x:v>0</x:v>
      </x:c>
      <x:c r="M86" s="57" t="n">
        <x:f>H86*J86/K86</x:f>
        <x:v>0</x:v>
      </x:c>
      <x:c r="N86" s="52" t="n">
        <x:v>0</x:v>
      </x:c>
      <x:c r="O86" s="52" t="n">
        <x:v>0</x:v>
      </x:c>
      <x:c r="P86" s="87" t="n">
        <x:f>IF(N86=0,M86,N86)+O86</x:f>
        <x:v>0</x:v>
      </x:c>
      <x:c r="Q86" s="58" t="n">
        <x:v>0</x:v>
      </x:c>
      <x:c r="R86" s="58" t="n">
        <x:v>0</x:v>
      </x:c>
      <x:c r="S86" s="58" t="n">
        <x:v>0</x:v>
      </x:c>
      <x:c r="T86" s="76" t="inlineStr">
        <x:is>
          <x:t xml:space="preserve"/>
        </x:is>
      </x:c>
      <x:c r="U86" s="76" t="inlineStr">
        <x:is>
          <x:t xml:space="preserve"/>
        </x:is>
      </x:c>
    </x:row>
    <x:row r="87">
      <x:c r="A87" s="31" t="inlineStr">
        <x:is>
          <x:t xml:space="preserve">FT077</x:t>
        </x:is>
      </x:c>
      <x:c r="B87" s="80" t="inlineStr">
        <x:is>
          <x:t xml:space="preserve"/>
        </x:is>
      </x:c>
      <x:c r="C87" s="85" t="str">
        <x:f>IF(B87="","",MAX(1,MIN(24,INT((B87-Assumptions!$B$7)/7)+1)))</x:f>
      </x:c>
      <x:c r="D87" s="75" t="inlineStr">
        <x:is>
          <x:t xml:space="preserve"/>
        </x:is>
      </x:c>
      <x:c r="E87" s="75" t="inlineStr">
        <x:is>
          <x:t xml:space="preserve"/>
        </x:is>
      </x:c>
      <x:c r="F87" s="58" t="n">
        <x:v>0</x:v>
      </x:c>
      <x:c r="G87" s="58" t="n">
        <x:v>0</x:v>
      </x:c>
      <x:c r="H87" s="85" t="n">
        <x:f>MAX(0,G87-F87)</x:f>
        <x:v>0</x:v>
      </x:c>
      <x:c r="I87" s="58" t="n">
        <x:v>0</x:v>
      </x:c>
      <x:c r="J87" s="94" t="n">
        <x:f>Assumptions!$B$20</x:f>
        <x:v>214</x:v>
      </x:c>
      <x:c r="K87" s="95" t="n">
        <x:f>Assumptions!$B$21</x:f>
        <x:v>12</x:v>
      </x:c>
      <x:c r="L87" s="95" t="n">
        <x:f>IF(H87=0,0,H87/K87)</x:f>
        <x:v>0</x:v>
      </x:c>
      <x:c r="M87" s="94" t="n">
        <x:f>H87*J87/K87</x:f>
        <x:v>0</x:v>
      </x:c>
      <x:c r="N87" s="52" t="n">
        <x:v>0</x:v>
      </x:c>
      <x:c r="O87" s="52" t="n">
        <x:v>0</x:v>
      </x:c>
      <x:c r="P87" s="85" t="n">
        <x:f>IF(N87=0,M87,N87)+O87</x:f>
        <x:v>0</x:v>
      </x:c>
      <x:c r="Q87" s="58" t="n">
        <x:v>0</x:v>
      </x:c>
      <x:c r="R87" s="58" t="n">
        <x:v>0</x:v>
      </x:c>
      <x:c r="S87" s="58" t="n">
        <x:v>0</x:v>
      </x:c>
      <x:c r="T87" s="75" t="inlineStr">
        <x:is>
          <x:t xml:space="preserve"/>
        </x:is>
      </x:c>
      <x:c r="U87" s="75" t="inlineStr">
        <x:is>
          <x:t xml:space="preserve"/>
        </x:is>
      </x:c>
    </x:row>
    <x:row r="88">
      <x:c r="A88" s="30" t="inlineStr">
        <x:is>
          <x:t xml:space="preserve">FT078</x:t>
        </x:is>
      </x:c>
      <x:c r="B88" s="82" t="inlineStr">
        <x:is>
          <x:t xml:space="preserve"/>
        </x:is>
      </x:c>
      <x:c r="C88" s="87" t="str">
        <x:f>IF(B88="","",MAX(1,MIN(24,INT((B88-Assumptions!$B$7)/7)+1)))</x:f>
      </x:c>
      <x:c r="D88" s="76" t="inlineStr">
        <x:is>
          <x:t xml:space="preserve"/>
        </x:is>
      </x:c>
      <x:c r="E88" s="76" t="inlineStr">
        <x:is>
          <x:t xml:space="preserve"/>
        </x:is>
      </x:c>
      <x:c r="F88" s="58" t="n">
        <x:v>0</x:v>
      </x:c>
      <x:c r="G88" s="58" t="n">
        <x:v>0</x:v>
      </x:c>
      <x:c r="H88" s="87" t="n">
        <x:f>MAX(0,G88-F88)</x:f>
        <x:v>0</x:v>
      </x:c>
      <x:c r="I88" s="58" t="n">
        <x:v>0</x:v>
      </x:c>
      <x:c r="J88" s="57" t="n">
        <x:f>Assumptions!$B$20</x:f>
        <x:v>214</x:v>
      </x:c>
      <x:c r="K88" s="96" t="n">
        <x:f>Assumptions!$B$21</x:f>
        <x:v>12</x:v>
      </x:c>
      <x:c r="L88" s="96" t="n">
        <x:f>IF(H88=0,0,H88/K88)</x:f>
        <x:v>0</x:v>
      </x:c>
      <x:c r="M88" s="57" t="n">
        <x:f>H88*J88/K88</x:f>
        <x:v>0</x:v>
      </x:c>
      <x:c r="N88" s="52" t="n">
        <x:v>0</x:v>
      </x:c>
      <x:c r="O88" s="52" t="n">
        <x:v>0</x:v>
      </x:c>
      <x:c r="P88" s="87" t="n">
        <x:f>IF(N88=0,M88,N88)+O88</x:f>
        <x:v>0</x:v>
      </x:c>
      <x:c r="Q88" s="58" t="n">
        <x:v>0</x:v>
      </x:c>
      <x:c r="R88" s="58" t="n">
        <x:v>0</x:v>
      </x:c>
      <x:c r="S88" s="58" t="n">
        <x:v>0</x:v>
      </x:c>
      <x:c r="T88" s="76" t="inlineStr">
        <x:is>
          <x:t xml:space="preserve"/>
        </x:is>
      </x:c>
      <x:c r="U88" s="76" t="inlineStr">
        <x:is>
          <x:t xml:space="preserve"/>
        </x:is>
      </x:c>
    </x:row>
    <x:row r="89">
      <x:c r="A89" s="31" t="inlineStr">
        <x:is>
          <x:t xml:space="preserve">FT079</x:t>
        </x:is>
      </x:c>
      <x:c r="B89" s="80" t="inlineStr">
        <x:is>
          <x:t xml:space="preserve"/>
        </x:is>
      </x:c>
      <x:c r="C89" s="85" t="str">
        <x:f>IF(B89="","",MAX(1,MIN(24,INT((B89-Assumptions!$B$7)/7)+1)))</x:f>
      </x:c>
      <x:c r="D89" s="75" t="inlineStr">
        <x:is>
          <x:t xml:space="preserve"/>
        </x:is>
      </x:c>
      <x:c r="E89" s="75" t="inlineStr">
        <x:is>
          <x:t xml:space="preserve"/>
        </x:is>
      </x:c>
      <x:c r="F89" s="58" t="n">
        <x:v>0</x:v>
      </x:c>
      <x:c r="G89" s="58" t="n">
        <x:v>0</x:v>
      </x:c>
      <x:c r="H89" s="85" t="n">
        <x:f>MAX(0,G89-F89)</x:f>
        <x:v>0</x:v>
      </x:c>
      <x:c r="I89" s="58" t="n">
        <x:v>0</x:v>
      </x:c>
      <x:c r="J89" s="94" t="n">
        <x:f>Assumptions!$B$20</x:f>
        <x:v>214</x:v>
      </x:c>
      <x:c r="K89" s="95" t="n">
        <x:f>Assumptions!$B$21</x:f>
        <x:v>12</x:v>
      </x:c>
      <x:c r="L89" s="95" t="n">
        <x:f>IF(H89=0,0,H89/K89)</x:f>
        <x:v>0</x:v>
      </x:c>
      <x:c r="M89" s="94" t="n">
        <x:f>H89*J89/K89</x:f>
        <x:v>0</x:v>
      </x:c>
      <x:c r="N89" s="52" t="n">
        <x:v>0</x:v>
      </x:c>
      <x:c r="O89" s="52" t="n">
        <x:v>0</x:v>
      </x:c>
      <x:c r="P89" s="85" t="n">
        <x:f>IF(N89=0,M89,N89)+O89</x:f>
        <x:v>0</x:v>
      </x:c>
      <x:c r="Q89" s="58" t="n">
        <x:v>0</x:v>
      </x:c>
      <x:c r="R89" s="58" t="n">
        <x:v>0</x:v>
      </x:c>
      <x:c r="S89" s="58" t="n">
        <x:v>0</x:v>
      </x:c>
      <x:c r="T89" s="75" t="inlineStr">
        <x:is>
          <x:t xml:space="preserve"/>
        </x:is>
      </x:c>
      <x:c r="U89" s="75" t="inlineStr">
        <x:is>
          <x:t xml:space="preserve"/>
        </x:is>
      </x:c>
    </x:row>
    <x:row r="90">
      <x:c r="A90" s="30" t="inlineStr">
        <x:is>
          <x:t xml:space="preserve">FT080</x:t>
        </x:is>
      </x:c>
      <x:c r="B90" s="82" t="inlineStr">
        <x:is>
          <x:t xml:space="preserve"/>
        </x:is>
      </x:c>
      <x:c r="C90" s="87" t="str">
        <x:f>IF(B90="","",MAX(1,MIN(24,INT((B90-Assumptions!$B$7)/7)+1)))</x:f>
      </x:c>
      <x:c r="D90" s="76" t="inlineStr">
        <x:is>
          <x:t xml:space="preserve"/>
        </x:is>
      </x:c>
      <x:c r="E90" s="76" t="inlineStr">
        <x:is>
          <x:t xml:space="preserve"/>
        </x:is>
      </x:c>
      <x:c r="F90" s="58" t="n">
        <x:v>0</x:v>
      </x:c>
      <x:c r="G90" s="58" t="n">
        <x:v>0</x:v>
      </x:c>
      <x:c r="H90" s="87" t="n">
        <x:f>MAX(0,G90-F90)</x:f>
        <x:v>0</x:v>
      </x:c>
      <x:c r="I90" s="58" t="n">
        <x:v>0</x:v>
      </x:c>
      <x:c r="J90" s="57" t="n">
        <x:f>Assumptions!$B$20</x:f>
        <x:v>214</x:v>
      </x:c>
      <x:c r="K90" s="96" t="n">
        <x:f>Assumptions!$B$21</x:f>
        <x:v>12</x:v>
      </x:c>
      <x:c r="L90" s="96" t="n">
        <x:f>IF(H90=0,0,H90/K90)</x:f>
        <x:v>0</x:v>
      </x:c>
      <x:c r="M90" s="57" t="n">
        <x:f>H90*J90/K90</x:f>
        <x:v>0</x:v>
      </x:c>
      <x:c r="N90" s="52" t="n">
        <x:v>0</x:v>
      </x:c>
      <x:c r="O90" s="52" t="n">
        <x:v>0</x:v>
      </x:c>
      <x:c r="P90" s="87" t="n">
        <x:f>IF(N90=0,M90,N90)+O90</x:f>
        <x:v>0</x:v>
      </x:c>
      <x:c r="Q90" s="58" t="n">
        <x:v>0</x:v>
      </x:c>
      <x:c r="R90" s="58" t="n">
        <x:v>0</x:v>
      </x:c>
      <x:c r="S90" s="58" t="n">
        <x:v>0</x:v>
      </x:c>
      <x:c r="T90" s="76" t="inlineStr">
        <x:is>
          <x:t xml:space="preserve"/>
        </x:is>
      </x:c>
      <x:c r="U90" s="76" t="inlineStr">
        <x:is>
          <x:t xml:space="preserve"/>
        </x:is>
      </x:c>
    </x:row>
    <x:row r="91">
      <x:c r="A91" s="31" t="inlineStr">
        <x:is>
          <x:t xml:space="preserve">FT081</x:t>
        </x:is>
      </x:c>
      <x:c r="B91" s="80" t="inlineStr">
        <x:is>
          <x:t xml:space="preserve"/>
        </x:is>
      </x:c>
      <x:c r="C91" s="85" t="str">
        <x:f>IF(B91="","",MAX(1,MIN(24,INT((B91-Assumptions!$B$7)/7)+1)))</x:f>
      </x:c>
      <x:c r="D91" s="75" t="inlineStr">
        <x:is>
          <x:t xml:space="preserve"/>
        </x:is>
      </x:c>
      <x:c r="E91" s="75" t="inlineStr">
        <x:is>
          <x:t xml:space="preserve"/>
        </x:is>
      </x:c>
      <x:c r="F91" s="58" t="n">
        <x:v>0</x:v>
      </x:c>
      <x:c r="G91" s="58" t="n">
        <x:v>0</x:v>
      </x:c>
      <x:c r="H91" s="85" t="n">
        <x:f>MAX(0,G91-F91)</x:f>
        <x:v>0</x:v>
      </x:c>
      <x:c r="I91" s="58" t="n">
        <x:v>0</x:v>
      </x:c>
      <x:c r="J91" s="94" t="n">
        <x:f>Assumptions!$B$20</x:f>
        <x:v>214</x:v>
      </x:c>
      <x:c r="K91" s="95" t="n">
        <x:f>Assumptions!$B$21</x:f>
        <x:v>12</x:v>
      </x:c>
      <x:c r="L91" s="95" t="n">
        <x:f>IF(H91=0,0,H91/K91)</x:f>
        <x:v>0</x:v>
      </x:c>
      <x:c r="M91" s="94" t="n">
        <x:f>H91*J91/K91</x:f>
        <x:v>0</x:v>
      </x:c>
      <x:c r="N91" s="52" t="n">
        <x:v>0</x:v>
      </x:c>
      <x:c r="O91" s="52" t="n">
        <x:v>0</x:v>
      </x:c>
      <x:c r="P91" s="85" t="n">
        <x:f>IF(N91=0,M91,N91)+O91</x:f>
        <x:v>0</x:v>
      </x:c>
      <x:c r="Q91" s="58" t="n">
        <x:v>0</x:v>
      </x:c>
      <x:c r="R91" s="58" t="n">
        <x:v>0</x:v>
      </x:c>
      <x:c r="S91" s="58" t="n">
        <x:v>0</x:v>
      </x:c>
      <x:c r="T91" s="75" t="inlineStr">
        <x:is>
          <x:t xml:space="preserve"/>
        </x:is>
      </x:c>
      <x:c r="U91" s="75" t="inlineStr">
        <x:is>
          <x:t xml:space="preserve"/>
        </x:is>
      </x:c>
    </x:row>
    <x:row r="92">
      <x:c r="A92" s="30" t="inlineStr">
        <x:is>
          <x:t xml:space="preserve">FT082</x:t>
        </x:is>
      </x:c>
      <x:c r="B92" s="82" t="inlineStr">
        <x:is>
          <x:t xml:space="preserve"/>
        </x:is>
      </x:c>
      <x:c r="C92" s="87" t="str">
        <x:f>IF(B92="","",MAX(1,MIN(24,INT((B92-Assumptions!$B$7)/7)+1)))</x:f>
      </x:c>
      <x:c r="D92" s="76" t="inlineStr">
        <x:is>
          <x:t xml:space="preserve"/>
        </x:is>
      </x:c>
      <x:c r="E92" s="76" t="inlineStr">
        <x:is>
          <x:t xml:space="preserve"/>
        </x:is>
      </x:c>
      <x:c r="F92" s="58" t="n">
        <x:v>0</x:v>
      </x:c>
      <x:c r="G92" s="58" t="n">
        <x:v>0</x:v>
      </x:c>
      <x:c r="H92" s="87" t="n">
        <x:f>MAX(0,G92-F92)</x:f>
        <x:v>0</x:v>
      </x:c>
      <x:c r="I92" s="58" t="n">
        <x:v>0</x:v>
      </x:c>
      <x:c r="J92" s="57" t="n">
        <x:f>Assumptions!$B$20</x:f>
        <x:v>214</x:v>
      </x:c>
      <x:c r="K92" s="96" t="n">
        <x:f>Assumptions!$B$21</x:f>
        <x:v>12</x:v>
      </x:c>
      <x:c r="L92" s="96" t="n">
        <x:f>IF(H92=0,0,H92/K92)</x:f>
        <x:v>0</x:v>
      </x:c>
      <x:c r="M92" s="57" t="n">
        <x:f>H92*J92/K92</x:f>
        <x:v>0</x:v>
      </x:c>
      <x:c r="N92" s="52" t="n">
        <x:v>0</x:v>
      </x:c>
      <x:c r="O92" s="52" t="n">
        <x:v>0</x:v>
      </x:c>
      <x:c r="P92" s="87" t="n">
        <x:f>IF(N92=0,M92,N92)+O92</x:f>
        <x:v>0</x:v>
      </x:c>
      <x:c r="Q92" s="58" t="n">
        <x:v>0</x:v>
      </x:c>
      <x:c r="R92" s="58" t="n">
        <x:v>0</x:v>
      </x:c>
      <x:c r="S92" s="58" t="n">
        <x:v>0</x:v>
      </x:c>
      <x:c r="T92" s="76" t="inlineStr">
        <x:is>
          <x:t xml:space="preserve"/>
        </x:is>
      </x:c>
      <x:c r="U92" s="76" t="inlineStr">
        <x:is>
          <x:t xml:space="preserve"/>
        </x:is>
      </x:c>
    </x:row>
    <x:row r="93">
      <x:c r="A93" s="31" t="inlineStr">
        <x:is>
          <x:t xml:space="preserve">FT083</x:t>
        </x:is>
      </x:c>
      <x:c r="B93" s="80" t="inlineStr">
        <x:is>
          <x:t xml:space="preserve"/>
        </x:is>
      </x:c>
      <x:c r="C93" s="85" t="str">
        <x:f>IF(B93="","",MAX(1,MIN(24,INT((B93-Assumptions!$B$7)/7)+1)))</x:f>
      </x:c>
      <x:c r="D93" s="75" t="inlineStr">
        <x:is>
          <x:t xml:space="preserve"/>
        </x:is>
      </x:c>
      <x:c r="E93" s="75" t="inlineStr">
        <x:is>
          <x:t xml:space="preserve"/>
        </x:is>
      </x:c>
      <x:c r="F93" s="58" t="n">
        <x:v>0</x:v>
      </x:c>
      <x:c r="G93" s="58" t="n">
        <x:v>0</x:v>
      </x:c>
      <x:c r="H93" s="85" t="n">
        <x:f>MAX(0,G93-F93)</x:f>
        <x:v>0</x:v>
      </x:c>
      <x:c r="I93" s="58" t="n">
        <x:v>0</x:v>
      </x:c>
      <x:c r="J93" s="94" t="n">
        <x:f>Assumptions!$B$20</x:f>
        <x:v>214</x:v>
      </x:c>
      <x:c r="K93" s="95" t="n">
        <x:f>Assumptions!$B$21</x:f>
        <x:v>12</x:v>
      </x:c>
      <x:c r="L93" s="95" t="n">
        <x:f>IF(H93=0,0,H93/K93)</x:f>
        <x:v>0</x:v>
      </x:c>
      <x:c r="M93" s="94" t="n">
        <x:f>H93*J93/K93</x:f>
        <x:v>0</x:v>
      </x:c>
      <x:c r="N93" s="52" t="n">
        <x:v>0</x:v>
      </x:c>
      <x:c r="O93" s="52" t="n">
        <x:v>0</x:v>
      </x:c>
      <x:c r="P93" s="85" t="n">
        <x:f>IF(N93=0,M93,N93)+O93</x:f>
        <x:v>0</x:v>
      </x:c>
      <x:c r="Q93" s="58" t="n">
        <x:v>0</x:v>
      </x:c>
      <x:c r="R93" s="58" t="n">
        <x:v>0</x:v>
      </x:c>
      <x:c r="S93" s="58" t="n">
        <x:v>0</x:v>
      </x:c>
      <x:c r="T93" s="75" t="inlineStr">
        <x:is>
          <x:t xml:space="preserve"/>
        </x:is>
      </x:c>
      <x:c r="U93" s="75" t="inlineStr">
        <x:is>
          <x:t xml:space="preserve"/>
        </x:is>
      </x:c>
    </x:row>
    <x:row r="94">
      <x:c r="A94" s="30" t="inlineStr">
        <x:is>
          <x:t xml:space="preserve">FT084</x:t>
        </x:is>
      </x:c>
      <x:c r="B94" s="82" t="inlineStr">
        <x:is>
          <x:t xml:space="preserve"/>
        </x:is>
      </x:c>
      <x:c r="C94" s="87" t="str">
        <x:f>IF(B94="","",MAX(1,MIN(24,INT((B94-Assumptions!$B$7)/7)+1)))</x:f>
      </x:c>
      <x:c r="D94" s="76" t="inlineStr">
        <x:is>
          <x:t xml:space="preserve"/>
        </x:is>
      </x:c>
      <x:c r="E94" s="76" t="inlineStr">
        <x:is>
          <x:t xml:space="preserve"/>
        </x:is>
      </x:c>
      <x:c r="F94" s="58" t="n">
        <x:v>0</x:v>
      </x:c>
      <x:c r="G94" s="58" t="n">
        <x:v>0</x:v>
      </x:c>
      <x:c r="H94" s="87" t="n">
        <x:f>MAX(0,G94-F94)</x:f>
        <x:v>0</x:v>
      </x:c>
      <x:c r="I94" s="58" t="n">
        <x:v>0</x:v>
      </x:c>
      <x:c r="J94" s="57" t="n">
        <x:f>Assumptions!$B$20</x:f>
        <x:v>214</x:v>
      </x:c>
      <x:c r="K94" s="96" t="n">
        <x:f>Assumptions!$B$21</x:f>
        <x:v>12</x:v>
      </x:c>
      <x:c r="L94" s="96" t="n">
        <x:f>IF(H94=0,0,H94/K94)</x:f>
        <x:v>0</x:v>
      </x:c>
      <x:c r="M94" s="57" t="n">
        <x:f>H94*J94/K94</x:f>
        <x:v>0</x:v>
      </x:c>
      <x:c r="N94" s="52" t="n">
        <x:v>0</x:v>
      </x:c>
      <x:c r="O94" s="52" t="n">
        <x:v>0</x:v>
      </x:c>
      <x:c r="P94" s="87" t="n">
        <x:f>IF(N94=0,M94,N94)+O94</x:f>
        <x:v>0</x:v>
      </x:c>
      <x:c r="Q94" s="58" t="n">
        <x:v>0</x:v>
      </x:c>
      <x:c r="R94" s="58" t="n">
        <x:v>0</x:v>
      </x:c>
      <x:c r="S94" s="58" t="n">
        <x:v>0</x:v>
      </x:c>
      <x:c r="T94" s="76" t="inlineStr">
        <x:is>
          <x:t xml:space="preserve"/>
        </x:is>
      </x:c>
      <x:c r="U94" s="76" t="inlineStr">
        <x:is>
          <x:t xml:space="preserve"/>
        </x:is>
      </x:c>
    </x:row>
    <x:row r="95">
      <x:c r="A95" s="31" t="inlineStr">
        <x:is>
          <x:t xml:space="preserve">FT085</x:t>
        </x:is>
      </x:c>
      <x:c r="B95" s="80" t="inlineStr">
        <x:is>
          <x:t xml:space="preserve"/>
        </x:is>
      </x:c>
      <x:c r="C95" s="85" t="str">
        <x:f>IF(B95="","",MAX(1,MIN(24,INT((B95-Assumptions!$B$7)/7)+1)))</x:f>
      </x:c>
      <x:c r="D95" s="75" t="inlineStr">
        <x:is>
          <x:t xml:space="preserve"/>
        </x:is>
      </x:c>
      <x:c r="E95" s="75" t="inlineStr">
        <x:is>
          <x:t xml:space="preserve"/>
        </x:is>
      </x:c>
      <x:c r="F95" s="58" t="n">
        <x:v>0</x:v>
      </x:c>
      <x:c r="G95" s="58" t="n">
        <x:v>0</x:v>
      </x:c>
      <x:c r="H95" s="85" t="n">
        <x:f>MAX(0,G95-F95)</x:f>
        <x:v>0</x:v>
      </x:c>
      <x:c r="I95" s="58" t="n">
        <x:v>0</x:v>
      </x:c>
      <x:c r="J95" s="94" t="n">
        <x:f>Assumptions!$B$20</x:f>
        <x:v>214</x:v>
      </x:c>
      <x:c r="K95" s="95" t="n">
        <x:f>Assumptions!$B$21</x:f>
        <x:v>12</x:v>
      </x:c>
      <x:c r="L95" s="95" t="n">
        <x:f>IF(H95=0,0,H95/K95)</x:f>
        <x:v>0</x:v>
      </x:c>
      <x:c r="M95" s="94" t="n">
        <x:f>H95*J95/K95</x:f>
        <x:v>0</x:v>
      </x:c>
      <x:c r="N95" s="52" t="n">
        <x:v>0</x:v>
      </x:c>
      <x:c r="O95" s="52" t="n">
        <x:v>0</x:v>
      </x:c>
      <x:c r="P95" s="85" t="n">
        <x:f>IF(N95=0,M95,N95)+O95</x:f>
        <x:v>0</x:v>
      </x:c>
      <x:c r="Q95" s="58" t="n">
        <x:v>0</x:v>
      </x:c>
      <x:c r="R95" s="58" t="n">
        <x:v>0</x:v>
      </x:c>
      <x:c r="S95" s="58" t="n">
        <x:v>0</x:v>
      </x:c>
      <x:c r="T95" s="75" t="inlineStr">
        <x:is>
          <x:t xml:space="preserve"/>
        </x:is>
      </x:c>
      <x:c r="U95" s="75" t="inlineStr">
        <x:is>
          <x:t xml:space="preserve"/>
        </x:is>
      </x:c>
    </x:row>
    <x:row r="96">
      <x:c r="A96" s="30" t="inlineStr">
        <x:is>
          <x:t xml:space="preserve">FT086</x:t>
        </x:is>
      </x:c>
      <x:c r="B96" s="82" t="inlineStr">
        <x:is>
          <x:t xml:space="preserve"/>
        </x:is>
      </x:c>
      <x:c r="C96" s="87" t="str">
        <x:f>IF(B96="","",MAX(1,MIN(24,INT((B96-Assumptions!$B$7)/7)+1)))</x:f>
      </x:c>
      <x:c r="D96" s="76" t="inlineStr">
        <x:is>
          <x:t xml:space="preserve"/>
        </x:is>
      </x:c>
      <x:c r="E96" s="76" t="inlineStr">
        <x:is>
          <x:t xml:space="preserve"/>
        </x:is>
      </x:c>
      <x:c r="F96" s="58" t="n">
        <x:v>0</x:v>
      </x:c>
      <x:c r="G96" s="58" t="n">
        <x:v>0</x:v>
      </x:c>
      <x:c r="H96" s="87" t="n">
        <x:f>MAX(0,G96-F96)</x:f>
        <x:v>0</x:v>
      </x:c>
      <x:c r="I96" s="58" t="n">
        <x:v>0</x:v>
      </x:c>
      <x:c r="J96" s="57" t="n">
        <x:f>Assumptions!$B$20</x:f>
        <x:v>214</x:v>
      </x:c>
      <x:c r="K96" s="96" t="n">
        <x:f>Assumptions!$B$21</x:f>
        <x:v>12</x:v>
      </x:c>
      <x:c r="L96" s="96" t="n">
        <x:f>IF(H96=0,0,H96/K96)</x:f>
        <x:v>0</x:v>
      </x:c>
      <x:c r="M96" s="57" t="n">
        <x:f>H96*J96/K96</x:f>
        <x:v>0</x:v>
      </x:c>
      <x:c r="N96" s="52" t="n">
        <x:v>0</x:v>
      </x:c>
      <x:c r="O96" s="52" t="n">
        <x:v>0</x:v>
      </x:c>
      <x:c r="P96" s="87" t="n">
        <x:f>IF(N96=0,M96,N96)+O96</x:f>
        <x:v>0</x:v>
      </x:c>
      <x:c r="Q96" s="58" t="n">
        <x:v>0</x:v>
      </x:c>
      <x:c r="R96" s="58" t="n">
        <x:v>0</x:v>
      </x:c>
      <x:c r="S96" s="58" t="n">
        <x:v>0</x:v>
      </x:c>
      <x:c r="T96" s="76" t="inlineStr">
        <x:is>
          <x:t xml:space="preserve"/>
        </x:is>
      </x:c>
      <x:c r="U96" s="76" t="inlineStr">
        <x:is>
          <x:t xml:space="preserve"/>
        </x:is>
      </x:c>
    </x:row>
    <x:row r="97">
      <x:c r="A97" s="31" t="inlineStr">
        <x:is>
          <x:t xml:space="preserve">FT087</x:t>
        </x:is>
      </x:c>
      <x:c r="B97" s="80" t="inlineStr">
        <x:is>
          <x:t xml:space="preserve"/>
        </x:is>
      </x:c>
      <x:c r="C97" s="85" t="str">
        <x:f>IF(B97="","",MAX(1,MIN(24,INT((B97-Assumptions!$B$7)/7)+1)))</x:f>
      </x:c>
      <x:c r="D97" s="75" t="inlineStr">
        <x:is>
          <x:t xml:space="preserve"/>
        </x:is>
      </x:c>
      <x:c r="E97" s="75" t="inlineStr">
        <x:is>
          <x:t xml:space="preserve"/>
        </x:is>
      </x:c>
      <x:c r="F97" s="58" t="n">
        <x:v>0</x:v>
      </x:c>
      <x:c r="G97" s="58" t="n">
        <x:v>0</x:v>
      </x:c>
      <x:c r="H97" s="85" t="n">
        <x:f>MAX(0,G97-F97)</x:f>
        <x:v>0</x:v>
      </x:c>
      <x:c r="I97" s="58" t="n">
        <x:v>0</x:v>
      </x:c>
      <x:c r="J97" s="94" t="n">
        <x:f>Assumptions!$B$20</x:f>
        <x:v>214</x:v>
      </x:c>
      <x:c r="K97" s="95" t="n">
        <x:f>Assumptions!$B$21</x:f>
        <x:v>12</x:v>
      </x:c>
      <x:c r="L97" s="95" t="n">
        <x:f>IF(H97=0,0,H97/K97)</x:f>
        <x:v>0</x:v>
      </x:c>
      <x:c r="M97" s="94" t="n">
        <x:f>H97*J97/K97</x:f>
        <x:v>0</x:v>
      </x:c>
      <x:c r="N97" s="52" t="n">
        <x:v>0</x:v>
      </x:c>
      <x:c r="O97" s="52" t="n">
        <x:v>0</x:v>
      </x:c>
      <x:c r="P97" s="85" t="n">
        <x:f>IF(N97=0,M97,N97)+O97</x:f>
        <x:v>0</x:v>
      </x:c>
      <x:c r="Q97" s="58" t="n">
        <x:v>0</x:v>
      </x:c>
      <x:c r="R97" s="58" t="n">
        <x:v>0</x:v>
      </x:c>
      <x:c r="S97" s="58" t="n">
        <x:v>0</x:v>
      </x:c>
      <x:c r="T97" s="75" t="inlineStr">
        <x:is>
          <x:t xml:space="preserve"/>
        </x:is>
      </x:c>
      <x:c r="U97" s="75" t="inlineStr">
        <x:is>
          <x:t xml:space="preserve"/>
        </x:is>
      </x:c>
    </x:row>
    <x:row r="98">
      <x:c r="A98" s="30" t="inlineStr">
        <x:is>
          <x:t xml:space="preserve">FT088</x:t>
        </x:is>
      </x:c>
      <x:c r="B98" s="82" t="inlineStr">
        <x:is>
          <x:t xml:space="preserve"/>
        </x:is>
      </x:c>
      <x:c r="C98" s="87" t="str">
        <x:f>IF(B98="","",MAX(1,MIN(24,INT((B98-Assumptions!$B$7)/7)+1)))</x:f>
      </x:c>
      <x:c r="D98" s="76" t="inlineStr">
        <x:is>
          <x:t xml:space="preserve"/>
        </x:is>
      </x:c>
      <x:c r="E98" s="76" t="inlineStr">
        <x:is>
          <x:t xml:space="preserve"/>
        </x:is>
      </x:c>
      <x:c r="F98" s="58" t="n">
        <x:v>0</x:v>
      </x:c>
      <x:c r="G98" s="58" t="n">
        <x:v>0</x:v>
      </x:c>
      <x:c r="H98" s="87" t="n">
        <x:f>MAX(0,G98-F98)</x:f>
        <x:v>0</x:v>
      </x:c>
      <x:c r="I98" s="58" t="n">
        <x:v>0</x:v>
      </x:c>
      <x:c r="J98" s="57" t="n">
        <x:f>Assumptions!$B$20</x:f>
        <x:v>214</x:v>
      </x:c>
      <x:c r="K98" s="96" t="n">
        <x:f>Assumptions!$B$21</x:f>
        <x:v>12</x:v>
      </x:c>
      <x:c r="L98" s="96" t="n">
        <x:f>IF(H98=0,0,H98/K98)</x:f>
        <x:v>0</x:v>
      </x:c>
      <x:c r="M98" s="57" t="n">
        <x:f>H98*J98/K98</x:f>
        <x:v>0</x:v>
      </x:c>
      <x:c r="N98" s="52" t="n">
        <x:v>0</x:v>
      </x:c>
      <x:c r="O98" s="52" t="n">
        <x:v>0</x:v>
      </x:c>
      <x:c r="P98" s="87" t="n">
        <x:f>IF(N98=0,M98,N98)+O98</x:f>
        <x:v>0</x:v>
      </x:c>
      <x:c r="Q98" s="58" t="n">
        <x:v>0</x:v>
      </x:c>
      <x:c r="R98" s="58" t="n">
        <x:v>0</x:v>
      </x:c>
      <x:c r="S98" s="58" t="n">
        <x:v>0</x:v>
      </x:c>
      <x:c r="T98" s="76" t="inlineStr">
        <x:is>
          <x:t xml:space="preserve"/>
        </x:is>
      </x:c>
      <x:c r="U98" s="76" t="inlineStr">
        <x:is>
          <x:t xml:space="preserve"/>
        </x:is>
      </x:c>
    </x:row>
    <x:row r="99">
      <x:c r="A99" s="31" t="inlineStr">
        <x:is>
          <x:t xml:space="preserve">FT089</x:t>
        </x:is>
      </x:c>
      <x:c r="B99" s="80" t="inlineStr">
        <x:is>
          <x:t xml:space="preserve"/>
        </x:is>
      </x:c>
      <x:c r="C99" s="85" t="str">
        <x:f>IF(B99="","",MAX(1,MIN(24,INT((B99-Assumptions!$B$7)/7)+1)))</x:f>
      </x:c>
      <x:c r="D99" s="75" t="inlineStr">
        <x:is>
          <x:t xml:space="preserve"/>
        </x:is>
      </x:c>
      <x:c r="E99" s="75" t="inlineStr">
        <x:is>
          <x:t xml:space="preserve"/>
        </x:is>
      </x:c>
      <x:c r="F99" s="58" t="n">
        <x:v>0</x:v>
      </x:c>
      <x:c r="G99" s="58" t="n">
        <x:v>0</x:v>
      </x:c>
      <x:c r="H99" s="85" t="n">
        <x:f>MAX(0,G99-F99)</x:f>
        <x:v>0</x:v>
      </x:c>
      <x:c r="I99" s="58" t="n">
        <x:v>0</x:v>
      </x:c>
      <x:c r="J99" s="94" t="n">
        <x:f>Assumptions!$B$20</x:f>
        <x:v>214</x:v>
      </x:c>
      <x:c r="K99" s="95" t="n">
        <x:f>Assumptions!$B$21</x:f>
        <x:v>12</x:v>
      </x:c>
      <x:c r="L99" s="95" t="n">
        <x:f>IF(H99=0,0,H99/K99)</x:f>
        <x:v>0</x:v>
      </x:c>
      <x:c r="M99" s="94" t="n">
        <x:f>H99*J99/K99</x:f>
        <x:v>0</x:v>
      </x:c>
      <x:c r="N99" s="52" t="n">
        <x:v>0</x:v>
      </x:c>
      <x:c r="O99" s="52" t="n">
        <x:v>0</x:v>
      </x:c>
      <x:c r="P99" s="85" t="n">
        <x:f>IF(N99=0,M99,N99)+O99</x:f>
        <x:v>0</x:v>
      </x:c>
      <x:c r="Q99" s="58" t="n">
        <x:v>0</x:v>
      </x:c>
      <x:c r="R99" s="58" t="n">
        <x:v>0</x:v>
      </x:c>
      <x:c r="S99" s="58" t="n">
        <x:v>0</x:v>
      </x:c>
      <x:c r="T99" s="75" t="inlineStr">
        <x:is>
          <x:t xml:space="preserve"/>
        </x:is>
      </x:c>
      <x:c r="U99" s="75" t="inlineStr">
        <x:is>
          <x:t xml:space="preserve"/>
        </x:is>
      </x:c>
    </x:row>
    <x:row r="100">
      <x:c r="A100" s="30" t="inlineStr">
        <x:is>
          <x:t xml:space="preserve">FT090</x:t>
        </x:is>
      </x:c>
      <x:c r="B100" s="82" t="inlineStr">
        <x:is>
          <x:t xml:space="preserve"/>
        </x:is>
      </x:c>
      <x:c r="C100" s="87" t="str">
        <x:f>IF(B100="","",MAX(1,MIN(24,INT((B100-Assumptions!$B$7)/7)+1)))</x:f>
      </x:c>
      <x:c r="D100" s="76" t="inlineStr">
        <x:is>
          <x:t xml:space="preserve"/>
        </x:is>
      </x:c>
      <x:c r="E100" s="76" t="inlineStr">
        <x:is>
          <x:t xml:space="preserve"/>
        </x:is>
      </x:c>
      <x:c r="F100" s="58" t="n">
        <x:v>0</x:v>
      </x:c>
      <x:c r="G100" s="58" t="n">
        <x:v>0</x:v>
      </x:c>
      <x:c r="H100" s="87" t="n">
        <x:f>MAX(0,G100-F100)</x:f>
        <x:v>0</x:v>
      </x:c>
      <x:c r="I100" s="58" t="n">
        <x:v>0</x:v>
      </x:c>
      <x:c r="J100" s="57" t="n">
        <x:f>Assumptions!$B$20</x:f>
        <x:v>214</x:v>
      </x:c>
      <x:c r="K100" s="96" t="n">
        <x:f>Assumptions!$B$21</x:f>
        <x:v>12</x:v>
      </x:c>
      <x:c r="L100" s="96" t="n">
        <x:f>IF(H100=0,0,H100/K100)</x:f>
        <x:v>0</x:v>
      </x:c>
      <x:c r="M100" s="57" t="n">
        <x:f>H100*J100/K100</x:f>
        <x:v>0</x:v>
      </x:c>
      <x:c r="N100" s="52" t="n">
        <x:v>0</x:v>
      </x:c>
      <x:c r="O100" s="52" t="n">
        <x:v>0</x:v>
      </x:c>
      <x:c r="P100" s="87" t="n">
        <x:f>IF(N100=0,M100,N100)+O100</x:f>
        <x:v>0</x:v>
      </x:c>
      <x:c r="Q100" s="58" t="n">
        <x:v>0</x:v>
      </x:c>
      <x:c r="R100" s="58" t="n">
        <x:v>0</x:v>
      </x:c>
      <x:c r="S100" s="58" t="n">
        <x:v>0</x:v>
      </x:c>
      <x:c r="T100" s="76" t="inlineStr">
        <x:is>
          <x:t xml:space="preserve"/>
        </x:is>
      </x:c>
      <x:c r="U100" s="76" t="inlineStr">
        <x:is>
          <x:t xml:space="preserve"/>
        </x:is>
      </x:c>
    </x:row>
    <x:row r="101">
      <x:c r="A101" s="31" t="inlineStr">
        <x:is>
          <x:t xml:space="preserve">FT091</x:t>
        </x:is>
      </x:c>
      <x:c r="B101" s="80" t="inlineStr">
        <x:is>
          <x:t xml:space="preserve"/>
        </x:is>
      </x:c>
      <x:c r="C101" s="85" t="str">
        <x:f>IF(B101="","",MAX(1,MIN(24,INT((B101-Assumptions!$B$7)/7)+1)))</x:f>
      </x:c>
      <x:c r="D101" s="75" t="inlineStr">
        <x:is>
          <x:t xml:space="preserve"/>
        </x:is>
      </x:c>
      <x:c r="E101" s="75" t="inlineStr">
        <x:is>
          <x:t xml:space="preserve"/>
        </x:is>
      </x:c>
      <x:c r="F101" s="58" t="n">
        <x:v>0</x:v>
      </x:c>
      <x:c r="G101" s="58" t="n">
        <x:v>0</x:v>
      </x:c>
      <x:c r="H101" s="85" t="n">
        <x:f>MAX(0,G101-F101)</x:f>
        <x:v>0</x:v>
      </x:c>
      <x:c r="I101" s="58" t="n">
        <x:v>0</x:v>
      </x:c>
      <x:c r="J101" s="94" t="n">
        <x:f>Assumptions!$B$20</x:f>
        <x:v>214</x:v>
      </x:c>
      <x:c r="K101" s="95" t="n">
        <x:f>Assumptions!$B$21</x:f>
        <x:v>12</x:v>
      </x:c>
      <x:c r="L101" s="95" t="n">
        <x:f>IF(H101=0,0,H101/K101)</x:f>
        <x:v>0</x:v>
      </x:c>
      <x:c r="M101" s="94" t="n">
        <x:f>H101*J101/K101</x:f>
        <x:v>0</x:v>
      </x:c>
      <x:c r="N101" s="52" t="n">
        <x:v>0</x:v>
      </x:c>
      <x:c r="O101" s="52" t="n">
        <x:v>0</x:v>
      </x:c>
      <x:c r="P101" s="85" t="n">
        <x:f>IF(N101=0,M101,N101)+O101</x:f>
        <x:v>0</x:v>
      </x:c>
      <x:c r="Q101" s="58" t="n">
        <x:v>0</x:v>
      </x:c>
      <x:c r="R101" s="58" t="n">
        <x:v>0</x:v>
      </x:c>
      <x:c r="S101" s="58" t="n">
        <x:v>0</x:v>
      </x:c>
      <x:c r="T101" s="75" t="inlineStr">
        <x:is>
          <x:t xml:space="preserve"/>
        </x:is>
      </x:c>
      <x:c r="U101" s="75" t="inlineStr">
        <x:is>
          <x:t xml:space="preserve"/>
        </x:is>
      </x:c>
    </x:row>
    <x:row r="102">
      <x:c r="A102" s="30" t="inlineStr">
        <x:is>
          <x:t xml:space="preserve">FT092</x:t>
        </x:is>
      </x:c>
      <x:c r="B102" s="82" t="inlineStr">
        <x:is>
          <x:t xml:space="preserve"/>
        </x:is>
      </x:c>
      <x:c r="C102" s="87" t="str">
        <x:f>IF(B102="","",MAX(1,MIN(24,INT((B102-Assumptions!$B$7)/7)+1)))</x:f>
      </x:c>
      <x:c r="D102" s="76" t="inlineStr">
        <x:is>
          <x:t xml:space="preserve"/>
        </x:is>
      </x:c>
      <x:c r="E102" s="76" t="inlineStr">
        <x:is>
          <x:t xml:space="preserve"/>
        </x:is>
      </x:c>
      <x:c r="F102" s="58" t="n">
        <x:v>0</x:v>
      </x:c>
      <x:c r="G102" s="58" t="n">
        <x:v>0</x:v>
      </x:c>
      <x:c r="H102" s="87" t="n">
        <x:f>MAX(0,G102-F102)</x:f>
        <x:v>0</x:v>
      </x:c>
      <x:c r="I102" s="58" t="n">
        <x:v>0</x:v>
      </x:c>
      <x:c r="J102" s="57" t="n">
        <x:f>Assumptions!$B$20</x:f>
        <x:v>214</x:v>
      </x:c>
      <x:c r="K102" s="96" t="n">
        <x:f>Assumptions!$B$21</x:f>
        <x:v>12</x:v>
      </x:c>
      <x:c r="L102" s="96" t="n">
        <x:f>IF(H102=0,0,H102/K102)</x:f>
        <x:v>0</x:v>
      </x:c>
      <x:c r="M102" s="57" t="n">
        <x:f>H102*J102/K102</x:f>
        <x:v>0</x:v>
      </x:c>
      <x:c r="N102" s="52" t="n">
        <x:v>0</x:v>
      </x:c>
      <x:c r="O102" s="52" t="n">
        <x:v>0</x:v>
      </x:c>
      <x:c r="P102" s="87" t="n">
        <x:f>IF(N102=0,M102,N102)+O102</x:f>
        <x:v>0</x:v>
      </x:c>
      <x:c r="Q102" s="58" t="n">
        <x:v>0</x:v>
      </x:c>
      <x:c r="R102" s="58" t="n">
        <x:v>0</x:v>
      </x:c>
      <x:c r="S102" s="58" t="n">
        <x:v>0</x:v>
      </x:c>
      <x:c r="T102" s="76" t="inlineStr">
        <x:is>
          <x:t xml:space="preserve"/>
        </x:is>
      </x:c>
      <x:c r="U102" s="76" t="inlineStr">
        <x:is>
          <x:t xml:space="preserve"/>
        </x:is>
      </x:c>
    </x:row>
    <x:row r="103">
      <x:c r="A103" s="31" t="inlineStr">
        <x:is>
          <x:t xml:space="preserve">FT093</x:t>
        </x:is>
      </x:c>
      <x:c r="B103" s="80" t="inlineStr">
        <x:is>
          <x:t xml:space="preserve"/>
        </x:is>
      </x:c>
      <x:c r="C103" s="85" t="str">
        <x:f>IF(B103="","",MAX(1,MIN(24,INT((B103-Assumptions!$B$7)/7)+1)))</x:f>
      </x:c>
      <x:c r="D103" s="75" t="inlineStr">
        <x:is>
          <x:t xml:space="preserve"/>
        </x:is>
      </x:c>
      <x:c r="E103" s="75" t="inlineStr">
        <x:is>
          <x:t xml:space="preserve"/>
        </x:is>
      </x:c>
      <x:c r="F103" s="58" t="n">
        <x:v>0</x:v>
      </x:c>
      <x:c r="G103" s="58" t="n">
        <x:v>0</x:v>
      </x:c>
      <x:c r="H103" s="85" t="n">
        <x:f>MAX(0,G103-F103)</x:f>
        <x:v>0</x:v>
      </x:c>
      <x:c r="I103" s="58" t="n">
        <x:v>0</x:v>
      </x:c>
      <x:c r="J103" s="94" t="n">
        <x:f>Assumptions!$B$20</x:f>
        <x:v>214</x:v>
      </x:c>
      <x:c r="K103" s="95" t="n">
        <x:f>Assumptions!$B$21</x:f>
        <x:v>12</x:v>
      </x:c>
      <x:c r="L103" s="95" t="n">
        <x:f>IF(H103=0,0,H103/K103)</x:f>
        <x:v>0</x:v>
      </x:c>
      <x:c r="M103" s="94" t="n">
        <x:f>H103*J103/K103</x:f>
        <x:v>0</x:v>
      </x:c>
      <x:c r="N103" s="52" t="n">
        <x:v>0</x:v>
      </x:c>
      <x:c r="O103" s="52" t="n">
        <x:v>0</x:v>
      </x:c>
      <x:c r="P103" s="85" t="n">
        <x:f>IF(N103=0,M103,N103)+O103</x:f>
        <x:v>0</x:v>
      </x:c>
      <x:c r="Q103" s="58" t="n">
        <x:v>0</x:v>
      </x:c>
      <x:c r="R103" s="58" t="n">
        <x:v>0</x:v>
      </x:c>
      <x:c r="S103" s="58" t="n">
        <x:v>0</x:v>
      </x:c>
      <x:c r="T103" s="75" t="inlineStr">
        <x:is>
          <x:t xml:space="preserve"/>
        </x:is>
      </x:c>
      <x:c r="U103" s="75" t="inlineStr">
        <x:is>
          <x:t xml:space="preserve"/>
        </x:is>
      </x:c>
    </x:row>
    <x:row r="104">
      <x:c r="A104" s="30" t="inlineStr">
        <x:is>
          <x:t xml:space="preserve">FT094</x:t>
        </x:is>
      </x:c>
      <x:c r="B104" s="82" t="inlineStr">
        <x:is>
          <x:t xml:space="preserve"/>
        </x:is>
      </x:c>
      <x:c r="C104" s="87" t="str">
        <x:f>IF(B104="","",MAX(1,MIN(24,INT((B104-Assumptions!$B$7)/7)+1)))</x:f>
      </x:c>
      <x:c r="D104" s="76" t="inlineStr">
        <x:is>
          <x:t xml:space="preserve"/>
        </x:is>
      </x:c>
      <x:c r="E104" s="76" t="inlineStr">
        <x:is>
          <x:t xml:space="preserve"/>
        </x:is>
      </x:c>
      <x:c r="F104" s="58" t="n">
        <x:v>0</x:v>
      </x:c>
      <x:c r="G104" s="58" t="n">
        <x:v>0</x:v>
      </x:c>
      <x:c r="H104" s="87" t="n">
        <x:f>MAX(0,G104-F104)</x:f>
        <x:v>0</x:v>
      </x:c>
      <x:c r="I104" s="58" t="n">
        <x:v>0</x:v>
      </x:c>
      <x:c r="J104" s="57" t="n">
        <x:f>Assumptions!$B$20</x:f>
        <x:v>214</x:v>
      </x:c>
      <x:c r="K104" s="96" t="n">
        <x:f>Assumptions!$B$21</x:f>
        <x:v>12</x:v>
      </x:c>
      <x:c r="L104" s="96" t="n">
        <x:f>IF(H104=0,0,H104/K104)</x:f>
        <x:v>0</x:v>
      </x:c>
      <x:c r="M104" s="57" t="n">
        <x:f>H104*J104/K104</x:f>
        <x:v>0</x:v>
      </x:c>
      <x:c r="N104" s="52" t="n">
        <x:v>0</x:v>
      </x:c>
      <x:c r="O104" s="52" t="n">
        <x:v>0</x:v>
      </x:c>
      <x:c r="P104" s="87" t="n">
        <x:f>IF(N104=0,M104,N104)+O104</x:f>
        <x:v>0</x:v>
      </x:c>
      <x:c r="Q104" s="58" t="n">
        <x:v>0</x:v>
      </x:c>
      <x:c r="R104" s="58" t="n">
        <x:v>0</x:v>
      </x:c>
      <x:c r="S104" s="58" t="n">
        <x:v>0</x:v>
      </x:c>
      <x:c r="T104" s="76" t="inlineStr">
        <x:is>
          <x:t xml:space="preserve"/>
        </x:is>
      </x:c>
      <x:c r="U104" s="76" t="inlineStr">
        <x:is>
          <x:t xml:space="preserve"/>
        </x:is>
      </x:c>
    </x:row>
    <x:row r="105">
      <x:c r="A105" s="31" t="inlineStr">
        <x:is>
          <x:t xml:space="preserve">FT095</x:t>
        </x:is>
      </x:c>
      <x:c r="B105" s="80" t="inlineStr">
        <x:is>
          <x:t xml:space="preserve"/>
        </x:is>
      </x:c>
      <x:c r="C105" s="85" t="str">
        <x:f>IF(B105="","",MAX(1,MIN(24,INT((B105-Assumptions!$B$7)/7)+1)))</x:f>
      </x:c>
      <x:c r="D105" s="75" t="inlineStr">
        <x:is>
          <x:t xml:space="preserve"/>
        </x:is>
      </x:c>
      <x:c r="E105" s="75" t="inlineStr">
        <x:is>
          <x:t xml:space="preserve"/>
        </x:is>
      </x:c>
      <x:c r="F105" s="58" t="n">
        <x:v>0</x:v>
      </x:c>
      <x:c r="G105" s="58" t="n">
        <x:v>0</x:v>
      </x:c>
      <x:c r="H105" s="85" t="n">
        <x:f>MAX(0,G105-F105)</x:f>
        <x:v>0</x:v>
      </x:c>
      <x:c r="I105" s="58" t="n">
        <x:v>0</x:v>
      </x:c>
      <x:c r="J105" s="94" t="n">
        <x:f>Assumptions!$B$20</x:f>
        <x:v>214</x:v>
      </x:c>
      <x:c r="K105" s="95" t="n">
        <x:f>Assumptions!$B$21</x:f>
        <x:v>12</x:v>
      </x:c>
      <x:c r="L105" s="95" t="n">
        <x:f>IF(H105=0,0,H105/K105)</x:f>
        <x:v>0</x:v>
      </x:c>
      <x:c r="M105" s="94" t="n">
        <x:f>H105*J105/K105</x:f>
        <x:v>0</x:v>
      </x:c>
      <x:c r="N105" s="52" t="n">
        <x:v>0</x:v>
      </x:c>
      <x:c r="O105" s="52" t="n">
        <x:v>0</x:v>
      </x:c>
      <x:c r="P105" s="85" t="n">
        <x:f>IF(N105=0,M105,N105)+O105</x:f>
        <x:v>0</x:v>
      </x:c>
      <x:c r="Q105" s="58" t="n">
        <x:v>0</x:v>
      </x:c>
      <x:c r="R105" s="58" t="n">
        <x:v>0</x:v>
      </x:c>
      <x:c r="S105" s="58" t="n">
        <x:v>0</x:v>
      </x:c>
      <x:c r="T105" s="75" t="inlineStr">
        <x:is>
          <x:t xml:space="preserve"/>
        </x:is>
      </x:c>
      <x:c r="U105" s="75" t="inlineStr">
        <x:is>
          <x:t xml:space="preserve"/>
        </x:is>
      </x:c>
    </x:row>
    <x:row r="106">
      <x:c r="A106" s="30" t="inlineStr">
        <x:is>
          <x:t xml:space="preserve">FT096</x:t>
        </x:is>
      </x:c>
      <x:c r="B106" s="82" t="inlineStr">
        <x:is>
          <x:t xml:space="preserve"/>
        </x:is>
      </x:c>
      <x:c r="C106" s="87" t="str">
        <x:f>IF(B106="","",MAX(1,MIN(24,INT((B106-Assumptions!$B$7)/7)+1)))</x:f>
      </x:c>
      <x:c r="D106" s="76" t="inlineStr">
        <x:is>
          <x:t xml:space="preserve"/>
        </x:is>
      </x:c>
      <x:c r="E106" s="76" t="inlineStr">
        <x:is>
          <x:t xml:space="preserve"/>
        </x:is>
      </x:c>
      <x:c r="F106" s="58" t="n">
        <x:v>0</x:v>
      </x:c>
      <x:c r="G106" s="58" t="n">
        <x:v>0</x:v>
      </x:c>
      <x:c r="H106" s="87" t="n">
        <x:f>MAX(0,G106-F106)</x:f>
        <x:v>0</x:v>
      </x:c>
      <x:c r="I106" s="58" t="n">
        <x:v>0</x:v>
      </x:c>
      <x:c r="J106" s="57" t="n">
        <x:f>Assumptions!$B$20</x:f>
        <x:v>214</x:v>
      </x:c>
      <x:c r="K106" s="96" t="n">
        <x:f>Assumptions!$B$21</x:f>
        <x:v>12</x:v>
      </x:c>
      <x:c r="L106" s="96" t="n">
        <x:f>IF(H106=0,0,H106/K106)</x:f>
        <x:v>0</x:v>
      </x:c>
      <x:c r="M106" s="57" t="n">
        <x:f>H106*J106/K106</x:f>
        <x:v>0</x:v>
      </x:c>
      <x:c r="N106" s="52" t="n">
        <x:v>0</x:v>
      </x:c>
      <x:c r="O106" s="52" t="n">
        <x:v>0</x:v>
      </x:c>
      <x:c r="P106" s="87" t="n">
        <x:f>IF(N106=0,M106,N106)+O106</x:f>
        <x:v>0</x:v>
      </x:c>
      <x:c r="Q106" s="58" t="n">
        <x:v>0</x:v>
      </x:c>
      <x:c r="R106" s="58" t="n">
        <x:v>0</x:v>
      </x:c>
      <x:c r="S106" s="58" t="n">
        <x:v>0</x:v>
      </x:c>
      <x:c r="T106" s="76" t="inlineStr">
        <x:is>
          <x:t xml:space="preserve"/>
        </x:is>
      </x:c>
      <x:c r="U106" s="76" t="inlineStr">
        <x:is>
          <x:t xml:space="preserve"/>
        </x:is>
      </x:c>
    </x:row>
    <x:row r="107">
      <x:c r="A107" s="31" t="inlineStr">
        <x:is>
          <x:t xml:space="preserve">FT097</x:t>
        </x:is>
      </x:c>
      <x:c r="B107" s="80" t="inlineStr">
        <x:is>
          <x:t xml:space="preserve"/>
        </x:is>
      </x:c>
      <x:c r="C107" s="85" t="str">
        <x:f>IF(B107="","",MAX(1,MIN(24,INT((B107-Assumptions!$B$7)/7)+1)))</x:f>
      </x:c>
      <x:c r="D107" s="75" t="inlineStr">
        <x:is>
          <x:t xml:space="preserve"/>
        </x:is>
      </x:c>
      <x:c r="E107" s="75" t="inlineStr">
        <x:is>
          <x:t xml:space="preserve"/>
        </x:is>
      </x:c>
      <x:c r="F107" s="58" t="n">
        <x:v>0</x:v>
      </x:c>
      <x:c r="G107" s="58" t="n">
        <x:v>0</x:v>
      </x:c>
      <x:c r="H107" s="85" t="n">
        <x:f>MAX(0,G107-F107)</x:f>
        <x:v>0</x:v>
      </x:c>
      <x:c r="I107" s="58" t="n">
        <x:v>0</x:v>
      </x:c>
      <x:c r="J107" s="94" t="n">
        <x:f>Assumptions!$B$20</x:f>
        <x:v>214</x:v>
      </x:c>
      <x:c r="K107" s="95" t="n">
        <x:f>Assumptions!$B$21</x:f>
        <x:v>12</x:v>
      </x:c>
      <x:c r="L107" s="95" t="n">
        <x:f>IF(H107=0,0,H107/K107)</x:f>
        <x:v>0</x:v>
      </x:c>
      <x:c r="M107" s="94" t="n">
        <x:f>H107*J107/K107</x:f>
        <x:v>0</x:v>
      </x:c>
      <x:c r="N107" s="52" t="n">
        <x:v>0</x:v>
      </x:c>
      <x:c r="O107" s="52" t="n">
        <x:v>0</x:v>
      </x:c>
      <x:c r="P107" s="85" t="n">
        <x:f>IF(N107=0,M107,N107)+O107</x:f>
        <x:v>0</x:v>
      </x:c>
      <x:c r="Q107" s="58" t="n">
        <x:v>0</x:v>
      </x:c>
      <x:c r="R107" s="58" t="n">
        <x:v>0</x:v>
      </x:c>
      <x:c r="S107" s="58" t="n">
        <x:v>0</x:v>
      </x:c>
      <x:c r="T107" s="75" t="inlineStr">
        <x:is>
          <x:t xml:space="preserve"/>
        </x:is>
      </x:c>
      <x:c r="U107" s="75" t="inlineStr">
        <x:is>
          <x:t xml:space="preserve"/>
        </x:is>
      </x:c>
    </x:row>
    <x:row r="108">
      <x:c r="A108" s="30" t="inlineStr">
        <x:is>
          <x:t xml:space="preserve">FT098</x:t>
        </x:is>
      </x:c>
      <x:c r="B108" s="82" t="inlineStr">
        <x:is>
          <x:t xml:space="preserve"/>
        </x:is>
      </x:c>
      <x:c r="C108" s="87" t="str">
        <x:f>IF(B108="","",MAX(1,MIN(24,INT((B108-Assumptions!$B$7)/7)+1)))</x:f>
      </x:c>
      <x:c r="D108" s="76" t="inlineStr">
        <x:is>
          <x:t xml:space="preserve"/>
        </x:is>
      </x:c>
      <x:c r="E108" s="76" t="inlineStr">
        <x:is>
          <x:t xml:space="preserve"/>
        </x:is>
      </x:c>
      <x:c r="F108" s="58" t="n">
        <x:v>0</x:v>
      </x:c>
      <x:c r="G108" s="58" t="n">
        <x:v>0</x:v>
      </x:c>
      <x:c r="H108" s="87" t="n">
        <x:f>MAX(0,G108-F108)</x:f>
        <x:v>0</x:v>
      </x:c>
      <x:c r="I108" s="58" t="n">
        <x:v>0</x:v>
      </x:c>
      <x:c r="J108" s="57" t="n">
        <x:f>Assumptions!$B$20</x:f>
        <x:v>214</x:v>
      </x:c>
      <x:c r="K108" s="96" t="n">
        <x:f>Assumptions!$B$21</x:f>
        <x:v>12</x:v>
      </x:c>
      <x:c r="L108" s="96" t="n">
        <x:f>IF(H108=0,0,H108/K108)</x:f>
        <x:v>0</x:v>
      </x:c>
      <x:c r="M108" s="57" t="n">
        <x:f>H108*J108/K108</x:f>
        <x:v>0</x:v>
      </x:c>
      <x:c r="N108" s="52" t="n">
        <x:v>0</x:v>
      </x:c>
      <x:c r="O108" s="52" t="n">
        <x:v>0</x:v>
      </x:c>
      <x:c r="P108" s="87" t="n">
        <x:f>IF(N108=0,M108,N108)+O108</x:f>
        <x:v>0</x:v>
      </x:c>
      <x:c r="Q108" s="58" t="n">
        <x:v>0</x:v>
      </x:c>
      <x:c r="R108" s="58" t="n">
        <x:v>0</x:v>
      </x:c>
      <x:c r="S108" s="58" t="n">
        <x:v>0</x:v>
      </x:c>
      <x:c r="T108" s="76" t="inlineStr">
        <x:is>
          <x:t xml:space="preserve"/>
        </x:is>
      </x:c>
      <x:c r="U108" s="76" t="inlineStr">
        <x:is>
          <x:t xml:space="preserve"/>
        </x:is>
      </x:c>
    </x:row>
    <x:row r="109">
      <x:c r="A109" s="31" t="inlineStr">
        <x:is>
          <x:t xml:space="preserve">FT099</x:t>
        </x:is>
      </x:c>
      <x:c r="B109" s="80" t="inlineStr">
        <x:is>
          <x:t xml:space="preserve"/>
        </x:is>
      </x:c>
      <x:c r="C109" s="85" t="str">
        <x:f>IF(B109="","",MAX(1,MIN(24,INT((B109-Assumptions!$B$7)/7)+1)))</x:f>
      </x:c>
      <x:c r="D109" s="75" t="inlineStr">
        <x:is>
          <x:t xml:space="preserve"/>
        </x:is>
      </x:c>
      <x:c r="E109" s="75" t="inlineStr">
        <x:is>
          <x:t xml:space="preserve"/>
        </x:is>
      </x:c>
      <x:c r="F109" s="58" t="n">
        <x:v>0</x:v>
      </x:c>
      <x:c r="G109" s="58" t="n">
        <x:v>0</x:v>
      </x:c>
      <x:c r="H109" s="85" t="n">
        <x:f>MAX(0,G109-F109)</x:f>
        <x:v>0</x:v>
      </x:c>
      <x:c r="I109" s="58" t="n">
        <x:v>0</x:v>
      </x:c>
      <x:c r="J109" s="94" t="n">
        <x:f>Assumptions!$B$20</x:f>
        <x:v>214</x:v>
      </x:c>
      <x:c r="K109" s="95" t="n">
        <x:f>Assumptions!$B$21</x:f>
        <x:v>12</x:v>
      </x:c>
      <x:c r="L109" s="95" t="n">
        <x:f>IF(H109=0,0,H109/K109)</x:f>
        <x:v>0</x:v>
      </x:c>
      <x:c r="M109" s="94" t="n">
        <x:f>H109*J109/K109</x:f>
        <x:v>0</x:v>
      </x:c>
      <x:c r="N109" s="52" t="n">
        <x:v>0</x:v>
      </x:c>
      <x:c r="O109" s="52" t="n">
        <x:v>0</x:v>
      </x:c>
      <x:c r="P109" s="85" t="n">
        <x:f>IF(N109=0,M109,N109)+O109</x:f>
        <x:v>0</x:v>
      </x:c>
      <x:c r="Q109" s="58" t="n">
        <x:v>0</x:v>
      </x:c>
      <x:c r="R109" s="58" t="n">
        <x:v>0</x:v>
      </x:c>
      <x:c r="S109" s="58" t="n">
        <x:v>0</x:v>
      </x:c>
      <x:c r="T109" s="75" t="inlineStr">
        <x:is>
          <x:t xml:space="preserve"/>
        </x:is>
      </x:c>
      <x:c r="U109" s="75" t="inlineStr">
        <x:is>
          <x:t xml:space="preserve"/>
        </x:is>
      </x:c>
    </x:row>
    <x:row r="110">
      <x:c r="A110" s="30" t="inlineStr">
        <x:is>
          <x:t xml:space="preserve">FT100</x:t>
        </x:is>
      </x:c>
      <x:c r="B110" s="82" t="inlineStr">
        <x:is>
          <x:t xml:space="preserve"/>
        </x:is>
      </x:c>
      <x:c r="C110" s="87" t="str">
        <x:f>IF(B110="","",MAX(1,MIN(24,INT((B110-Assumptions!$B$7)/7)+1)))</x:f>
      </x:c>
      <x:c r="D110" s="76" t="inlineStr">
        <x:is>
          <x:t xml:space="preserve"/>
        </x:is>
      </x:c>
      <x:c r="E110" s="76" t="inlineStr">
        <x:is>
          <x:t xml:space="preserve"/>
        </x:is>
      </x:c>
      <x:c r="F110" s="58" t="n">
        <x:v>0</x:v>
      </x:c>
      <x:c r="G110" s="58" t="n">
        <x:v>0</x:v>
      </x:c>
      <x:c r="H110" s="87" t="n">
        <x:f>MAX(0,G110-F110)</x:f>
        <x:v>0</x:v>
      </x:c>
      <x:c r="I110" s="58" t="n">
        <x:v>0</x:v>
      </x:c>
      <x:c r="J110" s="57" t="n">
        <x:f>Assumptions!$B$20</x:f>
        <x:v>214</x:v>
      </x:c>
      <x:c r="K110" s="96" t="n">
        <x:f>Assumptions!$B$21</x:f>
        <x:v>12</x:v>
      </x:c>
      <x:c r="L110" s="96" t="n">
        <x:f>IF(H110=0,0,H110/K110)</x:f>
        <x:v>0</x:v>
      </x:c>
      <x:c r="M110" s="57" t="n">
        <x:f>H110*J110/K110</x:f>
        <x:v>0</x:v>
      </x:c>
      <x:c r="N110" s="52" t="n">
        <x:v>0</x:v>
      </x:c>
      <x:c r="O110" s="52" t="n">
        <x:v>0</x:v>
      </x:c>
      <x:c r="P110" s="87" t="n">
        <x:f>IF(N110=0,M110,N110)+O110</x:f>
        <x:v>0</x:v>
      </x:c>
      <x:c r="Q110" s="58" t="n">
        <x:v>0</x:v>
      </x:c>
      <x:c r="R110" s="58" t="n">
        <x:v>0</x:v>
      </x:c>
      <x:c r="S110" s="58" t="n">
        <x:v>0</x:v>
      </x:c>
      <x:c r="T110" s="76" t="inlineStr">
        <x:is>
          <x:t xml:space="preserve"/>
        </x:is>
      </x:c>
      <x:c r="U110" s="76" t="inlineStr">
        <x:is>
          <x:t xml:space="preserve"/>
        </x:is>
      </x:c>
    </x:row>
  </x:sheetData>
  <x:mergeCells>
    <x:mergeCell ref="E6:G7"/>
    <x:mergeCell ref="A6:C7"/>
    <x:mergeCell ref="A4:U4"/>
    <x:mergeCell ref="I6:K7"/>
    <x:mergeCell ref="Q5:S5"/>
    <x:mergeCell ref="Q6:S7"/>
    <x:mergeCell ref="A2:U2"/>
    <x:mergeCell ref="A5:C5"/>
    <x:mergeCell ref="E5:G5"/>
    <x:mergeCell ref="I5:K5"/>
    <x:mergeCell ref="M5:O5"/>
    <x:mergeCell ref="A1:U1"/>
    <x:mergeCell ref="M6:O7"/>
  </x:mergeCells>
  <x:dataValidations count="1">
    <x:dataValidation type="list" allowBlank="1" showDropDown="0" showInputMessage="0" showErrorMessage="0" errorTitle="Invalid value" error="Choose a value from the dropdown." sqref="D11:D110">
      <x:formula1>"Camera verification,Speed-limit verification,Content capture,User interviews,Partner meeting,Product road test,Mixed field sprint"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47fcc0f8bc46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14" customWidth="1"/>
    <x:col min="3" max="3" width="29" customWidth="1"/>
    <x:col min="4" max="4" width="28" customWidth="1"/>
    <x:col min="5" max="5" width="34" customWidth="1"/>
    <x:col min="6" max="6" width="34" customWidth="1"/>
    <x:col min="7" max="7" width="31" customWidth="1"/>
    <x:col min="8" max="8" width="31" customWidth="1"/>
    <x:col min="9" max="9" width="28" customWidth="1"/>
    <x:col min="10" max="10" width="31" customWidth="1"/>
    <x:col min="11" max="11" width="30" customWidth="1"/>
    <x:col min="12" max="12" width="36" customWidth="1"/>
    <x:col min="13" max="13" width="15" customWidth="1"/>
    <x:col min="14" max="14" width="11" customWidth="1"/>
    <x:col min="15" max="15" width="14" customWidth="1"/>
  </x:cols>
  <x:sheetData>
    <x:row r="1" ht="30" customHeight="1">
      <x:c r="A1" s="26" t="inlineStr">
        <x:is>
          <x:t xml:space="preserve">24-WEEK LIVE-APP OPERATING PLAN</x:t>
        </x:is>
      </x:c>
    </x:row>
    <x:row r="2" ht="34" customHeight="1">
      <x:c r="A2" s="27" t="inlineStr">
        <x:is>
          <x:t xml:space="preserve">This plan starts after publication, not before it. Each week has one decisive objective and a gate so the founder does not scatter limited cash and time.</x:t>
        </x:is>
      </x:c>
    </x:row>
    <x:row r="3"/>
    <x:row r="4" ht="38" customHeight="1">
      <x:c r="A4" s="77" t="inlineStr">
        <x:is>
          <x:t xml:space="preserve">Week</x:t>
        </x:is>
      </x:c>
      <x:c r="B4" s="77" t="inlineStr">
        <x:is>
          <x:t xml:space="preserve">Funding Friday</x:t>
        </x:is>
      </x:c>
      <x:c r="C4" s="77" t="inlineStr">
        <x:is>
          <x:t xml:space="preserve">Stage</x:t>
        </x:is>
      </x:c>
      <x:c r="D4" s="77" t="inlineStr">
        <x:is>
          <x:t xml:space="preserve">Decisive Objective</x:t>
        </x:is>
      </x:c>
      <x:c r="E4" s="77" t="inlineStr">
        <x:is>
          <x:t xml:space="preserve">Product / Reliability</x:t>
        </x:is>
      </x:c>
      <x:c r="F4" s="77" t="inlineStr">
        <x:is>
          <x:t xml:space="preserve">Paying User / Retention</x:t>
        </x:is>
      </x:c>
      <x:c r="G4" s="77" t="inlineStr">
        <x:is>
          <x:t xml:space="preserve">Field Data</x:t>
        </x:is>
      </x:c>
      <x:c r="H4" s="77" t="inlineStr">
        <x:is>
          <x:t xml:space="preserve">Content</x:t>
        </x:is>
      </x:c>
      <x:c r="I4" s="77" t="inlineStr">
        <x:is>
          <x:t xml:space="preserve">Growth</x:t>
        </x:is>
      </x:c>
      <x:c r="J4" s="77" t="inlineStr">
        <x:is>
          <x:t xml:space="preserve">Partnership / Revenue</x:t>
        </x:is>
      </x:c>
      <x:c r="K4" s="77" t="inlineStr">
        <x:is>
          <x:t xml:space="preserve">Finance / Admin</x:t>
        </x:is>
      </x:c>
      <x:c r="L4" s="77" t="inlineStr">
        <x:is>
          <x:t xml:space="preserve">Gate / Definition of Done</x:t>
        </x:is>
      </x:c>
      <x:c r="M4" s="77" t="inlineStr">
        <x:is>
          <x:t xml:space="preserve">Max New Spend KES</x:t>
        </x:is>
      </x:c>
      <x:c r="N4" s="77" t="inlineStr">
        <x:is>
          <x:t xml:space="preserve">Owner</x:t>
        </x:is>
      </x:c>
      <x:c r="O4" s="77" t="inlineStr">
        <x:is>
          <x:t xml:space="preserve">Status</x:t>
        </x:is>
      </x:c>
    </x:row>
    <x:row r="5" ht="46" customHeight="1">
      <x:c r="A5" s="31" t="n">
        <x:v>1</x:v>
      </x:c>
      <x:c r="B5" s="78" t="n">
        <x:v>46248</x:v>
      </x:c>
      <x:c r="C5" s="31" t="inlineStr">
        <x:is>
          <x:t xml:space="preserve">1. Stabilize Live App</x:t>
        </x:is>
      </x:c>
      <x:c r="D5" s="31" t="inlineStr">
        <x:is>
          <x:t xml:space="preserve">Establish the real baseline</x:t>
        </x:is>
      </x:c>
      <x:c r="E5" s="31" t="inlineStr">
        <x:is>
          <x:t xml:space="preserve">Confirm uptime, crash and subscription events.</x:t>
        </x:is>
      </x:c>
      <x:c r="F5" s="31" t="inlineStr">
        <x:is>
          <x:t xml:space="preserve">Call current paying users; record why they paid.</x:t>
        </x:is>
      </x:c>
      <x:c r="G5" s="31" t="inlineStr">
        <x:is>
          <x:t xml:space="preserve">Plan one corridor and create a shot/evidence list.</x:t>
        </x:is>
      </x:c>
      <x:c r="H5" s="31" t="inlineStr">
        <x:is>
          <x:t xml:space="preserve">Publish founder mission + live app proof.</x:t>
        </x:is>
      </x:c>
      <x:c r="I5" s="31" t="inlineStr">
        <x:is>
          <x:t xml:space="preserve">No ads; ask existing users for referrals.</x:t>
        </x:is>
      </x:c>
      <x:c r="J5" s="31" t="inlineStr">
        <x:is>
          <x:t xml:space="preserve">List 10 potential partners without pitching.</x:t>
        </x:is>
      </x:c>
      <x:c r="K5" s="31" t="inlineStr">
        <x:is>
          <x:t xml:space="preserve">Log first KES 10k; pay Replit; open receipts folder.</x:t>
        </x:is>
      </x:c>
      <x:c r="L5" s="31" t="inlineStr">
        <x:is>
          <x:t xml:space="preserve">Replit paid; baseline downloads, paid users and MRR entered.</x:t>
        </x:is>
      </x:c>
      <x:c r="M5" s="52" t="n">
        <x:v>0</x:v>
      </x:c>
      <x:c r="N5" s="31" t="inlineStr">
        <x:is>
          <x:t xml:space="preserve">Founder</x:t>
        </x:is>
      </x:c>
      <x:c r="O5" s="75" t="inlineStr">
        <x:is>
          <x:t xml:space="preserve">Not Started</x:t>
        </x:is>
      </x:c>
    </x:row>
    <x:row r="6" ht="46" customHeight="1">
      <x:c r="A6" s="30" t="n">
        <x:v>2</x:v>
      </x:c>
      <x:c r="B6" s="79" t="n">
        <x:v>46255</x:v>
      </x:c>
      <x:c r="C6" s="30" t="inlineStr">
        <x:is>
          <x:t xml:space="preserve">1. Stabilize Live App</x:t>
        </x:is>
      </x:c>
      <x:c r="D6" s="30" t="inlineStr">
        <x:is>
          <x:t xml:space="preserve">Fix the first-value journey</x:t>
        </x:is>
      </x:c>
      <x:c r="E6" s="30" t="inlineStr">
        <x:is>
          <x:t xml:space="preserve">Remove the biggest onboarding or permission blocker.</x:t>
        </x:is>
      </x:c>
      <x:c r="F6" s="30" t="inlineStr">
        <x:is>
          <x:t xml:space="preserve">Interview at least 5 paying/near-paying users.</x:t>
        </x:is>
      </x:c>
      <x:c r="G6" s="30" t="inlineStr">
        <x:is>
          <x:t xml:space="preserve">Complete first multipurpose field sprint.</x:t>
        </x:is>
      </x:c>
      <x:c r="H6" s="30" t="inlineStr">
        <x:is>
          <x:t xml:space="preserve">4 core posts from one field/content batch.</x:t>
        </x:is>
      </x:c>
      <x:c r="I6" s="30" t="inlineStr">
        <x:is>
          <x:t xml:space="preserve">Run one organic CTA test.</x:t>
        </x:is>
      </x:c>
      <x:c r="J6" s="30" t="inlineStr">
        <x:is>
          <x:t xml:space="preserve">Ask one driving school or garage for feedback.</x:t>
        </x:is>
      </x:c>
      <x:c r="K6" s="30" t="inlineStr">
        <x:is>
          <x:t xml:space="preserve">Reconcile store payout schedule.</x:t>
        </x:is>
      </x:c>
      <x:c r="L6" s="30" t="inlineStr">
        <x:is>
          <x:t xml:space="preserve">A new user can reach first value without founder help.</x:t>
        </x:is>
      </x:c>
      <x:c r="M6" s="52" t="n">
        <x:v>0</x:v>
      </x:c>
      <x:c r="N6" s="30" t="inlineStr">
        <x:is>
          <x:t xml:space="preserve">Founder</x:t>
        </x:is>
      </x:c>
      <x:c r="O6" s="76" t="inlineStr">
        <x:is>
          <x:t xml:space="preserve">Not Started</x:t>
        </x:is>
      </x:c>
    </x:row>
    <x:row r="7" ht="46" customHeight="1">
      <x:c r="A7" s="31" t="n">
        <x:v>3</x:v>
      </x:c>
      <x:c r="B7" s="78" t="n">
        <x:v>46262</x:v>
      </x:c>
      <x:c r="C7" s="31" t="inlineStr">
        <x:is>
          <x:t xml:space="preserve">2. Retention &amp; Paying-User Proof</x:t>
        </x:is>
      </x:c>
      <x:c r="D7" s="31" t="inlineStr">
        <x:is>
          <x:t xml:space="preserve">Protect subscriptions</x:t>
        </x:is>
      </x:c>
      <x:c r="E7" s="31" t="inlineStr">
        <x:is>
          <x:t xml:space="preserve">Test restore purchase, cancellation and support paths.</x:t>
        </x:is>
      </x:c>
      <x:c r="F7" s="31" t="inlineStr">
        <x:is>
          <x:t xml:space="preserve">Write top 5 reasons to subscribe and top 5 objections.</x:t>
        </x:is>
      </x:c>
      <x:c r="G7" s="31" t="inlineStr">
        <x:is>
          <x:t xml:space="preserve">Verify 10 high-confidence records on one corridor.</x:t>
        </x:is>
      </x:c>
      <x:c r="H7" s="31" t="inlineStr">
        <x:is>
          <x:t xml:space="preserve">Show one paid-value feature without overselling.</x:t>
        </x:is>
      </x:c>
      <x:c r="I7" s="31" t="inlineStr">
        <x:is>
          <x:t xml:space="preserve">Ask paid users for one referred driver.</x:t>
        </x:is>
      </x:c>
      <x:c r="J7" s="31" t="inlineStr">
        <x:is>
          <x:t xml:space="preserve">Prepare a one-page partner explanation.</x:t>
        </x:is>
      </x:c>
      <x:c r="K7" s="31" t="inlineStr">
        <x:is>
          <x:t xml:space="preserve">Move first reserve transfer if cash floor is protected.</x:t>
        </x:is>
      </x:c>
      <x:c r="L7" s="31" t="inlineStr">
        <x:is>
          <x:t xml:space="preserve">No unresolved subscription-blocking issue.</x:t>
        </x:is>
      </x:c>
      <x:c r="M7" s="52" t="n">
        <x:v>0</x:v>
      </x:c>
      <x:c r="N7" s="31" t="inlineStr">
        <x:is>
          <x:t xml:space="preserve">Founder</x:t>
        </x:is>
      </x:c>
      <x:c r="O7" s="75" t="inlineStr">
        <x:is>
          <x:t xml:space="preserve">Not Started</x:t>
        </x:is>
      </x:c>
    </x:row>
    <x:row r="8" ht="46" customHeight="1">
      <x:c r="A8" s="30" t="n">
        <x:v>4</x:v>
      </x:c>
      <x:c r="B8" s="79" t="n">
        <x:v>46269</x:v>
      </x:c>
      <x:c r="C8" s="30" t="inlineStr">
        <x:is>
          <x:t xml:space="preserve">2. Retention &amp; Paying-User Proof</x:t>
        </x:is>
      </x:c>
      <x:c r="D8" s="30" t="inlineStr">
        <x:is>
          <x:t xml:space="preserve">Reduce support friction</x:t>
        </x:is>
      </x:c>
      <x:c r="E8" s="30" t="inlineStr">
        <x:is>
          <x:t xml:space="preserve">Create support FAQ and response templates.</x:t>
        </x:is>
      </x:c>
      <x:c r="F8" s="30" t="inlineStr">
        <x:is>
          <x:t xml:space="preserve">Contact users who downloaded but did not pay.</x:t>
        </x:is>
      </x:c>
      <x:c r="G8" s="30" t="inlineStr">
        <x:is>
          <x:t xml:space="preserve">Repeat/refresh the same corridor; do not expand yet.</x:t>
        </x:is>
      </x:c>
      <x:c r="H8" s="30" t="inlineStr">
        <x:is>
          <x:t xml:space="preserve">Turn support questions into 2 educational posts.</x:t>
        </x:is>
      </x:c>
      <x:c r="I8" s="30" t="inlineStr">
        <x:is>
          <x:t xml:space="preserve">Test store-page CTA versus direct feature CTA.</x:t>
        </x:is>
      </x:c>
      <x:c r="J8" s="30" t="inlineStr">
        <x:is>
          <x:t xml:space="preserve">Make first two partner calls.</x:t>
        </x:is>
      </x:c>
      <x:c r="K8" s="30" t="inlineStr">
        <x:is>
          <x:t xml:space="preserve">Review actual fuel cost per km and trip output.</x:t>
        </x:is>
      </x:c>
      <x:c r="L8" s="30" t="inlineStr">
        <x:is>
          <x:t xml:space="preserve">Support questions answered within 24 hours.</x:t>
        </x:is>
      </x:c>
      <x:c r="M8" s="52" t="n">
        <x:v>0</x:v>
      </x:c>
      <x:c r="N8" s="30" t="inlineStr">
        <x:is>
          <x:t xml:space="preserve">Founder</x:t>
        </x:is>
      </x:c>
      <x:c r="O8" s="76" t="inlineStr">
        <x:is>
          <x:t xml:space="preserve">Not Started</x:t>
        </x:is>
      </x:c>
    </x:row>
    <x:row r="9" ht="46" customHeight="1">
      <x:c r="A9" s="31" t="n">
        <x:v>5</x:v>
      </x:c>
      <x:c r="B9" s="78" t="n">
        <x:v>46276</x:v>
      </x:c>
      <x:c r="C9" s="31" t="inlineStr">
        <x:is>
          <x:t xml:space="preserve">2. Retention &amp; Paying-User Proof</x:t>
        </x:is>
      </x:c>
      <x:c r="D9" s="31" t="inlineStr">
        <x:is>
          <x:t xml:space="preserve">Measure retention honestly</x:t>
        </x:is>
      </x:c>
      <x:c r="E9" s="31" t="inlineStr">
        <x:is>
          <x:t xml:space="preserve">Instrument or validate D1/D7 key-action reporting.</x:t>
        </x:is>
      </x:c>
      <x:c r="F9" s="31" t="inlineStr">
        <x:is>
          <x:t xml:space="preserve">Review first retention cohort and cancellation reasons.</x:t>
        </x:is>
      </x:c>
      <x:c r="G9" s="31" t="inlineStr">
        <x:is>
          <x:t xml:space="preserve">Add missing speed-limit/sign evidence.</x:t>
        </x:is>
      </x:c>
      <x:c r="H9" s="31" t="inlineStr">
        <x:is>
          <x:t xml:space="preserve">Create a user problem → feature → outcome story.</x:t>
        </x:is>
      </x:c>
      <x:c r="I9" s="31" t="inlineStr">
        <x:is>
          <x:t xml:space="preserve">One free community post in a relevant group.</x:t>
        </x:is>
      </x:c>
      <x:c r="J9" s="31" t="inlineStr">
        <x:is>
          <x:t xml:space="preserve">Offer one no-cost feedback/demo session.</x:t>
        </x:is>
      </x:c>
      <x:c r="K9" s="31" t="inlineStr">
        <x:is>
          <x:t xml:space="preserve">Ads gate review; default remains no.</x:t>
        </x:is>
      </x:c>
      <x:c r="L9" s="31" t="inlineStr">
        <x:is>
          <x:t xml:space="preserve">D7 and paid conversion are measurable.</x:t>
        </x:is>
      </x:c>
      <x:c r="M9" s="52" t="n">
        <x:v>1000</x:v>
      </x:c>
      <x:c r="N9" s="31" t="inlineStr">
        <x:is>
          <x:t xml:space="preserve">Founder</x:t>
        </x:is>
      </x:c>
      <x:c r="O9" s="75" t="inlineStr">
        <x:is>
          <x:t xml:space="preserve">Not Started</x:t>
        </x:is>
      </x:c>
    </x:row>
    <x:row r="10" ht="46" customHeight="1">
      <x:c r="A10" s="30" t="n">
        <x:v>6</x:v>
      </x:c>
      <x:c r="B10" s="79" t="n">
        <x:v>46283</x:v>
      </x:c>
      <x:c r="C10" s="30" t="inlineStr">
        <x:is>
          <x:t xml:space="preserve">2. Retention &amp; Paying-User Proof</x:t>
        </x:is>
      </x:c>
      <x:c r="D10" s="30" t="inlineStr">
        <x:is>
          <x:t xml:space="preserve">Create the paying-user proof pack</x:t>
        </x:is>
      </x:c>
      <x:c r="E10" s="30" t="inlineStr">
        <x:is>
          <x:t xml:space="preserve">Fix the top retained-user request only.</x:t>
        </x:is>
      </x:c>
      <x:c r="F10" s="30" t="inlineStr">
        <x:is>
          <x:t xml:space="preserve">Secure 2 consented testimonials or anonymized quotes.</x:t>
        </x:is>
      </x:c>
      <x:c r="G10" s="30" t="inlineStr">
        <x:is>
          <x:t xml:space="preserve">Capture clean evidence and app demo B-roll.</x:t>
        </x:is>
      </x:c>
      <x:c r="H10" s="30" t="inlineStr">
        <x:is>
          <x:t xml:space="preserve">Publish proof, not promises; 4 core posts.</x:t>
        </x:is>
      </x:c>
      <x:c r="I10" s="30" t="inlineStr">
        <x:is>
          <x:t xml:space="preserve">Test testimonial vs founder explanation.</x:t>
        </x:is>
      </x:c>
      <x:c r="J10" s="30" t="inlineStr">
        <x:is>
          <x:t xml:space="preserve">Send proof pack to 3 partners.</x:t>
        </x:is>
      </x:c>
      <x:c r="K10" s="30" t="inlineStr">
        <x:is>
          <x:t xml:space="preserve">Review runway and recurring costs.</x:t>
        </x:is>
      </x:c>
      <x:c r="L10" s="30" t="inlineStr">
        <x:is>
          <x:t xml:space="preserve">Proof pack includes metrics, user voice and safety guardrails.</x:t>
        </x:is>
      </x:c>
      <x:c r="M10" s="52" t="n">
        <x:v>1000</x:v>
      </x:c>
      <x:c r="N10" s="30" t="inlineStr">
        <x:is>
          <x:t xml:space="preserve">Founder</x:t>
        </x:is>
      </x:c>
      <x:c r="O10" s="76" t="inlineStr">
        <x:is>
          <x:t xml:space="preserve">Not Started</x:t>
        </x:is>
      </x:c>
    </x:row>
    <x:row r="11" ht="46" customHeight="1">
      <x:c r="A11" s="31" t="n">
        <x:v>7</x:v>
      </x:c>
      <x:c r="B11" s="78" t="n">
        <x:v>46290</x:v>
      </x:c>
      <x:c r="C11" s="31" t="inlineStr">
        <x:is>
          <x:t xml:space="preserve">3. Corridor Authority</x:t>
        </x:is>
      </x:c>
      <x:c r="D11" s="31" t="inlineStr">
        <x:is>
          <x:t xml:space="preserve">Own one corridor</x:t>
        </x:is>
      </x:c>
      <x:c r="E11" s="31" t="inlineStr">
        <x:is>
          <x:t xml:space="preserve">Improve route/corridor accuracy and freshness workflow.</x:t>
        </x:is>
      </x:c>
      <x:c r="F11" s="31" t="inlineStr">
        <x:is>
          <x:t xml:space="preserve">Ask users on that corridor for accuracy feedback.</x:t>
        </x:is>
      </x:c>
      <x:c r="G11" s="31" t="inlineStr">
        <x:is>
          <x:t xml:space="preserve">Deep-verify one named corridor.</x:t>
        </x:is>
      </x:c>
      <x:c r="H11" s="31" t="inlineStr">
        <x:is>
          <x:t xml:space="preserve">Launch a corridor-specific weekly series.</x:t>
        </x:is>
      </x:c>
      <x:c r="I11" s="31" t="inlineStr">
        <x:is>
          <x:t xml:space="preserve">Route-specific WhatsApp/community sharing.</x:t>
        </x:is>
      </x:c>
      <x:c r="J11" s="31" t="inlineStr">
        <x:is>
          <x:t xml:space="preserve">Approach 2 corridor-relevant businesses.</x:t>
        </x:is>
      </x:c>
      <x:c r="K11" s="31" t="inlineStr">
        <x:is>
          <x:t xml:space="preserve">Fuel spend per verified record is known.</x:t>
        </x:is>
      </x:c>
      <x:c r="L11" s="31" t="inlineStr">
        <x:is>
          <x:t xml:space="preserve">Corridor has enough verified records for responsible public content.</x:t>
        </x:is>
      </x:c>
      <x:c r="M11" s="52" t="n">
        <x:v>1000</x:v>
      </x:c>
      <x:c r="N11" s="31" t="inlineStr">
        <x:is>
          <x:t xml:space="preserve">Founder</x:t>
        </x:is>
      </x:c>
      <x:c r="O11" s="75" t="inlineStr">
        <x:is>
          <x:t xml:space="preserve">Not Started</x:t>
        </x:is>
      </x:c>
    </x:row>
    <x:row r="12" ht="46" customHeight="1">
      <x:c r="A12" s="30" t="n">
        <x:v>8</x:v>
      </x:c>
      <x:c r="B12" s="79" t="n">
        <x:v>46297</x:v>
      </x:c>
      <x:c r="C12" s="30" t="inlineStr">
        <x:is>
          <x:t xml:space="preserve">3. Corridor Authority</x:t>
        </x:is>
      </x:c>
      <x:c r="D12" s="30" t="inlineStr">
        <x:is>
          <x:t xml:space="preserve">Build the verification loop</x:t>
        </x:is>
      </x:c>
      <x:c r="E12" s="30" t="inlineStr">
        <x:is>
          <x:t xml:space="preserve">Add/report verification status clearly in product/ops.</x:t>
        </x:is>
      </x:c>
      <x:c r="F12" s="30" t="inlineStr">
        <x:is>
          <x:t xml:space="preserve">Invite trusted users to submit evidence.</x:t>
        </x:is>
      </x:c>
      <x:c r="G12" s="30" t="inlineStr">
        <x:is>
          <x:t xml:space="preserve">Create repeatable field verification SOP.</x:t>
        </x:is>
      </x:c>
      <x:c r="H12" s="30" t="inlineStr">
        <x:is>
          <x:t xml:space="preserve">Show how verification works behind the scenes.</x:t>
        </x:is>
      </x:c>
      <x:c r="I12" s="30" t="inlineStr">
        <x:is>
          <x:t xml:space="preserve">Test a contributor recognition loop.</x:t>
        </x:is>
      </x:c>
      <x:c r="J12" s="30" t="inlineStr">
        <x:is>
          <x:t xml:space="preserve">Ask a road-safety group for process feedback.</x:t>
        </x:is>
      </x:c>
      <x:c r="K12" s="30" t="inlineStr">
        <x:is>
          <x:t xml:space="preserve">No spend without linked trip/output.</x:t>
        </x:is>
      </x:c>
      <x:c r="L12" s="30" t="inlineStr">
        <x:is>
          <x:t xml:space="preserve">Each public road claim has source, date and confidence.</x:t>
        </x:is>
      </x:c>
      <x:c r="M12" s="52" t="n">
        <x:v>1000</x:v>
      </x:c>
      <x:c r="N12" s="30" t="inlineStr">
        <x:is>
          <x:t xml:space="preserve">Founder</x:t>
        </x:is>
      </x:c>
      <x:c r="O12" s="76" t="inlineStr">
        <x:is>
          <x:t xml:space="preserve">Not Started</x:t>
        </x:is>
      </x:c>
    </x:row>
    <x:row r="13" ht="46" customHeight="1">
      <x:c r="A13" s="31" t="n">
        <x:v>9</x:v>
      </x:c>
      <x:c r="B13" s="78" t="n">
        <x:v>46304</x:v>
      </x:c>
      <x:c r="C13" s="31" t="inlineStr">
        <x:is>
          <x:t xml:space="preserve">3. Corridor Authority</x:t>
        </x:is>
      </x:c>
      <x:c r="D13" s="31" t="inlineStr">
        <x:is>
          <x:t xml:space="preserve">Improve conversion before reach</x:t>
        </x:is>
      </x:c>
      <x:c r="E13" s="31" t="inlineStr">
        <x:is>
          <x:t xml:space="preserve">Clarify paywall value, price and cancellation language.</x:t>
        </x:is>
      </x:c>
      <x:c r="F13" s="31" t="inlineStr">
        <x:is>
          <x:t xml:space="preserve">Review 10 paywall sessions or user explanations.</x:t>
        </x:is>
      </x:c>
      <x:c r="G13" s="31" t="inlineStr">
        <x:is>
          <x:t xml:space="preserve">Capture one field scenario tied to paid value.</x:t>
        </x:is>
      </x:c>
      <x:c r="H13" s="31" t="inlineStr">
        <x:is>
          <x:t xml:space="preserve">Test problem-first versus feature-first CTA.</x:t>
        </x:is>
      </x:c>
      <x:c r="I13" s="31" t="inlineStr">
        <x:is>
          <x:t xml:space="preserve">No scale; one controlled creative test only.</x:t>
        </x:is>
      </x:c>
      <x:c r="J13" s="31" t="inlineStr">
        <x:is>
          <x:t xml:space="preserve">Discuss subscription offer with one partner.</x:t>
        </x:is>
      </x:c>
      <x:c r="K13" s="31" t="inlineStr">
        <x:is>
          <x:t xml:space="preserve">Compare gross sales, fees and cash received.</x:t>
        </x:is>
      </x:c>
      <x:c r="L13" s="31" t="inlineStr">
        <x:is>
          <x:t xml:space="preserve">Paid conversion improves or a clear learning is documented.</x:t>
        </x:is>
      </x:c>
      <x:c r="M13" s="52" t="n">
        <x:v>1000</x:v>
      </x:c>
      <x:c r="N13" s="31" t="inlineStr">
        <x:is>
          <x:t xml:space="preserve">Founder</x:t>
        </x:is>
      </x:c>
      <x:c r="O13" s="75" t="inlineStr">
        <x:is>
          <x:t xml:space="preserve">Not Started</x:t>
        </x:is>
      </x:c>
    </x:row>
    <x:row r="14" ht="46" customHeight="1">
      <x:c r="A14" s="30" t="n">
        <x:v>10</x:v>
      </x:c>
      <x:c r="B14" s="79" t="n">
        <x:v>46311</x:v>
      </x:c>
      <x:c r="C14" s="30" t="inlineStr">
        <x:is>
          <x:t xml:space="preserve">3. Corridor Authority</x:t>
        </x:is>
      </x:c>
      <x:c r="D14" s="30" t="inlineStr">
        <x:is>
          <x:t xml:space="preserve">Create a referral mechanism</x:t>
        </x:is>
      </x:c>
      <x:c r="E14" s="30" t="inlineStr">
        <x:is>
          <x:t xml:space="preserve">Build or document simple referral tracking.</x:t>
        </x:is>
      </x:c>
      <x:c r="F14" s="30" t="inlineStr">
        <x:is>
          <x:t xml:space="preserve">Ask paying users what reward would matter.</x:t>
        </x:is>
      </x:c>
      <x:c r="G14" s="30" t="inlineStr">
        <x:is>
          <x:t xml:space="preserve">Use the same priority corridor.</x:t>
        </x:is>
      </x:c>
      <x:c r="H14" s="30" t="inlineStr">
        <x:is>
          <x:t xml:space="preserve">Publish “who should use Msafiri?” and referral CTA.</x:t>
        </x:is>
      </x:c>
      <x:c r="I14" s="30" t="inlineStr">
        <x:is>
          <x:t xml:space="preserve">Run a manual referral test.</x:t>
        </x:is>
      </x:c>
      <x:c r="J14" s="30" t="inlineStr">
        <x:is>
          <x:t xml:space="preserve">Give partners unique link/code proposal.</x:t>
        </x:is>
      </x:c>
      <x:c r="K14" s="30" t="inlineStr">
        <x:is>
          <x:t xml:space="preserve">Set a zero-fraud referral rule.</x:t>
        </x:is>
      </x:c>
      <x:c r="L14" s="30" t="inlineStr">
        <x:is>
          <x:t xml:space="preserve">Every referral can be attributed to source.</x:t>
        </x:is>
      </x:c>
      <x:c r="M14" s="52" t="n">
        <x:v>1000</x:v>
      </x:c>
      <x:c r="N14" s="30" t="inlineStr">
        <x:is>
          <x:t xml:space="preserve">Founder</x:t>
        </x:is>
      </x:c>
      <x:c r="O14" s="76" t="inlineStr">
        <x:is>
          <x:t xml:space="preserve">Not Started</x:t>
        </x:is>
      </x:c>
    </x:row>
    <x:row r="15" ht="46" customHeight="1">
      <x:c r="A15" s="31" t="n">
        <x:v>11</x:v>
      </x:c>
      <x:c r="B15" s="78" t="n">
        <x:v>46318</x:v>
      </x:c>
      <x:c r="C15" s="31" t="inlineStr">
        <x:is>
          <x:t xml:space="preserve">4. Controlled Acquisition</x:t>
        </x:is>
      </x:c>
      <x:c r="D15" s="31" t="inlineStr">
        <x:is>
          <x:t xml:space="preserve">Test the first paid acquisition unit</x:t>
        </x:is>
      </x:c>
      <x:c r="E15" s="31" t="inlineStr">
        <x:is>
          <x:t xml:space="preserve">Do not change product and ad variables simultaneously.</x:t>
        </x:is>
      </x:c>
      <x:c r="F15" s="31" t="inlineStr">
        <x:is>
          <x:t xml:space="preserve">Confirm new users receive support.</x:t>
        </x:is>
      </x:c>
      <x:c r="G15" s="31" t="inlineStr">
        <x:is>
          <x:t xml:space="preserve">No new corridor expansion this week.</x:t>
        </x:is>
      </x:c>
      <x:c r="H15" s="31" t="inlineStr">
        <x:is>
          <x:t xml:space="preserve">Use proven organic creative only.</x:t>
        </x:is>
      </x:c>
      <x:c r="I15" s="31" t="inlineStr">
        <x:is>
          <x:t xml:space="preserve">Run one capped Meta test if all gates pass.</x:t>
        </x:is>
      </x:c>
      <x:c r="J15" s="31" t="inlineStr">
        <x:is>
          <x:t xml:space="preserve">No creator payment in same week.</x:t>
        </x:is>
      </x:c>
      <x:c r="K15" s="31" t="inlineStr">
        <x:is>
          <x:t xml:space="preserve">Maximum KES 1,000 and same-day logging.</x:t>
        </x:is>
      </x:c>
      <x:c r="L15" s="31" t="inlineStr">
        <x:is>
          <x:t xml:space="preserve">CPI, activation, paid conversion and CAC are measured.</x:t>
        </x:is>
      </x:c>
      <x:c r="M15" s="52" t="n">
        <x:v>1000</x:v>
      </x:c>
      <x:c r="N15" s="31" t="inlineStr">
        <x:is>
          <x:t xml:space="preserve">Founder</x:t>
        </x:is>
      </x:c>
      <x:c r="O15" s="75" t="inlineStr">
        <x:is>
          <x:t xml:space="preserve">Not Started</x:t>
        </x:is>
      </x:c>
    </x:row>
    <x:row r="16" ht="46" customHeight="1">
      <x:c r="A16" s="30" t="n">
        <x:v>12</x:v>
      </x:c>
      <x:c r="B16" s="79" t="n">
        <x:v>46325</x:v>
      </x:c>
      <x:c r="C16" s="30" t="inlineStr">
        <x:is>
          <x:t xml:space="preserve">4. Controlled Acquisition</x:t>
        </x:is>
      </x:c>
      <x:c r="D16" s="30" t="inlineStr">
        <x:is>
          <x:t xml:space="preserve">Decide: stop, repeat or scale</x:t>
        </x:is>
      </x:c>
      <x:c r="E16" s="30" t="inlineStr">
        <x:is>
          <x:t xml:space="preserve">Fix only issues revealed by the test.</x:t>
        </x:is>
      </x:c>
      <x:c r="F16" s="30" t="inlineStr">
        <x:is>
          <x:t xml:space="preserve">Interview acquired users and non-payers.</x:t>
        </x:is>
      </x:c>
      <x:c r="G16" s="30" t="inlineStr">
        <x:is>
          <x:t xml:space="preserve">Verify any route claims used in ads.</x:t>
        </x:is>
      </x:c>
      <x:c r="H16" s="30" t="inlineStr">
        <x:is>
          <x:t xml:space="preserve">Repeat the winning creative with one variation.</x:t>
        </x:is>
      </x:c>
      <x:c r="I16" s="30" t="inlineStr">
        <x:is>
          <x:t xml:space="preserve">Kill weak ad test; repeat only if gate passes.</x:t>
        </x:is>
      </x:c>
      <x:c r="J16" s="30" t="inlineStr">
        <x:is>
          <x:t xml:space="preserve">Share early learning with one partner.</x:t>
        </x:is>
      </x:c>
      <x:c r="K16" s="30" t="inlineStr">
        <x:is>
          <x:t xml:space="preserve">No sunk-cost decisions.</x:t>
        </x:is>
      </x:c>
      <x:c r="L16" s="30" t="inlineStr">
        <x:is>
          <x:t xml:space="preserve">Written decision with evidence.</x:t>
        </x:is>
      </x:c>
      <x:c r="M16" s="52" t="n">
        <x:v>1000</x:v>
      </x:c>
      <x:c r="N16" s="30" t="inlineStr">
        <x:is>
          <x:t xml:space="preserve">Founder</x:t>
        </x:is>
      </x:c>
      <x:c r="O16" s="76" t="inlineStr">
        <x:is>
          <x:t xml:space="preserve">Not Started</x:t>
        </x:is>
      </x:c>
    </x:row>
    <x:row r="17" ht="46" customHeight="1">
      <x:c r="A17" s="31" t="n">
        <x:v>13</x:v>
      </x:c>
      <x:c r="B17" s="78" t="n">
        <x:v>46332</x:v>
      </x:c>
      <x:c r="C17" s="31" t="inlineStr">
        <x:is>
          <x:t xml:space="preserve">4. Controlled Acquisition</x:t>
        </x:is>
      </x:c>
      <x:c r="D17" s="31" t="inlineStr">
        <x:is>
          <x:t xml:space="preserve">Test a micro-creator without vanity metrics</x:t>
        </x:is>
      </x:c>
      <x:c r="E17" s="31" t="inlineStr">
        <x:is>
          <x:t xml:space="preserve">Prepare tracked landing/store link and code.</x:t>
        </x:is>
      </x:c>
      <x:c r="F17" s="31" t="inlineStr">
        <x:is>
          <x:t xml:space="preserve">Ensure support can handle creator traffic.</x:t>
        </x:is>
      </x:c>
      <x:c r="G17" s="31" t="inlineStr">
        <x:is>
          <x:t xml:space="preserve">Give creator only verified claims.</x:t>
        </x:is>
      </x:c>
      <x:c r="H17" s="31" t="inlineStr">
        <x:is>
          <x:t xml:space="preserve">Co-create one useful safety/feature story.</x:t>
        </x:is>
      </x:c>
      <x:c r="I17" s="31" t="inlineStr">
        <x:is>
          <x:t xml:space="preserve">One creator; capped fee; paid-subscriber outcome.</x:t>
        </x:is>
      </x:c>
      <x:c r="J17" s="31" t="inlineStr">
        <x:is>
          <x:t xml:space="preserve">Choose niche fit over follower count.</x:t>
        </x:is>
      </x:c>
      <x:c r="K17" s="31" t="inlineStr">
        <x:is>
          <x:t xml:space="preserve">Pay only against agreed deliverables.</x:t>
        </x:is>
      </x:c>
      <x:c r="L17" s="31" t="inlineStr">
        <x:is>
          <x:t xml:space="preserve">Clicks, installs, activated and paid users tracked.</x:t>
        </x:is>
      </x:c>
      <x:c r="M17" s="52" t="n">
        <x:v>2000</x:v>
      </x:c>
      <x:c r="N17" s="31" t="inlineStr">
        <x:is>
          <x:t xml:space="preserve">Founder</x:t>
        </x:is>
      </x:c>
      <x:c r="O17" s="75" t="inlineStr">
        <x:is>
          <x:t xml:space="preserve">Not Started</x:t>
        </x:is>
      </x:c>
    </x:row>
    <x:row r="18" ht="46" customHeight="1">
      <x:c r="A18" s="30" t="n">
        <x:v>14</x:v>
      </x:c>
      <x:c r="B18" s="79" t="n">
        <x:v>46339</x:v>
      </x:c>
      <x:c r="C18" s="30" t="inlineStr">
        <x:is>
          <x:t xml:space="preserve">4. Controlled Acquisition</x:t>
        </x:is>
      </x:c>
      <x:c r="D18" s="30" t="inlineStr">
        <x:is>
          <x:t xml:space="preserve">Improve first-week retention</x:t>
        </x:is>
      </x:c>
      <x:c r="E18" s="30" t="inlineStr">
        <x:is>
          <x:t xml:space="preserve">Prioritize the feature used by retained payers.</x:t>
        </x:is>
      </x:c>
      <x:c r="F18" s="30" t="inlineStr">
        <x:is>
          <x:t xml:space="preserve">Run a first-week value check-in.</x:t>
        </x:is>
      </x:c>
      <x:c r="G18" s="30" t="inlineStr">
        <x:is>
          <x:t xml:space="preserve">Use field evidence to improve trust.</x:t>
        </x:is>
      </x:c>
      <x:c r="H18" s="30" t="inlineStr">
        <x:is>
          <x:t xml:space="preserve">Create onboarding/how-to series from real confusion.</x:t>
        </x:is>
      </x:c>
      <x:c r="I18" s="30" t="inlineStr">
        <x:is>
          <x:t xml:space="preserve">Pause acquisition if D7 is below gate.</x:t>
        </x:is>
      </x:c>
      <x:c r="J18" s="30" t="inlineStr">
        <x:is>
          <x:t xml:space="preserve">Ask partner users for first-week feedback.</x:t>
        </x:is>
      </x:c>
      <x:c r="K18" s="30" t="inlineStr">
        <x:is>
          <x:t xml:space="preserve">Compare new cohort to previous cohort.</x:t>
        </x:is>
      </x:c>
      <x:c r="L18" s="30" t="inlineStr">
        <x:is>
          <x:t xml:space="preserve">Retention trend is improving or cause is known.</x:t>
        </x:is>
      </x:c>
      <x:c r="M18" s="52" t="n">
        <x:v>1000</x:v>
      </x:c>
      <x:c r="N18" s="30" t="inlineStr">
        <x:is>
          <x:t xml:space="preserve">Founder</x:t>
        </x:is>
      </x:c>
      <x:c r="O18" s="76" t="inlineStr">
        <x:is>
          <x:t xml:space="preserve">Not Started</x:t>
        </x:is>
      </x:c>
    </x:row>
    <x:row r="19" ht="46" customHeight="1">
      <x:c r="A19" s="31" t="n">
        <x:v>15</x:v>
      </x:c>
      <x:c r="B19" s="78" t="n">
        <x:v>46346</x:v>
      </x:c>
      <x:c r="C19" s="31" t="inlineStr">
        <x:is>
          <x:t xml:space="preserve">5. Partnerships &amp; Revenue</x:t>
        </x:is>
      </x:c>
      <x:c r="D19" s="31" t="inlineStr">
        <x:is>
          <x:t xml:space="preserve">Package a small B2B pilot</x:t>
        </x:is>
      </x:c>
      <x:c r="E19" s="31" t="inlineStr">
        <x:is>
          <x:t xml:space="preserve">Make reporting/export reliable enough for pilot.</x:t>
        </x:is>
      </x:c>
      <x:c r="F19" s="31" t="inlineStr">
        <x:is>
          <x:t xml:space="preserve">Define user/support boundaries.</x:t>
        </x:is>
      </x:c>
      <x:c r="G19" s="31" t="inlineStr">
        <x:is>
          <x:t xml:space="preserve">Choose one operational corridor for pilot.</x:t>
        </x:is>
      </x:c>
      <x:c r="H19" s="31" t="inlineStr">
        <x:is>
          <x:t xml:space="preserve">Create one professional explainer asset.</x:t>
        </x:is>
      </x:c>
      <x:c r="I19" s="31" t="inlineStr">
        <x:is>
          <x:t xml:space="preserve">No broad consumer growth this week.</x:t>
        </x:is>
      </x:c>
      <x:c r="J19" s="31" t="inlineStr">
        <x:is>
          <x:t xml:space="preserve">Pitch 5 driving schools/fleets with a 2-week pilot.</x:t>
        </x:is>
      </x:c>
      <x:c r="K19" s="31" t="inlineStr">
        <x:is>
          <x:t xml:space="preserve">Specify price, scope and no custom-build trap.</x:t>
        </x:is>
      </x:c>
      <x:c r="L19" s="31" t="inlineStr">
        <x:is>
          <x:t xml:space="preserve">At least one meeting or documented objection pattern.</x:t>
        </x:is>
      </x:c>
      <x:c r="M19" s="52" t="n">
        <x:v>500</x:v>
      </x:c>
      <x:c r="N19" s="31" t="inlineStr">
        <x:is>
          <x:t xml:space="preserve">Founder</x:t>
        </x:is>
      </x:c>
      <x:c r="O19" s="75" t="inlineStr">
        <x:is>
          <x:t xml:space="preserve">Not Started</x:t>
        </x:is>
      </x:c>
    </x:row>
    <x:row r="20" ht="46" customHeight="1">
      <x:c r="A20" s="30" t="n">
        <x:v>16</x:v>
      </x:c>
      <x:c r="B20" s="79" t="n">
        <x:v>46353</x:v>
      </x:c>
      <x:c r="C20" s="30" t="inlineStr">
        <x:is>
          <x:t xml:space="preserve">5. Partnerships &amp; Revenue</x:t>
        </x:is>
      </x:c>
      <x:c r="D20" s="30" t="inlineStr">
        <x:is>
          <x:t xml:space="preserve">Run partner conversations</x:t>
        </x:is>
      </x:c>
      <x:c r="E20" s="30" t="inlineStr">
        <x:is>
          <x:t xml:space="preserve">Avoid speculative features before calls.</x:t>
        </x:is>
      </x:c>
      <x:c r="F20" s="30" t="inlineStr">
        <x:is>
          <x:t xml:space="preserve">Bring paying-user evidence.</x:t>
        </x:is>
      </x:c>
      <x:c r="G20" s="30" t="inlineStr">
        <x:is>
          <x:t xml:space="preserve">Show verified corridor evidence.</x:t>
        </x:is>
      </x:c>
      <x:c r="H20" s="30" t="inlineStr">
        <x:is>
          <x:t xml:space="preserve">Publish educational partner-facing content.</x:t>
        </x:is>
      </x:c>
      <x:c r="I20" s="30" t="inlineStr">
        <x:is>
          <x:t xml:space="preserve">Organic only.</x:t>
        </x:is>
      </x:c>
      <x:c r="J20" s="30" t="inlineStr">
        <x:is>
          <x:t xml:space="preserve">Complete 5 calls and update CRM.</x:t>
        </x:is>
      </x:c>
      <x:c r="K20" s="30" t="inlineStr">
        <x:is>
          <x:t xml:space="preserve">Track time and any travel cost.</x:t>
        </x:is>
      </x:c>
      <x:c r="L20" s="30" t="inlineStr">
        <x:is>
          <x:t xml:space="preserve">Clear top 3 partner objections.</x:t>
        </x:is>
      </x:c>
      <x:c r="M20" s="52" t="n">
        <x:v>500</x:v>
      </x:c>
      <x:c r="N20" s="30" t="inlineStr">
        <x:is>
          <x:t xml:space="preserve">Founder</x:t>
        </x:is>
      </x:c>
      <x:c r="O20" s="76" t="inlineStr">
        <x:is>
          <x:t xml:space="preserve">Not Started</x:t>
        </x:is>
      </x:c>
    </x:row>
    <x:row r="21" ht="46" customHeight="1">
      <x:c r="A21" s="31" t="n">
        <x:v>17</x:v>
      </x:c>
      <x:c r="B21" s="78" t="n">
        <x:v>46360</x:v>
      </x:c>
      <x:c r="C21" s="31" t="inlineStr">
        <x:is>
          <x:t xml:space="preserve">5. Partnerships &amp; Revenue</x:t>
        </x:is>
      </x:c>
      <x:c r="D21" s="31" t="inlineStr">
        <x:is>
          <x:t xml:space="preserve">Launch one small pilot or pre-sale</x:t>
        </x:is>
      </x:c>
      <x:c r="E21" s="31" t="inlineStr">
        <x:is>
          <x:t xml:space="preserve">Freeze scope and acceptance criteria.</x:t>
        </x:is>
      </x:c>
      <x:c r="F21" s="31" t="inlineStr">
        <x:is>
          <x:t xml:space="preserve">Identify pilot users and feedback route.</x:t>
        </x:is>
      </x:c>
      <x:c r="G21" s="31" t="inlineStr">
        <x:is>
          <x:t xml:space="preserve">Verify pilot route/data before use.</x:t>
        </x:is>
      </x:c>
      <x:c r="H21" s="31" t="inlineStr">
        <x:is>
          <x:t xml:space="preserve">Document pilot learning with permission.</x:t>
        </x:is>
      </x:c>
      <x:c r="I21" s="31" t="inlineStr">
        <x:is>
          <x:t xml:space="preserve">No unrelated experiments.</x:t>
        </x:is>
      </x:c>
      <x:c r="J21" s="31" t="inlineStr">
        <x:is>
          <x:t xml:space="preserve">Collect deposit/payment where appropriate.</x:t>
        </x:is>
      </x:c>
      <x:c r="K21" s="31" t="inlineStr">
        <x:is>
          <x:t xml:space="preserve">Separate pilot revenue from subscription payouts.</x:t>
        </x:is>
      </x:c>
      <x:c r="L21" s="31" t="inlineStr">
        <x:is>
          <x:t xml:space="preserve">Signed scope, dates, owner and success metric.</x:t>
        </x:is>
      </x:c>
      <x:c r="M21" s="52" t="n">
        <x:v>1000</x:v>
      </x:c>
      <x:c r="N21" s="31" t="inlineStr">
        <x:is>
          <x:t xml:space="preserve">Founder</x:t>
        </x:is>
      </x:c>
      <x:c r="O21" s="75" t="inlineStr">
        <x:is>
          <x:t xml:space="preserve">Not Started</x:t>
        </x:is>
      </x:c>
    </x:row>
    <x:row r="22" ht="46" customHeight="1">
      <x:c r="A22" s="30" t="n">
        <x:v>18</x:v>
      </x:c>
      <x:c r="B22" s="79" t="n">
        <x:v>46367</x:v>
      </x:c>
      <x:c r="C22" s="30" t="inlineStr">
        <x:is>
          <x:t xml:space="preserve">5. Partnerships &amp; Revenue</x:t>
        </x:is>
      </x:c>
      <x:c r="D22" s="30" t="inlineStr">
        <x:is>
          <x:t xml:space="preserve">Evaluate revenue quality</x:t>
        </x:is>
      </x:c>
      <x:c r="E22" s="30" t="inlineStr">
        <x:is>
          <x:t xml:space="preserve">Fix issues that block renewal.</x:t>
        </x:is>
      </x:c>
      <x:c r="F22" s="30" t="inlineStr">
        <x:is>
          <x:t xml:space="preserve">Ask whether users would renew/recommend.</x:t>
        </x:is>
      </x:c>
      <x:c r="G22" s="30" t="inlineStr">
        <x:is>
          <x:t xml:space="preserve">Refresh only pilot/priority data.</x:t>
        </x:is>
      </x:c>
      <x:c r="H22" s="30" t="inlineStr">
        <x:is>
          <x:t xml:space="preserve">Share one measured outcome, not hype.</x:t>
        </x:is>
      </x:c>
      <x:c r="I22" s="30" t="inlineStr">
        <x:is>
          <x:t xml:space="preserve">Test renewal/referral message.</x:t>
        </x:is>
      </x:c>
      <x:c r="J22" s="30" t="inlineStr">
        <x:is>
          <x:t xml:space="preserve">Decide repeat, revise or stop pilot.</x:t>
        </x:is>
      </x:c>
      <x:c r="K22" s="30" t="inlineStr">
        <x:is>
          <x:t xml:space="preserve">Calculate contribution after fuel/support.</x:t>
        </x:is>
      </x:c>
      <x:c r="L22" s="30" t="inlineStr">
        <x:is>
          <x:t xml:space="preserve">Revenue is repeatable enough to pursue or explicitly rejected.</x:t>
        </x:is>
      </x:c>
      <x:c r="M22" s="52" t="n">
        <x:v>1000</x:v>
      </x:c>
      <x:c r="N22" s="30" t="inlineStr">
        <x:is>
          <x:t xml:space="preserve">Founder</x:t>
        </x:is>
      </x:c>
      <x:c r="O22" s="76" t="inlineStr">
        <x:is>
          <x:t xml:space="preserve">Not Started</x:t>
        </x:is>
      </x:c>
    </x:row>
    <x:row r="23" ht="46" customHeight="1">
      <x:c r="A23" s="31" t="n">
        <x:v>19</x:v>
      </x:c>
      <x:c r="B23" s="78" t="n">
        <x:v>46374</x:v>
      </x:c>
      <x:c r="C23" s="31" t="inlineStr">
        <x:is>
          <x:t xml:space="preserve">6. Scale What Works</x:t>
        </x:is>
      </x:c>
      <x:c r="D23" s="31" t="inlineStr">
        <x:is>
          <x:t xml:space="preserve">December travel readiness</x:t>
        </x:is>
      </x:c>
      <x:c r="E23" s="31" t="inlineStr">
        <x:is>
          <x:t xml:space="preserve">Protect app uptime and incident response.</x:t>
        </x:is>
      </x:c>
      <x:c r="F23" s="31" t="inlineStr">
        <x:is>
          <x:t xml:space="preserve">Send value reminder to active subscribers.</x:t>
        </x:is>
      </x:c>
      <x:c r="G23" s="31" t="inlineStr">
        <x:is>
          <x:t xml:space="preserve">Verify holiday priority routes within capacity.</x:t>
        </x:is>
      </x:c>
      <x:c r="H23" s="31" t="inlineStr">
        <x:is>
          <x:t xml:space="preserve">Shift to saveable, family and long-drive content.</x:t>
        </x:is>
      </x:c>
      <x:c r="I23" s="31" t="inlineStr">
        <x:is>
          <x:t xml:space="preserve">No aggressive scale during support risk.</x:t>
        </x:is>
      </x:c>
      <x:c r="J23" s="31" t="inlineStr">
        <x:is>
          <x:t xml:space="preserve">Offer safety content collaboration.</x:t>
        </x:is>
      </x:c>
      <x:c r="K23" s="31" t="inlineStr">
        <x:is>
          <x:t xml:space="preserve">Pre-fund Replit/fuel and maintain reserve.</x:t>
        </x:is>
      </x:c>
      <x:c r="L23" s="31" t="inlineStr">
        <x:is>
          <x:t xml:space="preserve">Holiday operations checklist complete.</x:t>
        </x:is>
      </x:c>
      <x:c r="M23" s="52" t="n">
        <x:v>1000</x:v>
      </x:c>
      <x:c r="N23" s="31" t="inlineStr">
        <x:is>
          <x:t xml:space="preserve">Founder</x:t>
        </x:is>
      </x:c>
      <x:c r="O23" s="75" t="inlineStr">
        <x:is>
          <x:t xml:space="preserve">Not Started</x:t>
        </x:is>
      </x:c>
    </x:row>
    <x:row r="24" ht="46" customHeight="1">
      <x:c r="A24" s="30" t="n">
        <x:v>20</x:v>
      </x:c>
      <x:c r="B24" s="79" t="n">
        <x:v>46381</x:v>
      </x:c>
      <x:c r="C24" s="30" t="inlineStr">
        <x:is>
          <x:t xml:space="preserve">6. Scale What Works</x:t>
        </x:is>
      </x:c>
      <x:c r="D24" s="30" t="inlineStr">
        <x:is>
          <x:t xml:space="preserve">Turn seasonal attention into retained use</x:t>
        </x:is>
      </x:c>
      <x:c r="E24" s="30" t="inlineStr">
        <x:is>
          <x:t xml:space="preserve">Monitor support and app reliability daily.</x:t>
        </x:is>
      </x:c>
      <x:c r="F24" s="30" t="inlineStr">
        <x:is>
          <x:t xml:space="preserve">Give new users a first-week success path.</x:t>
        </x:is>
      </x:c>
      <x:c r="G24" s="30" t="inlineStr">
        <x:is>
          <x:t xml:space="preserve">Use community reports with verification.</x:t>
        </x:is>
      </x:c>
      <x:c r="H24" s="30" t="inlineStr">
        <x:is>
          <x:t xml:space="preserve">4 core posts; repurpose only if easy.</x:t>
        </x:is>
      </x:c>
      <x:c r="I24" s="30" t="inlineStr">
        <x:is>
          <x:t xml:space="preserve">One proven channel, not many.</x:t>
        </x:is>
      </x:c>
      <x:c r="J24" s="30" t="inlineStr">
        <x:is>
          <x:t xml:space="preserve">Capture partnership leads from engagement.</x:t>
        </x:is>
      </x:c>
      <x:c r="K24" s="30" t="inlineStr">
        <x:is>
          <x:t xml:space="preserve">Log revenue and payout delays.</x:t>
        </x:is>
      </x:c>
      <x:c r="L24" s="30" t="inlineStr">
        <x:is>
          <x:t xml:space="preserve">New users activate and understand the subscription.</x:t>
        </x:is>
      </x:c>
      <x:c r="M24" s="52" t="n">
        <x:v>1000</x:v>
      </x:c>
      <x:c r="N24" s="30" t="inlineStr">
        <x:is>
          <x:t xml:space="preserve">Founder</x:t>
        </x:is>
      </x:c>
      <x:c r="O24" s="76" t="inlineStr">
        <x:is>
          <x:t xml:space="preserve">Not Started</x:t>
        </x:is>
      </x:c>
    </x:row>
    <x:row r="25" ht="46" customHeight="1">
      <x:c r="A25" s="31" t="n">
        <x:v>21</x:v>
      </x:c>
      <x:c r="B25" s="78" t="n">
        <x:v>46388</x:v>
      </x:c>
      <x:c r="C25" s="31" t="inlineStr">
        <x:is>
          <x:t xml:space="preserve">6. Scale What Works</x:t>
        </x:is>
      </x:c>
      <x:c r="D25" s="31" t="inlineStr">
        <x:is>
          <x:t xml:space="preserve">Christmas/New Year safety campaign</x:t>
        </x:is>
      </x:c>
      <x:c r="E25" s="31" t="inlineStr">
        <x:is>
          <x:t xml:space="preserve">Avoid risky releases.</x:t>
        </x:is>
      </x:c>
      <x:c r="F25" s="31" t="inlineStr">
        <x:is>
          <x:t xml:space="preserve">Use calm support and responsible messaging.</x:t>
        </x:is>
      </x:c>
      <x:c r="G25" s="31" t="inlineStr">
        <x:is>
          <x:t xml:space="preserve">No unnecessary field driving; verify strategically.</x:t>
        </x:is>
      </x:c>
      <x:c r="H25" s="31" t="inlineStr">
        <x:is>
          <x:t xml:space="preserve">Family-first arrival-safe campaign.</x:t>
        </x:is>
      </x:c>
      <x:c r="I25" s="31" t="inlineStr">
        <x:is>
          <x:t xml:space="preserve">No checkpoint/evasion framing.</x:t>
        </x:is>
      </x:c>
      <x:c r="J25" s="31" t="inlineStr">
        <x:is>
          <x:t xml:space="preserve">Coordinate only trusted partners.</x:t>
        </x:is>
      </x:c>
      <x:c r="K25" s="31" t="inlineStr">
        <x:is>
          <x:t xml:space="preserve">Protect cash from emotional holiday spend.</x:t>
        </x:is>
      </x:c>
      <x:c r="L25" s="31" t="inlineStr">
        <x:is>
          <x:t xml:space="preserve">Campaign is useful, safe and supportable.</x:t>
        </x:is>
      </x:c>
      <x:c r="M25" s="52" t="n">
        <x:v>500</x:v>
      </x:c>
      <x:c r="N25" s="31" t="inlineStr">
        <x:is>
          <x:t xml:space="preserve">Founder</x:t>
        </x:is>
      </x:c>
      <x:c r="O25" s="75" t="inlineStr">
        <x:is>
          <x:t xml:space="preserve">Not Started</x:t>
        </x:is>
      </x:c>
    </x:row>
    <x:row r="26" ht="46" customHeight="1">
      <x:c r="A26" s="30" t="n">
        <x:v>22</x:v>
      </x:c>
      <x:c r="B26" s="79" t="n">
        <x:v>46395</x:v>
      </x:c>
      <x:c r="C26" s="30" t="inlineStr">
        <x:is>
          <x:t xml:space="preserve">6. Scale What Works</x:t>
        </x:is>
      </x:c>
      <x:c r="D26" s="30" t="inlineStr">
        <x:is>
          <x:t xml:space="preserve">Year-end business review</x:t>
        </x:is>
      </x:c>
      <x:c r="E26" s="30" t="inlineStr">
        <x:is>
          <x:t xml:space="preserve">Prepare reliability and product learnings.</x:t>
        </x:is>
      </x:c>
      <x:c r="F26" s="30" t="inlineStr">
        <x:is>
          <x:t xml:space="preserve">Review retention, churn and user quotes.</x:t>
        </x:is>
      </x:c>
      <x:c r="G26" s="30" t="inlineStr">
        <x:is>
          <x:t xml:space="preserve">Archive/refresh records by confidence and date.</x:t>
        </x:is>
      </x:c>
      <x:c r="H26" s="30" t="inlineStr">
        <x:is>
          <x:t xml:space="preserve">Identify top 10 content assets and lessons.</x:t>
        </x:is>
      </x:c>
      <x:c r="I26" s="30" t="inlineStr">
        <x:is>
          <x:t xml:space="preserve">Rank channels by paid-user outcome.</x:t>
        </x:is>
      </x:c>
      <x:c r="J26" s="30" t="inlineStr">
        <x:is>
          <x:t xml:space="preserve">Rank partners by next action.</x:t>
        </x:is>
      </x:c>
      <x:c r="K26" s="30" t="inlineStr">
        <x:is>
          <x:t xml:space="preserve">Close cash, subscription and expense records.</x:t>
        </x:is>
      </x:c>
      <x:c r="L26" s="30" t="inlineStr">
        <x:is>
          <x:t xml:space="preserve">One-page 2026 scorecard completed.</x:t>
        </x:is>
      </x:c>
      <x:c r="M26" s="52" t="n">
        <x:v>0</x:v>
      </x:c>
      <x:c r="N26" s="30" t="inlineStr">
        <x:is>
          <x:t xml:space="preserve">Founder</x:t>
        </x:is>
      </x:c>
      <x:c r="O26" s="76" t="inlineStr">
        <x:is>
          <x:t xml:space="preserve">Not Started</x:t>
        </x:is>
      </x:c>
    </x:row>
    <x:row r="27" ht="46" customHeight="1">
      <x:c r="A27" s="31" t="n">
        <x:v>23</x:v>
      </x:c>
      <x:c r="B27" s="78" t="n">
        <x:v>46402</x:v>
      </x:c>
      <x:c r="C27" s="31" t="inlineStr">
        <x:is>
          <x:t xml:space="preserve">6. Scale What Works</x:t>
        </x:is>
      </x:c>
      <x:c r="D27" s="31" t="inlineStr">
        <x:is>
          <x:t xml:space="preserve">January retention reset</x:t>
        </x:is>
      </x:c>
      <x:c r="E27" s="31" t="inlineStr">
        <x:is>
          <x:t xml:space="preserve">Ship one high-confidence improvement.</x:t>
        </x:is>
      </x:c>
      <x:c r="F27" s="31" t="inlineStr">
        <x:is>
          <x:t xml:space="preserve">Re-engage churn-risk users and cancellations.</x:t>
        </x:is>
      </x:c>
      <x:c r="G27" s="31" t="inlineStr">
        <x:is>
          <x:t xml:space="preserve">Plan Q1 corridor, not nationwide expansion.</x:t>
        </x:is>
      </x:c>
      <x:c r="H27" s="31" t="inlineStr">
        <x:is>
          <x:t xml:space="preserve">Refresh best-performing concepts for January.</x:t>
        </x:is>
      </x:c>
      <x:c r="I27" s="31" t="inlineStr">
        <x:is>
          <x:t xml:space="preserve">Run win-back/referral test before new ads.</x:t>
        </x:is>
      </x:c>
      <x:c r="J27" s="31" t="inlineStr">
        <x:is>
          <x:t xml:space="preserve">Follow up best 5 partner leads.</x:t>
        </x:is>
      </x:c>
      <x:c r="K27" s="31" t="inlineStr">
        <x:is>
          <x:t xml:space="preserve">Set Q1 cash envelope and reserve target.</x:t>
        </x:is>
      </x:c>
      <x:c r="L27" s="31" t="inlineStr">
        <x:is>
          <x:t xml:space="preserve">Q1 priorities are based on evidence.</x:t>
        </x:is>
      </x:c>
      <x:c r="M27" s="52" t="n">
        <x:v>1000</x:v>
      </x:c>
      <x:c r="N27" s="31" t="inlineStr">
        <x:is>
          <x:t xml:space="preserve">Founder</x:t>
        </x:is>
      </x:c>
      <x:c r="O27" s="75" t="inlineStr">
        <x:is>
          <x:t xml:space="preserve">Not Started</x:t>
        </x:is>
      </x:c>
    </x:row>
    <x:row r="28" ht="46" customHeight="1">
      <x:c r="A28" s="30" t="n">
        <x:v>24</x:v>
      </x:c>
      <x:c r="B28" s="79" t="n">
        <x:v>46409</x:v>
      </x:c>
      <x:c r="C28" s="30" t="inlineStr">
        <x:is>
          <x:t xml:space="preserve">6. Scale What Works</x:t>
        </x:is>
      </x:c>
      <x:c r="D28" s="30" t="inlineStr">
        <x:is>
          <x:t xml:space="preserve">Make the next 90-day decision</x:t>
        </x:is>
      </x:c>
      <x:c r="E28" s="30" t="inlineStr">
        <x:is>
          <x:t xml:space="preserve">Document infrastructure and product roadmap.</x:t>
        </x:is>
      </x:c>
      <x:c r="F28" s="30" t="inlineStr">
        <x:is>
          <x:t xml:space="preserve">Set retention and paid-user targets.</x:t>
        </x:is>
      </x:c>
      <x:c r="G28" s="30" t="inlineStr">
        <x:is>
          <x:t xml:space="preserve">Set a sustainable field cadence.</x:t>
        </x:is>
      </x:c>
      <x:c r="H28" s="30" t="inlineStr">
        <x:is>
          <x:t xml:space="preserve">Keep 4 core posts or reduce based on return.</x:t>
        </x:is>
      </x:c>
      <x:c r="I28" s="30" t="inlineStr">
        <x:is>
          <x:t xml:space="preserve">Scale only one acquisition engine.</x:t>
        </x:is>
      </x:c>
      <x:c r="J28" s="30" t="inlineStr">
        <x:is>
          <x:t xml:space="preserve">Choose one partnership/revenue model.</x:t>
        </x:is>
      </x:c>
      <x:c r="K28" s="30" t="inlineStr">
        <x:is>
          <x:t xml:space="preserve">Review office/hiring gates; default remains no.</x:t>
        </x:is>
      </x:c>
      <x:c r="L28" s="30" t="inlineStr">
        <x:is>
          <x:t xml:space="preserve">Clear 90-day plan, budget and stop-list.</x:t>
        </x:is>
      </x:c>
      <x:c r="M28" s="52" t="n">
        <x:v>0</x:v>
      </x:c>
      <x:c r="N28" s="30" t="inlineStr">
        <x:is>
          <x:t xml:space="preserve">Founder</x:t>
        </x:is>
      </x:c>
      <x:c r="O28" s="76" t="inlineStr">
        <x:is>
          <x:t xml:space="preserve">Not Started</x:t>
        </x:is>
      </x:c>
    </x:row>
  </x:sheetData>
  <x:mergeCells>
    <x:mergeCell ref="A1:O1"/>
    <x:mergeCell ref="A2:O2"/>
  </x:mergeCells>
  <x:dataValidations count="1">
    <x:dataValidation type="list" allowBlank="1" showDropDown="0" showInputMessage="0" showErrorMessage="0" errorTitle="Invalid value" error="Choose a value from the dropdown." sqref="O5:O28">
      <x:formula1>"Not Started,In Progress,Done,Blocked,Skipped"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c297885b5f43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17" customWidth="1"/>
    <x:col min="3" max="3" width="31" customWidth="1"/>
    <x:col min="4" max="4" width="29" customWidth="1"/>
    <x:col min="5" max="5" width="24" customWidth="1"/>
    <x:col min="6" max="6" width="9" customWidth="1"/>
    <x:col min="7" max="7" width="16" customWidth="1"/>
    <x:col min="8" max="8" width="9" customWidth="1"/>
    <x:col min="9" max="9" width="11" customWidth="1"/>
    <x:col min="10" max="10" width="14" customWidth="1"/>
    <x:col min="11" max="11" width="34" customWidth="1"/>
    <x:col min="12" max="12" width="38" customWidth="1"/>
  </x:cols>
  <x:sheetData>
    <x:row r="1" ht="30" customHeight="1">
      <x:c r="A1" s="26" t="inlineStr">
        <x:is>
          <x:t xml:space="preserve">BUSINESS FOUNDATION — LIVE APP</x:t>
        </x:is>
      </x:c>
    </x:row>
    <x:row r="2" ht="34" customHeight="1">
      <x:c r="A2" s="27" t="inlineStr">
        <x:is>
          <x:t xml:space="preserve">The app is already published and monetizing. Completed store/testing costs are recorded as past milestones, not budgeted again.</x:t>
        </x:is>
      </x:c>
    </x:row>
    <x:row r="3"/>
    <x:row r="4" ht="38" customHeight="1">
      <x:c r="A4" s="29" t="inlineStr">
        <x:is>
          <x:t xml:space="preserve">ID</x:t>
        </x:is>
      </x:c>
      <x:c r="B4" s="29" t="inlineStr">
        <x:is>
          <x:t xml:space="preserve">Area</x:t>
        </x:is>
      </x:c>
      <x:c r="C4" s="29" t="inlineStr">
        <x:is>
          <x:t xml:space="preserve">Requirement / Control</x:t>
        </x:is>
      </x:c>
      <x:c r="D4" s="29" t="inlineStr">
        <x:is>
          <x:t xml:space="preserve">Current Reality</x:t>
        </x:is>
      </x:c>
      <x:c r="E4" s="29" t="inlineStr">
        <x:is>
          <x:t xml:space="preserve">Evidence / Link</x:t>
        </x:is>
      </x:c>
      <x:c r="F4" s="29" t="inlineStr">
        <x:is>
          <x:t xml:space="preserve">Priority</x:t>
        </x:is>
      </x:c>
      <x:c r="G4" s="29" t="inlineStr">
        <x:is>
          <x:t xml:space="preserve">Planned Cost KES</x:t>
        </x:is>
      </x:c>
      <x:c r="H4" s="29" t="inlineStr">
        <x:is>
          <x:t xml:space="preserve">Due Week</x:t>
        </x:is>
      </x:c>
      <x:c r="I4" s="29" t="inlineStr">
        <x:is>
          <x:t xml:space="preserve">Owner</x:t>
        </x:is>
      </x:c>
      <x:c r="J4" s="29" t="inlineStr">
        <x:is>
          <x:t xml:space="preserve">Status</x:t>
        </x:is>
      </x:c>
      <x:c r="K4" s="29" t="inlineStr">
        <x:is>
          <x:t xml:space="preserve">Next Action</x:t>
        </x:is>
      </x:c>
      <x:c r="L4" s="29" t="inlineStr">
        <x:is>
          <x:t xml:space="preserve">Notes</x:t>
        </x:is>
      </x:c>
    </x:row>
    <x:row r="5" ht="30" customHeight="1">
      <x:c r="A5" s="31" t="inlineStr">
        <x:is>
          <x:t xml:space="preserve">BF01</x:t>
        </x:is>
      </x:c>
      <x:c r="B5" s="31" t="inlineStr">
        <x:is>
          <x:t xml:space="preserve">Distribution</x:t>
        </x:is>
      </x:c>
      <x:c r="C5" s="31" t="inlineStr">
        <x:is>
          <x:t xml:space="preserve">Android app published</x:t>
        </x:is>
      </x:c>
      <x:c r="D5" s="31" t="inlineStr">
        <x:is>
          <x:t xml:space="preserve">Already live in store</x:t>
        </x:is>
      </x:c>
      <x:c r="E5" s="31" t="inlineStr">
        <x:is>
          <x:t xml:space="preserve"/>
        </x:is>
      </x:c>
      <x:c r="F5" s="31" t="inlineStr">
        <x:is>
          <x:t xml:space="preserve">P0</x:t>
        </x:is>
      </x:c>
      <x:c r="G5" s="52" t="n">
        <x:v>0</x:v>
      </x:c>
      <x:c r="H5" s="31" t="n">
        <x:v>1</x:v>
      </x:c>
      <x:c r="I5" s="31" t="inlineStr">
        <x:is>
          <x:t xml:space="preserve">Founder</x:t>
        </x:is>
      </x:c>
      <x:c r="J5" s="75" t="inlineStr">
        <x:is>
          <x:t xml:space="preserve">Done</x:t>
        </x:is>
      </x:c>
      <x:c r="K5" s="31" t="inlineStr">
        <x:is>
          <x:t xml:space="preserve">Maintain listing and policy compliance</x:t>
        </x:is>
      </x:c>
      <x:c r="L5" s="31" t="inlineStr">
        <x:is>
          <x:t xml:space="preserve">Testing/account requirements completed before this plan.</x:t>
        </x:is>
      </x:c>
    </x:row>
    <x:row r="6" ht="30" customHeight="1">
      <x:c r="A6" s="30" t="inlineStr">
        <x:is>
          <x:t xml:space="preserve">BF02</x:t>
        </x:is>
      </x:c>
      <x:c r="B6" s="30" t="inlineStr">
        <x:is>
          <x:t xml:space="preserve">Distribution</x:t>
        </x:is>
      </x:c>
      <x:c r="C6" s="30" t="inlineStr">
        <x:is>
          <x:t xml:space="preserve">iOS app published</x:t>
        </x:is>
      </x:c>
      <x:c r="D6" s="30" t="inlineStr">
        <x:is>
          <x:t xml:space="preserve">Already live in App Store</x:t>
        </x:is>
      </x:c>
      <x:c r="E6" s="30" t="inlineStr">
        <x:is>
          <x:t xml:space="preserve"/>
        </x:is>
      </x:c>
      <x:c r="F6" s="30" t="inlineStr">
        <x:is>
          <x:t xml:space="preserve">P0</x:t>
        </x:is>
      </x:c>
      <x:c r="G6" s="52" t="n">
        <x:v>0</x:v>
      </x:c>
      <x:c r="H6" s="30" t="n">
        <x:v>1</x:v>
      </x:c>
      <x:c r="I6" s="30" t="inlineStr">
        <x:is>
          <x:t xml:space="preserve">Founder</x:t>
        </x:is>
      </x:c>
      <x:c r="J6" s="76" t="inlineStr">
        <x:is>
          <x:t xml:space="preserve">Done</x:t>
        </x:is>
      </x:c>
      <x:c r="K6" s="30" t="inlineStr">
        <x:is>
          <x:t xml:space="preserve">Maintain listing and policy compliance</x:t>
        </x:is>
      </x:c>
      <x:c r="L6" s="30" t="inlineStr">
        <x:is>
          <x:t xml:space="preserve">Apple/App Store Connect costs already paid.</x:t>
        </x:is>
      </x:c>
    </x:row>
    <x:row r="7" ht="30" customHeight="1">
      <x:c r="A7" s="31" t="inlineStr">
        <x:is>
          <x:t xml:space="preserve">BF03</x:t>
        </x:is>
      </x:c>
      <x:c r="B7" s="31" t="inlineStr">
        <x:is>
          <x:t xml:space="preserve">Monetization</x:t>
        </x:is>
      </x:c>
      <x:c r="C7" s="31" t="inlineStr">
        <x:is>
          <x:t xml:space="preserve">Subscriptions live</x:t>
        </x:is>
      </x:c>
      <x:c r="D7" s="31" t="inlineStr">
        <x:is>
          <x:t xml:space="preserve">Users have begun paying</x:t>
        </x:is>
      </x:c>
      <x:c r="E7" s="31" t="inlineStr">
        <x:is>
          <x:t xml:space="preserve"/>
        </x:is>
      </x:c>
      <x:c r="F7" s="31" t="inlineStr">
        <x:is>
          <x:t xml:space="preserve">P0</x:t>
        </x:is>
      </x:c>
      <x:c r="G7" s="52" t="n">
        <x:v>0</x:v>
      </x:c>
      <x:c r="H7" s="31" t="n">
        <x:v>1</x:v>
      </x:c>
      <x:c r="I7" s="31" t="inlineStr">
        <x:is>
          <x:t xml:space="preserve">Founder</x:t>
        </x:is>
      </x:c>
      <x:c r="J7" s="75" t="inlineStr">
        <x:is>
          <x:t xml:space="preserve">Done</x:t>
        </x:is>
      </x:c>
      <x:c r="K7" s="31" t="inlineStr">
        <x:is>
          <x:t xml:space="preserve">Enter baseline price, active paid and MRR</x:t>
        </x:is>
      </x:c>
      <x:c r="L7" s="31" t="inlineStr">
        <x:is>
          <x:t xml:space="preserve">Do not treat the business as pre-revenue.</x:t>
        </x:is>
      </x:c>
    </x:row>
    <x:row r="8" ht="30" customHeight="1">
      <x:c r="A8" s="30" t="inlineStr">
        <x:is>
          <x:t xml:space="preserve">BF04</x:t>
        </x:is>
      </x:c>
      <x:c r="B8" s="30" t="inlineStr">
        <x:is>
          <x:t xml:space="preserve">Infrastructure</x:t>
        </x:is>
      </x:c>
      <x:c r="C8" s="30" t="inlineStr">
        <x:is>
          <x:t xml:space="preserve">Replit hosting continuity</x:t>
        </x:is>
      </x:c>
      <x:c r="D8" s="30" t="inlineStr">
        <x:is>
          <x:t xml:space="preserve">US$20 monthly recurring fee</x:t>
        </x:is>
      </x:c>
      <x:c r="E8" s="30" t="inlineStr">
        <x:is>
          <x:t xml:space="preserve"/>
        </x:is>
      </x:c>
      <x:c r="F8" s="30" t="inlineStr">
        <x:is>
          <x:t xml:space="preserve">P0</x:t>
        </x:is>
      </x:c>
      <x:c r="G8" s="45" t="n">
        <x:f>Assumptions!$B$19</x:f>
        <x:v>2587.2000000000003</x:v>
      </x:c>
      <x:c r="H8" s="30" t="n">
        <x:v>1</x:v>
      </x:c>
      <x:c r="I8" s="30" t="inlineStr">
        <x:is>
          <x:t xml:space="preserve">Founder</x:t>
        </x:is>
      </x:c>
      <x:c r="J8" s="76" t="inlineStr">
        <x:is>
          <x:t xml:space="preserve">In Progress</x:t>
        </x:is>
      </x:c>
      <x:c r="K8" s="30" t="inlineStr">
        <x:is>
          <x:t xml:space="preserve">Pay and log monthly before optional spend</x:t>
        </x:is>
      </x:c>
      <x:c r="L8" s="30" t="inlineStr">
        <x:is>
          <x:t xml:space="preserve">Create fallback/export and uptime process.</x:t>
        </x:is>
      </x:c>
    </x:row>
    <x:row r="9" ht="30" customHeight="1">
      <x:c r="A9" s="31" t="inlineStr">
        <x:is>
          <x:t xml:space="preserve">BF05</x:t>
        </x:is>
      </x:c>
      <x:c r="B9" s="31" t="inlineStr">
        <x:is>
          <x:t xml:space="preserve">Analytics</x:t>
        </x:is>
      </x:c>
      <x:c r="C9" s="31" t="inlineStr">
        <x:is>
          <x:t xml:space="preserve">Download/activation/subscription baseline</x:t>
        </x:is>
      </x:c>
      <x:c r="D9" s="31" t="inlineStr">
        <x:is>
          <x:t xml:space="preserve">Needs one trusted baseline</x:t>
        </x:is>
      </x:c>
      <x:c r="E9" s="31" t="inlineStr">
        <x:is>
          <x:t xml:space="preserve"/>
        </x:is>
      </x:c>
      <x:c r="F9" s="31" t="inlineStr">
        <x:is>
          <x:t xml:space="preserve">P0</x:t>
        </x:is>
      </x:c>
      <x:c r="G9" s="52" t="n">
        <x:v>0</x:v>
      </x:c>
      <x:c r="H9" s="31" t="n">
        <x:v>1</x:v>
      </x:c>
      <x:c r="I9" s="31" t="inlineStr">
        <x:is>
          <x:t xml:space="preserve">Founder</x:t>
        </x:is>
      </x:c>
      <x:c r="J9" s="75" t="inlineStr">
        <x:is>
          <x:t xml:space="preserve">In Progress</x:t>
        </x:is>
      </x:c>
      <x:c r="K9" s="31" t="inlineStr">
        <x:is>
          <x:t xml:space="preserve">Enter store totals and verify events</x:t>
        </x:is>
      </x:c>
      <x:c r="L9" s="31" t="inlineStr">
        <x:is>
          <x:t xml:space="preserve">Use one source of truth per metric.</x:t>
        </x:is>
      </x:c>
    </x:row>
    <x:row r="10" ht="30" customHeight="1">
      <x:c r="A10" s="30" t="inlineStr">
        <x:is>
          <x:t xml:space="preserve">BF06</x:t>
        </x:is>
      </x:c>
      <x:c r="B10" s="30" t="inlineStr">
        <x:is>
          <x:t xml:space="preserve">Reliability</x:t>
        </x:is>
      </x:c>
      <x:c r="C10" s="30" t="inlineStr">
        <x:is>
          <x:t xml:space="preserve">Crash/error monitoring</x:t>
        </x:is>
      </x:c>
      <x:c r="D10" s="30" t="inlineStr">
        <x:is>
          <x:t xml:space="preserve">Live app needs rapid detection</x:t>
        </x:is>
      </x:c>
      <x:c r="E10" s="30" t="inlineStr">
        <x:is>
          <x:t xml:space="preserve"/>
        </x:is>
      </x:c>
      <x:c r="F10" s="30" t="inlineStr">
        <x:is>
          <x:t xml:space="preserve">P0</x:t>
        </x:is>
      </x:c>
      <x:c r="G10" s="52" t="n">
        <x:v>0</x:v>
      </x:c>
      <x:c r="H10" s="30" t="n">
        <x:v>2</x:v>
      </x:c>
      <x:c r="I10" s="30" t="inlineStr">
        <x:is>
          <x:t xml:space="preserve">Founder</x:t>
        </x:is>
      </x:c>
      <x:c r="J10" s="76" t="inlineStr">
        <x:is>
          <x:t xml:space="preserve">Not Started</x:t>
        </x:is>
      </x:c>
      <x:c r="K10" s="30" t="inlineStr">
        <x:is>
          <x:t xml:space="preserve">Set alert and weekly review</x:t>
        </x:is>
      </x:c>
      <x:c r="L10" s="30" t="inlineStr">
        <x:is>
          <x:t xml:space="preserve">Track severe incidents in Product Backlog.</x:t>
        </x:is>
      </x:c>
    </x:row>
    <x:row r="11" ht="30" customHeight="1">
      <x:c r="A11" s="31" t="inlineStr">
        <x:is>
          <x:t xml:space="preserve">BF07</x:t>
        </x:is>
      </x:c>
      <x:c r="B11" s="31" t="inlineStr">
        <x:is>
          <x:t xml:space="preserve">Reliability</x:t>
        </x:is>
      </x:c>
      <x:c r="C11" s="31" t="inlineStr">
        <x:is>
          <x:t xml:space="preserve">Backup and recovery</x:t>
        </x:is>
      </x:c>
      <x:c r="D11" s="31" t="inlineStr">
        <x:is>
          <x:t xml:space="preserve">Replit dependency is a business risk</x:t>
        </x:is>
      </x:c>
      <x:c r="E11" s="31" t="inlineStr">
        <x:is>
          <x:t xml:space="preserve"/>
        </x:is>
      </x:c>
      <x:c r="F11" s="31" t="inlineStr">
        <x:is>
          <x:t xml:space="preserve">P0</x:t>
        </x:is>
      </x:c>
      <x:c r="G11" s="52" t="n">
        <x:v>0</x:v>
      </x:c>
      <x:c r="H11" s="31" t="n">
        <x:v>2</x:v>
      </x:c>
      <x:c r="I11" s="31" t="inlineStr">
        <x:is>
          <x:t xml:space="preserve">Founder</x:t>
        </x:is>
      </x:c>
      <x:c r="J11" s="75" t="inlineStr">
        <x:is>
          <x:t xml:space="preserve">Not Started</x:t>
        </x:is>
      </x:c>
      <x:c r="K11" s="31" t="inlineStr">
        <x:is>
          <x:t xml:space="preserve">Document export, secrets and recovery steps</x:t>
        </x:is>
      </x:c>
      <x:c r="L11" s="31" t="inlineStr">
        <x:is>
          <x:t xml:space="preserve">Test recovery before an outage.</x:t>
        </x:is>
      </x:c>
    </x:row>
    <x:row r="12" ht="30" customHeight="1">
      <x:c r="A12" s="30" t="inlineStr">
        <x:is>
          <x:t xml:space="preserve">BF08</x:t>
        </x:is>
      </x:c>
      <x:c r="B12" s="30" t="inlineStr">
        <x:is>
          <x:t xml:space="preserve">Support</x:t>
        </x:is>
      </x:c>
      <x:c r="C12" s="30" t="inlineStr">
        <x:is>
          <x:t xml:space="preserve">Support email and response SLA</x:t>
        </x:is>
      </x:c>
      <x:c r="D12" s="30" t="inlineStr">
        <x:is>
          <x:t xml:space="preserve">Paying users need a clear help path</x:t>
        </x:is>
      </x:c>
      <x:c r="E12" s="30" t="inlineStr">
        <x:is>
          <x:t xml:space="preserve"/>
        </x:is>
      </x:c>
      <x:c r="F12" s="30" t="inlineStr">
        <x:is>
          <x:t xml:space="preserve">P0</x:t>
        </x:is>
      </x:c>
      <x:c r="G12" s="52" t="n">
        <x:v>0</x:v>
      </x:c>
      <x:c r="H12" s="30" t="n">
        <x:v>1</x:v>
      </x:c>
      <x:c r="I12" s="30" t="inlineStr">
        <x:is>
          <x:t xml:space="preserve">Founder</x:t>
        </x:is>
      </x:c>
      <x:c r="J12" s="76" t="inlineStr">
        <x:is>
          <x:t xml:space="preserve">In Progress</x:t>
        </x:is>
      </x:c>
      <x:c r="K12" s="30" t="inlineStr">
        <x:is>
          <x:t xml:space="preserve">Respond within 24 hours</x:t>
        </x:is>
      </x:c>
      <x:c r="L12" s="30" t="inlineStr">
        <x:is>
          <x:t xml:space="preserve">Use templates in SOP Library.</x:t>
        </x:is>
      </x:c>
    </x:row>
    <x:row r="13" ht="30" customHeight="1">
      <x:c r="A13" s="31" t="inlineStr">
        <x:is>
          <x:t xml:space="preserve">BF09</x:t>
        </x:is>
      </x:c>
      <x:c r="B13" s="31" t="inlineStr">
        <x:is>
          <x:t xml:space="preserve">Subscriptions</x:t>
        </x:is>
      </x:c>
      <x:c r="C13" s="31" t="inlineStr">
        <x:is>
          <x:t xml:space="preserve">Restore/cancel/refund instructions</x:t>
        </x:is>
      </x:c>
      <x:c r="D13" s="31" t="inlineStr">
        <x:is>
          <x:t xml:space="preserve">Trust and store compliance</x:t>
        </x:is>
      </x:c>
      <x:c r="E13" s="31" t="inlineStr">
        <x:is>
          <x:t xml:space="preserve"/>
        </x:is>
      </x:c>
      <x:c r="F13" s="31" t="inlineStr">
        <x:is>
          <x:t xml:space="preserve">P0</x:t>
        </x:is>
      </x:c>
      <x:c r="G13" s="52" t="n">
        <x:v>0</x:v>
      </x:c>
      <x:c r="H13" s="31" t="n">
        <x:v>2</x:v>
      </x:c>
      <x:c r="I13" s="31" t="inlineStr">
        <x:is>
          <x:t xml:space="preserve">Founder</x:t>
        </x:is>
      </x:c>
      <x:c r="J13" s="75" t="inlineStr">
        <x:is>
          <x:t xml:space="preserve">Not Started</x:t>
        </x:is>
      </x:c>
      <x:c r="K13" s="31" t="inlineStr">
        <x:is>
          <x:t xml:space="preserve">Test on Android and iOS</x:t>
        </x:is>
      </x:c>
      <x:c r="L13" s="31" t="inlineStr">
        <x:is>
          <x:t xml:space="preserve">Do not make cancellation confusing.</x:t>
        </x:is>
      </x:c>
    </x:row>
    <x:row r="14" ht="30" customHeight="1">
      <x:c r="A14" s="30" t="inlineStr">
        <x:is>
          <x:t xml:space="preserve">BF10</x:t>
        </x:is>
      </x:c>
      <x:c r="B14" s="30" t="inlineStr">
        <x:is>
          <x:t xml:space="preserve">Legal</x:t>
        </x:is>
      </x:c>
      <x:c r="C14" s="30" t="inlineStr">
        <x:is>
          <x:t xml:space="preserve">Privacy policy and terms current</x:t>
        </x:is>
      </x:c>
      <x:c r="D14" s="30" t="inlineStr">
        <x:is>
          <x:t xml:space="preserve">Must match live data and subscriptions</x:t>
        </x:is>
      </x:c>
      <x:c r="E14" s="30" t="inlineStr">
        <x:is>
          <x:t xml:space="preserve"/>
        </x:is>
      </x:c>
      <x:c r="F14" s="30" t="inlineStr">
        <x:is>
          <x:t xml:space="preserve">P0</x:t>
        </x:is>
      </x:c>
      <x:c r="G14" s="52" t="n">
        <x:v>0</x:v>
      </x:c>
      <x:c r="H14" s="30" t="n">
        <x:v>3</x:v>
      </x:c>
      <x:c r="I14" s="30" t="inlineStr">
        <x:is>
          <x:t xml:space="preserve">Founder</x:t>
        </x:is>
      </x:c>
      <x:c r="J14" s="76" t="inlineStr">
        <x:is>
          <x:t xml:space="preserve">Not Started</x:t>
        </x:is>
      </x:c>
      <x:c r="K14" s="30" t="inlineStr">
        <x:is>
          <x:t xml:space="preserve">Review published documents against actual app</x:t>
        </x:is>
      </x:c>
      <x:c r="L14" s="30" t="inlineStr">
        <x:is>
          <x:t xml:space="preserve">Get professional review when affordable.</x:t>
        </x:is>
      </x:c>
    </x:row>
    <x:row r="15" ht="30" customHeight="1">
      <x:c r="A15" s="31" t="inlineStr">
        <x:is>
          <x:t xml:space="preserve">BF11</x:t>
        </x:is>
      </x:c>
      <x:c r="B15" s="31" t="inlineStr">
        <x:is>
          <x:t xml:space="preserve">Data Protection</x:t>
        </x:is>
      </x:c>
      <x:c r="C15" s="31" t="inlineStr">
        <x:is>
          <x:t xml:space="preserve">ODPC applicability assessment</x:t>
        </x:is>
      </x:c>
      <x:c r="D15" s="31" t="inlineStr">
        <x:is>
          <x:t xml:space="preserve">Location/personal data may create obligations</x:t>
        </x:is>
      </x:c>
      <x:c r="E15" s="31" t="inlineStr">
        <x:is>
          <x:t xml:space="preserve"/>
        </x:is>
      </x:c>
      <x:c r="F15" s="31" t="inlineStr">
        <x:is>
          <x:t xml:space="preserve">P0</x:t>
        </x:is>
      </x:c>
      <x:c r="G15" s="52" t="n">
        <x:v>4000</x:v>
      </x:c>
      <x:c r="H15" s="31" t="n">
        <x:v>4</x:v>
      </x:c>
      <x:c r="I15" s="31" t="inlineStr">
        <x:is>
          <x:t xml:space="preserve">Founder</x:t>
        </x:is>
      </x:c>
      <x:c r="J15" s="75" t="inlineStr">
        <x:is>
          <x:t xml:space="preserve">Not Started</x:t>
        </x:is>
      </x:c>
      <x:c r="K15" s="31" t="inlineStr">
        <x:is>
          <x:t xml:space="preserve">Map collected data and assess registration</x:t>
        </x:is>
      </x:c>
      <x:c r="L15" s="31" t="inlineStr">
        <x:is>
          <x:t xml:space="preserve">Use official guidance.</x:t>
        </x:is>
      </x:c>
    </x:row>
    <x:row r="16" ht="30" customHeight="1">
      <x:c r="A16" s="30" t="inlineStr">
        <x:is>
          <x:t xml:space="preserve">BF12</x:t>
        </x:is>
      </x:c>
      <x:c r="B16" s="30" t="inlineStr">
        <x:is>
          <x:t xml:space="preserve">Registration</x:t>
        </x:is>
      </x:c>
      <x:c r="C16" s="30" t="inlineStr">
        <x:is>
          <x:t xml:space="preserve">Business registration path</x:t>
        </x:is>
      </x:c>
      <x:c r="D16" s="30" t="inlineStr">
        <x:is>
          <x:t xml:space="preserve">Needed for banking, tax and partners</x:t>
        </x:is>
      </x:c>
      <x:c r="E16" s="30" t="inlineStr">
        <x:is>
          <x:t xml:space="preserve"/>
        </x:is>
      </x:c>
      <x:c r="F16" s="30" t="inlineStr">
        <x:is>
          <x:t xml:space="preserve">P1</x:t>
        </x:is>
      </x:c>
      <x:c r="G16" s="52" t="n">
        <x:v>10650</x:v>
      </x:c>
      <x:c r="H16" s="30" t="n">
        <x:v>6</x:v>
      </x:c>
      <x:c r="I16" s="30" t="inlineStr">
        <x:is>
          <x:t xml:space="preserve">Founder</x:t>
        </x:is>
      </x:c>
      <x:c r="J16" s="76" t="inlineStr">
        <x:is>
          <x:t xml:space="preserve">Not Started</x:t>
        </x:is>
      </x:c>
      <x:c r="K16" s="30" t="inlineStr">
        <x:is>
          <x:t xml:space="preserve">Confirm current status and choose path</x:t>
        </x:is>
      </x:c>
      <x:c r="L16" s="30" t="inlineStr">
        <x:is>
          <x:t xml:space="preserve">Do not pay again if already completed.</x:t>
        </x:is>
      </x:c>
    </x:row>
    <x:row r="17" ht="30" customHeight="1">
      <x:c r="A17" s="31" t="inlineStr">
        <x:is>
          <x:t xml:space="preserve">BF13</x:t>
        </x:is>
      </x:c>
      <x:c r="B17" s="31" t="inlineStr">
        <x:is>
          <x:t xml:space="preserve">Finance</x:t>
        </x:is>
      </x:c>
      <x:c r="C17" s="31" t="inlineStr">
        <x:is>
          <x:t xml:space="preserve">Receipts and expense archive</x:t>
        </x:is>
      </x:c>
      <x:c r="D17" s="31" t="inlineStr">
        <x:is>
          <x:t xml:space="preserve">Needed for control and tax</x:t>
        </x:is>
      </x:c>
      <x:c r="E17" s="31" t="inlineStr">
        <x:is>
          <x:t xml:space="preserve"/>
        </x:is>
      </x:c>
      <x:c r="F17" s="31" t="inlineStr">
        <x:is>
          <x:t xml:space="preserve">P0</x:t>
        </x:is>
      </x:c>
      <x:c r="G17" s="52" t="n">
        <x:v>0</x:v>
      </x:c>
      <x:c r="H17" s="31" t="n">
        <x:v>1</x:v>
      </x:c>
      <x:c r="I17" s="31" t="inlineStr">
        <x:is>
          <x:t xml:space="preserve">Founder</x:t>
        </x:is>
      </x:c>
      <x:c r="J17" s="75" t="inlineStr">
        <x:is>
          <x:t xml:space="preserve">In Progress</x:t>
        </x:is>
      </x:c>
      <x:c r="K17" s="31" t="inlineStr">
        <x:is>
          <x:t xml:space="preserve">Create monthly folders and link receipts</x:t>
        </x:is>
      </x:c>
      <x:c r="L17" s="31" t="inlineStr">
        <x:is>
          <x:t xml:space="preserve">Every Money Log expense needs evidence.</x:t>
        </x:is>
      </x:c>
    </x:row>
    <x:row r="18" ht="30" customHeight="1">
      <x:c r="A18" s="30" t="inlineStr">
        <x:is>
          <x:t xml:space="preserve">BF14</x:t>
        </x:is>
      </x:c>
      <x:c r="B18" s="30" t="inlineStr">
        <x:is>
          <x:t xml:space="preserve">Finance</x:t>
        </x:is>
      </x:c>
      <x:c r="C18" s="30" t="inlineStr">
        <x:is>
          <x:t xml:space="preserve">Store payout reconciliation</x:t>
        </x:is>
      </x:c>
      <x:c r="D18" s="30" t="inlineStr">
        <x:is>
          <x:t xml:space="preserve">Accrued revenue is not cash</x:t>
        </x:is>
      </x:c>
      <x:c r="E18" s="30" t="inlineStr">
        <x:is>
          <x:t xml:space="preserve"/>
        </x:is>
      </x:c>
      <x:c r="F18" s="30" t="inlineStr">
        <x:is>
          <x:t xml:space="preserve">P0</x:t>
        </x:is>
      </x:c>
      <x:c r="G18" s="52" t="n">
        <x:v>0</x:v>
      </x:c>
      <x:c r="H18" s="30" t="n">
        <x:v>1</x:v>
      </x:c>
      <x:c r="I18" s="30" t="inlineStr">
        <x:is>
          <x:t xml:space="preserve">Founder</x:t>
        </x:is>
      </x:c>
      <x:c r="J18" s="76" t="inlineStr">
        <x:is>
          <x:t xml:space="preserve">In Progress</x:t>
        </x:is>
      </x:c>
      <x:c r="K18" s="30" t="inlineStr">
        <x:is>
          <x:t xml:space="preserve">Reconcile gross, fees, refunds and cash</x:t>
        </x:is>
      </x:c>
      <x:c r="L18" s="30" t="inlineStr">
        <x:is>
          <x:t xml:space="preserve">Update weekly.</x:t>
        </x:is>
      </x:c>
    </x:row>
    <x:row r="19" ht="30" customHeight="1">
      <x:c r="A19" s="31" t="inlineStr">
        <x:is>
          <x:t xml:space="preserve">BF15</x:t>
        </x:is>
      </x:c>
      <x:c r="B19" s="31" t="inlineStr">
        <x:is>
          <x:t xml:space="preserve">Tax</x:t>
        </x:is>
      </x:c>
      <x:c r="C19" s="31" t="inlineStr">
        <x:is>
          <x:t xml:space="preserve">KRA/accounting path</x:t>
        </x:is>
      </x:c>
      <x:c r="D19" s="31" t="inlineStr">
        <x:is>
          <x:t xml:space="preserve">Revenue has started</x:t>
        </x:is>
      </x:c>
      <x:c r="E19" s="31" t="inlineStr">
        <x:is>
          <x:t xml:space="preserve"/>
        </x:is>
      </x:c>
      <x:c r="F19" s="31" t="inlineStr">
        <x:is>
          <x:t xml:space="preserve">P1</x:t>
        </x:is>
      </x:c>
      <x:c r="G19" s="52" t="n">
        <x:v>0</x:v>
      </x:c>
      <x:c r="H19" s="31" t="n">
        <x:v>8</x:v>
      </x:c>
      <x:c r="I19" s="31" t="inlineStr">
        <x:is>
          <x:t xml:space="preserve">Founder</x:t>
        </x:is>
      </x:c>
      <x:c r="J19" s="75" t="inlineStr">
        <x:is>
          <x:t xml:space="preserve">Not Started</x:t>
        </x:is>
      </x:c>
      <x:c r="K19" s="31" t="inlineStr">
        <x:is>
          <x:t xml:space="preserve">Get basic bookkeeping/tax guidance</x:t>
        </x:is>
      </x:c>
      <x:c r="L19" s="31" t="inlineStr">
        <x:is>
          <x:t xml:space="preserve">Keep records from day one.</x:t>
        </x:is>
      </x:c>
    </x:row>
    <x:row r="20" ht="30" customHeight="1">
      <x:c r="A20" s="30" t="inlineStr">
        <x:is>
          <x:t xml:space="preserve">BF16</x:t>
        </x:is>
      </x:c>
      <x:c r="B20" s="30" t="inlineStr">
        <x:is>
          <x:t xml:space="preserve">Growth</x:t>
        </x:is>
      </x:c>
      <x:c r="C20" s="30" t="inlineStr">
        <x:is>
          <x:t xml:space="preserve">TikTok and Instagram accounts</x:t>
        </x:is>
      </x:c>
      <x:c r="D20" s="30" t="inlineStr">
        <x:is>
          <x:t xml:space="preserve">Two active channels only</x:t>
        </x:is>
      </x:c>
      <x:c r="E20" s="30" t="inlineStr">
        <x:is>
          <x:t xml:space="preserve"/>
        </x:is>
      </x:c>
      <x:c r="F20" s="30" t="inlineStr">
        <x:is>
          <x:t xml:space="preserve">P1</x:t>
        </x:is>
      </x:c>
      <x:c r="G20" s="52" t="n">
        <x:v>0</x:v>
      </x:c>
      <x:c r="H20" s="30" t="n">
        <x:v>2</x:v>
      </x:c>
      <x:c r="I20" s="30" t="inlineStr">
        <x:is>
          <x:t xml:space="preserve">Founder</x:t>
        </x:is>
      </x:c>
      <x:c r="J20" s="76" t="inlineStr">
        <x:is>
          <x:t xml:space="preserve">Not Started</x:t>
        </x:is>
      </x:c>
      <x:c r="K20" s="30" t="inlineStr">
        <x:is>
          <x:t xml:space="preserve">Protect handles and publish live-app proof</x:t>
        </x:is>
      </x:c>
      <x:c r="L20" s="30" t="inlineStr">
        <x:is>
          <x:t xml:space="preserve">Reserve other handles without active workload.</x:t>
        </x:is>
      </x:c>
    </x:row>
    <x:row r="21" ht="30" customHeight="1">
      <x:c r="A21" s="31" t="inlineStr">
        <x:is>
          <x:t xml:space="preserve">BF17</x:t>
        </x:is>
      </x:c>
      <x:c r="B21" s="31" t="inlineStr">
        <x:is>
          <x:t xml:space="preserve">Growth</x:t>
        </x:is>
      </x:c>
      <x:c r="C21" s="31" t="inlineStr">
        <x:is>
          <x:t xml:space="preserve">Attribution links/codes</x:t>
        </x:is>
      </x:c>
      <x:c r="D21" s="31" t="inlineStr">
        <x:is>
          <x:t xml:space="preserve">Needed before ads or creator payments</x:t>
        </x:is>
      </x:c>
      <x:c r="E21" s="31" t="inlineStr">
        <x:is>
          <x:t xml:space="preserve"/>
        </x:is>
      </x:c>
      <x:c r="F21" s="31" t="inlineStr">
        <x:is>
          <x:t xml:space="preserve">P0</x:t>
        </x:is>
      </x:c>
      <x:c r="G21" s="52" t="n">
        <x:v>0</x:v>
      </x:c>
      <x:c r="H21" s="31" t="n">
        <x:v>4</x:v>
      </x:c>
      <x:c r="I21" s="31" t="inlineStr">
        <x:is>
          <x:t xml:space="preserve">Founder</x:t>
        </x:is>
      </x:c>
      <x:c r="J21" s="75" t="inlineStr">
        <x:is>
          <x:t xml:space="preserve">Not Started</x:t>
        </x:is>
      </x:c>
      <x:c r="K21" s="31" t="inlineStr">
        <x:is>
          <x:t xml:space="preserve">Create channel and campaign naming rule</x:t>
        </x:is>
      </x:c>
      <x:c r="L21" s="31" t="inlineStr">
        <x:is>
          <x:t xml:space="preserve">Track paid subscribers, not views only.</x:t>
        </x:is>
      </x:c>
    </x:row>
    <x:row r="22" ht="30" customHeight="1">
      <x:c r="A22" s="30" t="inlineStr">
        <x:is>
          <x:t xml:space="preserve">BF18</x:t>
        </x:is>
      </x:c>
      <x:c r="B22" s="30" t="inlineStr">
        <x:is>
          <x:t xml:space="preserve">Product</x:t>
        </x:is>
      </x:c>
      <x:c r="C22" s="30" t="inlineStr">
        <x:is>
          <x:t xml:space="preserve">Store listing and paywall review</x:t>
        </x:is>
      </x:c>
      <x:c r="D22" s="30" t="inlineStr">
        <x:is>
          <x:t xml:space="preserve">Conversion happens after attention</x:t>
        </x:is>
      </x:c>
      <x:c r="E22" s="30" t="inlineStr">
        <x:is>
          <x:t xml:space="preserve"/>
        </x:is>
      </x:c>
      <x:c r="F22" s="30" t="inlineStr">
        <x:is>
          <x:t xml:space="preserve">P1</x:t>
        </x:is>
      </x:c>
      <x:c r="G22" s="52" t="n">
        <x:v>0</x:v>
      </x:c>
      <x:c r="H22" s="30" t="n">
        <x:v>4</x:v>
      </x:c>
      <x:c r="I22" s="30" t="inlineStr">
        <x:is>
          <x:t xml:space="preserve">Founder</x:t>
        </x:is>
      </x:c>
      <x:c r="J22" s="76" t="inlineStr">
        <x:is>
          <x:t xml:space="preserve">Not Started</x:t>
        </x:is>
      </x:c>
      <x:c r="K22" s="30" t="inlineStr">
        <x:is>
          <x:t xml:space="preserve">Improve screenshots, value and trust language</x:t>
        </x:is>
      </x:c>
      <x:c r="L22" s="30" t="inlineStr">
        <x:is>
          <x:t xml:space="preserve">Use user objections.</x:t>
        </x:is>
      </x:c>
    </x:row>
    <x:row r="23" ht="30" customHeight="1">
      <x:c r="A23" s="31" t="inlineStr">
        <x:is>
          <x:t xml:space="preserve">BF19</x:t>
        </x:is>
      </x:c>
      <x:c r="B23" s="31" t="inlineStr">
        <x:is>
          <x:t xml:space="preserve">Security</x:t>
        </x:is>
      </x:c>
      <x:c r="C23" s="31" t="inlineStr">
        <x:is>
          <x:t xml:space="preserve">Secrets/access inventory</x:t>
        </x:is>
      </x:c>
      <x:c r="D23" s="31" t="inlineStr">
        <x:is>
          <x:t xml:space="preserve">Solo founder still needs access control</x:t>
        </x:is>
      </x:c>
      <x:c r="E23" s="31" t="inlineStr">
        <x:is>
          <x:t xml:space="preserve"/>
        </x:is>
      </x:c>
      <x:c r="F23" s="31" t="inlineStr">
        <x:is>
          <x:t xml:space="preserve">P0</x:t>
        </x:is>
      </x:c>
      <x:c r="G23" s="52" t="n">
        <x:v>0</x:v>
      </x:c>
      <x:c r="H23" s="31" t="n">
        <x:v>3</x:v>
      </x:c>
      <x:c r="I23" s="31" t="inlineStr">
        <x:is>
          <x:t xml:space="preserve">Founder</x:t>
        </x:is>
      </x:c>
      <x:c r="J23" s="75" t="inlineStr">
        <x:is>
          <x:t xml:space="preserve">Not Started</x:t>
        </x:is>
      </x:c>
      <x:c r="K23" s="31" t="inlineStr">
        <x:is>
          <x:t xml:space="preserve">List accounts, owners, recovery and 2FA</x:t>
        </x:is>
      </x:c>
      <x:c r="L23" s="31" t="inlineStr">
        <x:is>
          <x:t xml:space="preserve">Never place secrets in public sheets.</x:t>
        </x:is>
      </x:c>
    </x:row>
    <x:row r="24" ht="30" customHeight="1">
      <x:c r="A24" s="30" t="inlineStr">
        <x:is>
          <x:t xml:space="preserve">BF20</x:t>
        </x:is>
      </x:c>
      <x:c r="B24" s="30" t="inlineStr">
        <x:is>
          <x:t xml:space="preserve">Operations</x:t>
        </x:is>
      </x:c>
      <x:c r="C24" s="30" t="inlineStr">
        <x:is>
          <x:t xml:space="preserve">Weekly founder review ritual</x:t>
        </x:is>
      </x:c>
      <x:c r="D24" s="30" t="inlineStr">
        <x:is>
          <x:t xml:space="preserve">Turns the workbook into a system</x:t>
        </x:is>
      </x:c>
      <x:c r="E24" s="30" t="inlineStr">
        <x:is>
          <x:t xml:space="preserve"/>
        </x:is>
      </x:c>
      <x:c r="F24" s="30" t="inlineStr">
        <x:is>
          <x:t xml:space="preserve">P0</x:t>
        </x:is>
      </x:c>
      <x:c r="G24" s="52" t="n">
        <x:v>0</x:v>
      </x:c>
      <x:c r="H24" s="30" t="n">
        <x:v>1</x:v>
      </x:c>
      <x:c r="I24" s="30" t="inlineStr">
        <x:is>
          <x:t xml:space="preserve">Founder</x:t>
        </x:is>
      </x:c>
      <x:c r="J24" s="76" t="inlineStr">
        <x:is>
          <x:t xml:space="preserve">In Progress</x:t>
        </x:is>
      </x:c>
      <x:c r="K24" s="30" t="inlineStr">
        <x:is>
          <x:t xml:space="preserve">Complete every Friday</x:t>
        </x:is>
      </x:c>
      <x:c r="L24" s="30" t="inlineStr">
        <x:is>
          <x:t xml:space="preserve">Use Weekly Command Center.</x:t>
        </x:is>
      </x:c>
    </x:row>
  </x:sheetData>
  <x:mergeCells>
    <x:mergeCell ref="A2:L2"/>
    <x:mergeCell ref="A1:L1"/>
  </x:mergeCells>
  <x:dataValidations count="2">
    <x:dataValidation type="list" allowBlank="1" showDropDown="0" showInputMessage="0" showErrorMessage="0" errorTitle="Invalid value" error="Choose a value from the dropdown." sqref="F5:F24">
      <x:formula1>"P0,P1,P2,P3"</x:formula1>
    </x:dataValidation>
    <x:dataValidation type="list" allowBlank="1" showDropDown="0" showInputMessage="0" showErrorMessage="0" errorTitle="Invalid value" error="Choose a value from the dropdown." sqref="J5:J24">
      <x:formula1>"Not Started,In Progress,Done,Blocked,Skipped"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99f775ccfa4be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5" customWidth="1"/>
    <x:col min="3" max="3" width="42" customWidth="1"/>
    <x:col min="4" max="4" width="27" customWidth="1"/>
    <x:col min="5" max="5" width="25" customWidth="1"/>
    <x:col min="6" max="6" width="11" customWidth="1"/>
    <x:col min="7" max="7" width="44" customWidth="1"/>
    <x:col min="8" max="8" width="38" customWidth="1"/>
    <x:col min="9" max="9" width="15" customWidth="1"/>
    <x:col min="10" max="10" width="34" customWidth="1"/>
  </x:cols>
  <x:sheetData>
    <x:row r="1" ht="30" customHeight="1">
      <x:c r="A1" s="26" t="inlineStr">
        <x:is>
          <x:t xml:space="preserve">GROWTH, HIRING &amp; OFFICE GATES</x:t>
        </x:is>
      </x:c>
    </x:row>
    <x:row r="2" ht="34" customHeight="1">
      <x:c r="A2" s="27" t="inlineStr">
        <x:is>
          <x:t xml:space="preserve">A gate is a condition, not a mood. Keep the default at NO until the evidence and cash requirement are both true.</x:t>
        </x:is>
      </x:c>
    </x:row>
    <x:row r="3"/>
    <x:row r="4" ht="38" customHeight="1">
      <x:c r="A4" s="84" t="inlineStr">
        <x:is>
          <x:t xml:space="preserve">Gate ID</x:t>
        </x:is>
      </x:c>
      <x:c r="B4" s="84" t="inlineStr">
        <x:is>
          <x:t xml:space="preserve">Decision Unlocked</x:t>
        </x:is>
      </x:c>
      <x:c r="C4" s="84" t="inlineStr">
        <x:is>
          <x:t xml:space="preserve">Requirement / Metric</x:t>
        </x:is>
      </x:c>
      <x:c r="D4" s="84" t="inlineStr">
        <x:is>
          <x:t xml:space="preserve">Target</x:t>
        </x:is>
      </x:c>
      <x:c r="E4" s="84" t="inlineStr">
        <x:is>
          <x:t xml:space="preserve">Current</x:t>
        </x:is>
      </x:c>
      <x:c r="F4" s="84" t="inlineStr">
        <x:is>
          <x:t xml:space="preserve">Passed?</x:t>
        </x:is>
      </x:c>
      <x:c r="G4" s="84" t="inlineStr">
        <x:is>
          <x:t xml:space="preserve">Why This Gate Exists</x:t>
        </x:is>
      </x:c>
      <x:c r="H4" s="84" t="inlineStr">
        <x:is>
          <x:t xml:space="preserve">Action If Not Passed</x:t>
        </x:is>
      </x:c>
      <x:c r="I4" s="84" t="inlineStr">
        <x:is>
          <x:t xml:space="preserve">Review Cadence</x:t>
        </x:is>
      </x:c>
      <x:c r="J4" s="84" t="inlineStr">
        <x:is>
          <x:t xml:space="preserve">Notes</x:t>
        </x:is>
      </x:c>
    </x:row>
    <x:row r="5" ht="34" customHeight="1">
      <x:c r="A5" s="31" t="inlineStr">
        <x:is>
          <x:t xml:space="preserve">GG01</x:t>
        </x:is>
      </x:c>
      <x:c r="B5" s="31" t="inlineStr">
        <x:is>
          <x:t xml:space="preserve">Run first paid ad</x:t>
        </x:is>
      </x:c>
      <x:c r="C5" s="31" t="inlineStr">
        <x:is>
          <x:t xml:space="preserve">Tracking, support, store/paywall and D7 measurement ready</x:t>
        </x:is>
      </x:c>
      <x:c r="D5" s="31" t="inlineStr">
        <x:is>
          <x:t xml:space="preserve">All 4 controls</x:t>
        </x:is>
      </x:c>
      <x:c r="E5" s="31" t="inlineStr">
        <x:is>
          <x:t xml:space="preserve">Manual review</x:t>
        </x:is>
      </x:c>
      <x:c r="F5" s="75" t="inlineStr">
        <x:is>
          <x:t xml:space="preserve">No</x:t>
        </x:is>
      </x:c>
      <x:c r="G5" s="31" t="inlineStr">
        <x:is>
          <x:t xml:space="preserve">Paid traffic magnifies weak onboarding and unclear value.</x:t>
        </x:is>
      </x:c>
      <x:c r="H5" s="31" t="inlineStr">
        <x:is>
          <x:t xml:space="preserve">Keep organic; fix measurement and first value.</x:t>
        </x:is>
      </x:c>
      <x:c r="I5" s="31" t="inlineStr">
        <x:is>
          <x:t xml:space="preserve">Weekly</x:t>
        </x:is>
      </x:c>
      <x:c r="J5" s="31" t="inlineStr">
        <x:is>
          <x:t xml:space="preserve">Use Ads Testing only after Yes.</x:t>
        </x:is>
      </x:c>
    </x:row>
    <x:row r="6" ht="34" customHeight="1">
      <x:c r="A6" s="30" t="inlineStr">
        <x:is>
          <x:t xml:space="preserve">GG02</x:t>
        </x:is>
      </x:c>
      <x:c r="B6" s="30" t="inlineStr">
        <x:is>
          <x:t xml:space="preserve">Repeat/scale ads</x:t>
        </x:is>
      </x:c>
      <x:c r="C6" s="30" t="inlineStr">
        <x:is>
          <x:t xml:space="preserve">CPI under cap AND activation/paid conversion at gate</x:t>
        </x:is>
      </x:c>
      <x:c r="D6" s="30" t="inlineStr">
        <x:is>
          <x:t xml:space="preserve">CPI ≤ cap; metrics pass</x:t>
        </x:is>
      </x:c>
      <x:c r="E6" s="30" t="inlineStr">
        <x:is>
          <x:t xml:space="preserve">From Ads Testing</x:t>
        </x:is>
      </x:c>
      <x:c r="F6" s="76" t="inlineStr">
        <x:is>
          <x:t xml:space="preserve">No</x:t>
        </x:is>
      </x:c>
      <x:c r="G6" s="30" t="inlineStr">
        <x:is>
          <x:t xml:space="preserve">Cheap installs are not useful if they do not activate or pay.</x:t>
        </x:is>
      </x:c>
      <x:c r="H6" s="30" t="inlineStr">
        <x:is>
          <x:t xml:space="preserve">Kill or revise one variable.</x:t>
        </x:is>
      </x:c>
      <x:c r="I6" s="30" t="inlineStr">
        <x:is>
          <x:t xml:space="preserve">Per test</x:t>
        </x:is>
      </x:c>
      <x:c r="J6" s="30" t="inlineStr">
        <x:is>
          <x:t xml:space="preserve"/>
        </x:is>
      </x:c>
    </x:row>
    <x:row r="7" ht="34" customHeight="1">
      <x:c r="A7" s="31" t="inlineStr">
        <x:is>
          <x:t xml:space="preserve">GG03</x:t>
        </x:is>
      </x:c>
      <x:c r="B7" s="31" t="inlineStr">
        <x:is>
          <x:t xml:space="preserve">Pay a micro-creator</x:t>
        </x:is>
      </x:c>
      <x:c r="C7" s="31" t="inlineStr">
        <x:is>
          <x:t xml:space="preserve">Unique code/link, approved claims and paid-user tracking</x:t>
        </x:is>
      </x:c>
      <x:c r="D7" s="31" t="inlineStr">
        <x:is>
          <x:t xml:space="preserve">All controls</x:t>
        </x:is>
      </x:c>
      <x:c r="E7" s="31" t="inlineStr">
        <x:is>
          <x:t xml:space="preserve">Manual review</x:t>
        </x:is>
      </x:c>
      <x:c r="F7" s="75" t="inlineStr">
        <x:is>
          <x:t xml:space="preserve">No</x:t>
        </x:is>
      </x:c>
      <x:c r="G7" s="31" t="inlineStr">
        <x:is>
          <x:t xml:space="preserve">Views without attribution can consume a full week of funding.</x:t>
        </x:is>
      </x:c>
      <x:c r="H7" s="31" t="inlineStr">
        <x:is>
          <x:t xml:space="preserve">Use barter/organic collaboration or wait.</x:t>
        </x:is>
      </x:c>
      <x:c r="I7" s="31" t="inlineStr">
        <x:is>
          <x:t xml:space="preserve">Per creator</x:t>
        </x:is>
      </x:c>
      <x:c r="J7" s="31" t="inlineStr">
        <x:is>
          <x:t xml:space="preserve"/>
        </x:is>
      </x:c>
    </x:row>
    <x:row r="8" ht="34" customHeight="1">
      <x:c r="A8" s="30" t="inlineStr">
        <x:is>
          <x:t xml:space="preserve">GG04</x:t>
        </x:is>
      </x:c>
      <x:c r="B8" s="30" t="inlineStr">
        <x:is>
          <x:t xml:space="preserve">Add a second paid channel</x:t>
        </x:is>
      </x:c>
      <x:c r="C8" s="30" t="inlineStr">
        <x:is>
          <x:t xml:space="preserve">One channel has 3 repeatable profitable tests</x:t>
        </x:is>
      </x:c>
      <x:c r="D8" s="30" t="inlineStr">
        <x:is>
          <x:t xml:space="preserve">3 tests</x:t>
        </x:is>
      </x:c>
      <x:c r="E8" s="30" t="inlineStr">
        <x:is>
          <x:t xml:space="preserve">0</x:t>
        </x:is>
      </x:c>
      <x:c r="F8" s="76" t="inlineStr">
        <x:is>
          <x:t xml:space="preserve">No</x:t>
        </x:is>
      </x:c>
      <x:c r="G8" s="30" t="inlineStr">
        <x:is>
          <x:t xml:space="preserve">Spreading a tiny budget hides learning.</x:t>
        </x:is>
      </x:c>
      <x:c r="H8" s="30" t="inlineStr">
        <x:is>
          <x:t xml:space="preserve">Stay on one channel.</x:t>
        </x:is>
      </x:c>
      <x:c r="I8" s="30" t="inlineStr">
        <x:is>
          <x:t xml:space="preserve">Monthly</x:t>
        </x:is>
      </x:c>
      <x:c r="J8" s="30" t="inlineStr">
        <x:is>
          <x:t xml:space="preserve"/>
        </x:is>
      </x:c>
    </x:row>
    <x:row r="9" ht="34" customHeight="1">
      <x:c r="A9" s="31" t="inlineStr">
        <x:is>
          <x:t xml:space="preserve">GG05</x:t>
        </x:is>
      </x:c>
      <x:c r="B9" s="31" t="inlineStr">
        <x:is>
          <x:t xml:space="preserve">Expand to another corridor</x:t>
        </x:is>
      </x:c>
      <x:c r="C9" s="31" t="inlineStr">
        <x:is>
          <x:t xml:space="preserve">Priority corridor data is fresh and trusted</x:t>
        </x:is>
      </x:c>
      <x:c r="D9" s="31" t="inlineStr">
        <x:is>
          <x:t xml:space="preserve">≥50 verified records; refresh process</x:t>
        </x:is>
      </x:c>
      <x:c r="E9" s="31" t="inlineStr">
        <x:is>
          <x:t xml:space="preserve">From Road Data Ops</x:t>
        </x:is>
      </x:c>
      <x:c r="F9" s="75" t="inlineStr">
        <x:is>
          <x:t xml:space="preserve">No</x:t>
        </x:is>
      </x:c>
      <x:c r="G9" s="31" t="inlineStr">
        <x:is>
          <x:t xml:space="preserve">Breadth before trust weakens the product moat.</x:t>
        </x:is>
      </x:c>
      <x:c r="H9" s="31" t="inlineStr">
        <x:is>
          <x:t xml:space="preserve">Deepen the current corridor.</x:t>
        </x:is>
      </x:c>
      <x:c r="I9" s="31" t="inlineStr">
        <x:is>
          <x:t xml:space="preserve">Monthly</x:t>
        </x:is>
      </x:c>
      <x:c r="J9" s="31" t="inlineStr">
        <x:is>
          <x:t xml:space="preserve"/>
        </x:is>
      </x:c>
    </x:row>
    <x:row r="10" ht="34" customHeight="1">
      <x:c r="A10" s="30" t="inlineStr">
        <x:is>
          <x:t xml:space="preserve">GG06</x:t>
        </x:is>
      </x:c>
      <x:c r="B10" s="30" t="inlineStr">
        <x:is>
          <x:t xml:space="preserve">Hire a contractor</x:t>
        </x:is>
      </x:c>
      <x:c r="C10" s="30" t="inlineStr">
        <x:is>
          <x:t xml:space="preserve">Recurring bottleneck saves ≥5 founder hours and SOP exists</x:t>
        </x:is>
      </x:c>
      <x:c r="D10" s="30" t="inlineStr">
        <x:is>
          <x:t xml:space="preserve">5 hours + SOP</x:t>
        </x:is>
      </x:c>
      <x:c r="E10" s="30" t="inlineStr">
        <x:is>
          <x:t xml:space="preserve">Manual review</x:t>
        </x:is>
      </x:c>
      <x:c r="F10" s="76" t="inlineStr">
        <x:is>
          <x:t xml:space="preserve">No</x:t>
        </x:is>
      </x:c>
      <x:c r="G10" s="30" t="inlineStr">
        <x:is>
          <x:t xml:space="preserve">A specific output can be delegated without creating management chaos.</x:t>
        </x:is>
      </x:c>
      <x:c r="H10" s="30" t="inlineStr">
        <x:is>
          <x:t xml:space="preserve">Document process and batch work.</x:t>
        </x:is>
      </x:c>
      <x:c r="I10" s="30" t="inlineStr">
        <x:is>
          <x:t xml:space="preserve">Weekly</x:t>
        </x:is>
      </x:c>
      <x:c r="J10" s="30" t="inlineStr">
        <x:is>
          <x:t xml:space="preserve">Cap at Assumptions contractor limit.</x:t>
        </x:is>
      </x:c>
    </x:row>
    <x:row r="11" ht="34" customHeight="1">
      <x:c r="A11" s="31" t="inlineStr">
        <x:is>
          <x:t xml:space="preserve">GG07</x:t>
        </x:is>
      </x:c>
      <x:c r="B11" s="31" t="inlineStr">
        <x:is>
          <x:t xml:space="preserve">Hire full-time employee</x:t>
        </x:is>
      </x:c>
      <x:c r="C11" s="31" t="inlineStr">
        <x:is>
          <x:t xml:space="preserve">Net recurring revenue covers 1.5× total monthly role cost for 3 months AND reserve covers 3 months</x:t>
        </x:is>
      </x:c>
      <x:c r="D11" s="31" t="inlineStr">
        <x:is>
          <x:t xml:space="preserve">Both conditions</x:t>
        </x:is>
      </x:c>
      <x:c r="E11" s="31" t="inlineStr">
        <x:is>
          <x:t xml:space="preserve">Not met</x:t>
        </x:is>
      </x:c>
      <x:c r="F11" s="75" t="inlineStr">
        <x:is>
          <x:t xml:space="preserve">No</x:t>
        </x:is>
      </x:c>
      <x:c r="G11" s="31" t="inlineStr">
        <x:is>
          <x:t xml:space="preserve">Salary is a recurring obligation, not a one-off experiment.</x:t>
        </x:is>
      </x:c>
      <x:c r="H11" s="31" t="inlineStr">
        <x:is>
          <x:t xml:space="preserve">Use founder + output contractor.</x:t>
        </x:is>
      </x:c>
      <x:c r="I11" s="31" t="inlineStr">
        <x:is>
          <x:t xml:space="preserve">Monthly</x:t>
        </x:is>
      </x:c>
      <x:c r="J11" s="31" t="inlineStr">
        <x:is>
          <x:t xml:space="preserve">Default NO.</x:t>
        </x:is>
      </x:c>
    </x:row>
    <x:row r="12" ht="34" customHeight="1">
      <x:c r="A12" s="30" t="inlineStr">
        <x:is>
          <x:t xml:space="preserve">GG08</x:t>
        </x:is>
      </x:c>
      <x:c r="B12" s="30" t="inlineStr">
        <x:is>
          <x:t xml:space="preserve">Take an office</x:t>
        </x:is>
      </x:c>
      <x:c r="C12" s="30" t="inlineStr">
        <x:is>
          <x:t xml:space="preserve">Physical operations require it AND revenue covers 3× rent/overheads for 6 months</x:t>
        </x:is>
      </x:c>
      <x:c r="D12" s="30" t="inlineStr">
        <x:is>
          <x:t xml:space="preserve">Both conditions</x:t>
        </x:is>
      </x:c>
      <x:c r="E12" s="30" t="inlineStr">
        <x:is>
          <x:t xml:space="preserve">Not met</x:t>
        </x:is>
      </x:c>
      <x:c r="F12" s="76" t="inlineStr">
        <x:is>
          <x:t xml:space="preserve">No</x:t>
        </x:is>
      </x:c>
      <x:c r="G12" s="30" t="inlineStr">
        <x:is>
          <x:t xml:space="preserve">Office appearance does not create users or reliable data.</x:t>
        </x:is>
      </x:c>
      <x:c r="H12" s="30" t="inlineStr">
        <x:is>
          <x:t xml:space="preserve">Remote, cafes or pay-per-use meeting space.</x:t>
        </x:is>
      </x:c>
      <x:c r="I12" s="30" t="inlineStr">
        <x:is>
          <x:t xml:space="preserve">Quarterly</x:t>
        </x:is>
      </x:c>
      <x:c r="J12" s="30" t="inlineStr">
        <x:is>
          <x:t xml:space="preserve">Default NO.</x:t>
        </x:is>
      </x:c>
    </x:row>
    <x:row r="13" ht="34" customHeight="1">
      <x:c r="A13" s="31" t="inlineStr">
        <x:is>
          <x:t xml:space="preserve">GG09</x:t>
        </x:is>
      </x:c>
      <x:c r="B13" s="31" t="inlineStr">
        <x:is>
          <x:t xml:space="preserve">Increase content above 4 core posts</x:t>
        </x:is>
      </x:c>
      <x:c r="C13" s="31" t="inlineStr">
        <x:is>
          <x:t xml:space="preserve">4 core posts sustained for 4 weeks without product/support slippage</x:t>
        </x:is>
      </x:c>
      <x:c r="D13" s="31" t="inlineStr">
        <x:is>
          <x:t xml:space="preserve">4 weeks</x:t>
        </x:is>
      </x:c>
      <x:c r="E13" s="31" t="inlineStr">
        <x:is>
          <x:t xml:space="preserve">0</x:t>
        </x:is>
      </x:c>
      <x:c r="F13" s="75" t="inlineStr">
        <x:is>
          <x:t xml:space="preserve">No</x:t>
        </x:is>
      </x:c>
      <x:c r="G13" s="31" t="inlineStr">
        <x:is>
          <x:t xml:space="preserve">More content is harmful if it steals reliability and user work.</x:t>
        </x:is>
      </x:c>
      <x:c r="H13" s="31" t="inlineStr">
        <x:is>
          <x:t xml:space="preserve">Repurpose; keep cadence at four.</x:t>
        </x:is>
      </x:c>
      <x:c r="I13" s="31" t="inlineStr">
        <x:is>
          <x:t xml:space="preserve">Monthly</x:t>
        </x:is>
      </x:c>
      <x:c r="J13" s="31" t="inlineStr">
        <x:is>
          <x:t xml:space="preserve"/>
        </x:is>
      </x:c>
    </x:row>
    <x:row r="14" ht="34" customHeight="1">
      <x:c r="A14" s="30" t="inlineStr">
        <x:is>
          <x:t xml:space="preserve">GG10</x:t>
        </x:is>
      </x:c>
      <x:c r="B14" s="30" t="inlineStr">
        <x:is>
          <x:t xml:space="preserve">Build a major new feature</x:t>
        </x:is>
      </x:c>
      <x:c r="C14" s="30" t="inlineStr">
        <x:is>
          <x:t xml:space="preserve">Repeated paying-user demand and measurable retention/revenue hypothesis</x:t>
        </x:is>
      </x:c>
      <x:c r="D14" s="30" t="inlineStr">
        <x:is>
          <x:t xml:space="preserve">≥10 aligned requests</x:t>
        </x:is>
      </x:c>
      <x:c r="E14" s="30" t="inlineStr">
        <x:is>
          <x:t xml:space="preserve">From User Research</x:t>
        </x:is>
      </x:c>
      <x:c r="F14" s="76" t="inlineStr">
        <x:is>
          <x:t xml:space="preserve">No</x:t>
        </x:is>
      </x:c>
      <x:c r="G14" s="30" t="inlineStr">
        <x:is>
          <x:t xml:space="preserve">Competitor anxiety can cause random building.</x:t>
        </x:is>
      </x:c>
      <x:c r="H14" s="30" t="inlineStr">
        <x:is>
          <x:t xml:space="preserve">Fix current first value and reliability.</x:t>
        </x:is>
      </x:c>
      <x:c r="I14" s="30" t="inlineStr">
        <x:is>
          <x:t xml:space="preserve">Monthly</x:t>
        </x:is>
      </x:c>
      <x:c r="J14" s="30" t="inlineStr">
        <x:is>
          <x:t xml:space="preserve"/>
        </x:is>
      </x:c>
    </x:row>
    <x:row r="15" ht="34" customHeight="1">
      <x:c r="A15" s="31" t="inlineStr">
        <x:is>
          <x:t xml:space="preserve">GG11</x:t>
        </x:is>
      </x:c>
      <x:c r="B15" s="31" t="inlineStr">
        <x:is>
          <x:t xml:space="preserve">Move off Replit</x:t>
        </x:is>
      </x:c>
      <x:c r="C15" s="31" t="inlineStr">
        <x:is>
          <x:t xml:space="preserve">Reliability, scale, control or cost risk exceeds migration cost</x:t>
        </x:is>
      </x:c>
      <x:c r="D15" s="31" t="inlineStr">
        <x:is>
          <x:t xml:space="preserve">Documented case</x:t>
        </x:is>
      </x:c>
      <x:c r="E15" s="31" t="inlineStr">
        <x:is>
          <x:t xml:space="preserve">Monitor</x:t>
        </x:is>
      </x:c>
      <x:c r="F15" s="75" t="inlineStr">
        <x:is>
          <x:t xml:space="preserve">No</x:t>
        </x:is>
      </x:c>
      <x:c r="G15" s="31" t="inlineStr">
        <x:is>
          <x:t xml:space="preserve">Migration should solve a real risk, not create one.</x:t>
        </x:is>
      </x:c>
      <x:c r="H15" s="31" t="inlineStr">
        <x:is>
          <x:t xml:space="preserve">Maintain backups and continuity SOP.</x:t>
        </x:is>
      </x:c>
      <x:c r="I15" s="31" t="inlineStr">
        <x:is>
          <x:t xml:space="preserve">Monthly</x:t>
        </x:is>
      </x:c>
      <x:c r="J15" s="31" t="inlineStr">
        <x:is>
          <x:t xml:space="preserve"/>
        </x:is>
      </x:c>
    </x:row>
    <x:row r="16" ht="34" customHeight="1">
      <x:c r="A16" s="30" t="inlineStr">
        <x:is>
          <x:t xml:space="preserve">GG12</x:t>
        </x:is>
      </x:c>
      <x:c r="B16" s="30" t="inlineStr">
        <x:is>
          <x:t xml:space="preserve">Increase weekly founder funding spend</x:t>
        </x:is>
      </x:c>
      <x:c r="C16" s="30" t="inlineStr">
        <x:is>
          <x:t xml:space="preserve">Actual cash, reserve and revenue support larger envelope</x:t>
        </x:is>
      </x:c>
      <x:c r="D16" s="30" t="inlineStr">
        <x:is>
          <x:t xml:space="preserve">Reserve target + positive trend</x:t>
        </x:is>
      </x:c>
      <x:c r="E16" s="30" t="inlineStr">
        <x:is>
          <x:t xml:space="preserve">From Cash &amp; Runway</x:t>
        </x:is>
      </x:c>
      <x:c r="F16" s="76" t="inlineStr">
        <x:is>
          <x:t xml:space="preserve">No</x:t>
        </x:is>
      </x:c>
      <x:c r="G16" s="30" t="inlineStr">
        <x:is>
          <x:t xml:space="preserve">Funding availability is not permission to create fixed burn.</x:t>
        </x:is>
      </x:c>
      <x:c r="H16" s="30" t="inlineStr">
        <x:is>
          <x:t xml:space="preserve">Keep surplus in reserve/operating cash.</x:t>
        </x:is>
      </x:c>
      <x:c r="I16" s="30" t="inlineStr">
        <x:is>
          <x:t xml:space="preserve">Monthly</x:t>
        </x:is>
      </x:c>
      <x:c r="J16" s="30" t="inlineStr">
        <x:is>
          <x:t xml:space="preserve"/>
        </x:is>
      </x:c>
    </x:row>
  </x:sheetData>
  <x:mergeCells>
    <x:mergeCell ref="A1:J1"/>
    <x:mergeCell ref="A2:J2"/>
  </x:mergeCells>
  <x:dataValidations count="1">
    <x:dataValidation type="list" allowBlank="1" showDropDown="0" showInputMessage="0" showErrorMessage="0" errorTitle="Invalid value" error="Choose a value from the dropdown." sqref="F5:F16">
      <x:formula1>"Yes,No,Waiting,Not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4a9bd13f204c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13" customWidth="1"/>
    <x:col min="3" max="3" width="28" customWidth="1"/>
    <x:col min="4" max="4" width="13" customWidth="1"/>
    <x:col min="5" max="5" width="10" customWidth="1"/>
    <x:col min="6" max="6" width="13" customWidth="1"/>
    <x:col min="7" max="7" width="12" customWidth="1"/>
    <x:col min="8" max="8" width="13" customWidth="1"/>
    <x:col min="9" max="9" width="14" customWidth="1"/>
    <x:col min="10" max="10" width="16" customWidth="1"/>
    <x:col min="11" max="11" width="15" customWidth="1"/>
    <x:col min="12" max="12" width="12" customWidth="1"/>
    <x:col min="13" max="13" width="11" customWidth="1"/>
    <x:col min="14" max="14" width="16" customWidth="1"/>
    <x:col min="15" max="15" width="15" customWidth="1"/>
    <x:col min="16" max="16" width="20" customWidth="1"/>
    <x:col min="17" max="17" width="13" customWidth="1"/>
    <x:col min="18" max="18" width="14" customWidth="1"/>
    <x:col min="19" max="19" width="38" customWidth="1"/>
    <x:col min="20" max="20" width="35" customWidth="1"/>
    <x:col min="21" max="21" width="38" customWidth="1"/>
    <x:col min="22" max="22" width="14" customWidth="1"/>
  </x:cols>
  <x:sheetData>
    <x:row r="1" ht="30" customHeight="1">
      <x:c r="A1" s="26" t="inlineStr">
        <x:is>
          <x:t xml:space="preserve">WEEKLY FOUNDER REVIEW</x:t>
        </x:is>
      </x:c>
    </x:row>
    <x:row r="2" ht="34" customHeight="1">
      <x:c r="A2" s="27" t="inlineStr">
        <x:is>
          <x:t xml:space="preserve">Complete every Friday after reconciling cash and subscriptions. The review turns activity into decisions for the next week.</x:t>
        </x:is>
      </x:c>
    </x:row>
    <x:row r="3"/>
    <x:row r="4" ht="38" customHeight="1">
      <x:c r="A4" s="77" t="inlineStr">
        <x:is>
          <x:t xml:space="preserve">Week</x:t>
        </x:is>
      </x:c>
      <x:c r="B4" s="77" t="inlineStr">
        <x:is>
          <x:t xml:space="preserve">Friday</x:t>
        </x:is>
      </x:c>
      <x:c r="C4" s="77" t="inlineStr">
        <x:is>
          <x:t xml:space="preserve">Phase</x:t>
        </x:is>
      </x:c>
      <x:c r="D4" s="77" t="inlineStr">
        <x:is>
          <x:t xml:space="preserve">New Downloads</x:t>
        </x:is>
      </x:c>
      <x:c r="E4" s="77" t="inlineStr">
        <x:is>
          <x:t xml:space="preserve">New Paid</x:t>
        </x:is>
      </x:c>
      <x:c r="F4" s="77" t="inlineStr">
        <x:is>
          <x:t xml:space="preserve">Active Paid End</x:t>
        </x:is>
      </x:c>
      <x:c r="G4" s="77" t="inlineStr">
        <x:is>
          <x:t xml:space="preserve">Activation %</x:t>
        </x:is>
      </x:c>
      <x:c r="H4" s="77" t="inlineStr">
        <x:is>
          <x:t xml:space="preserve">D7 Retention %</x:t>
        </x:is>
      </x:c>
      <x:c r="I4" s="77" t="inlineStr">
        <x:is>
          <x:t xml:space="preserve">Gross Sales KES</x:t>
        </x:is>
      </x:c>
      <x:c r="J4" s="77" t="inlineStr">
        <x:is>
          <x:t xml:space="preserve">Cash Received KES</x:t>
        </x:is>
      </x:c>
      <x:c r="K4" s="77" t="inlineStr">
        <x:is>
          <x:t xml:space="preserve">Content Core Planned</x:t>
        </x:is>
      </x:c>
      <x:c r="L4" s="77" t="inlineStr">
        <x:is>
          <x:t xml:space="preserve">Core Posted</x:t>
        </x:is>
      </x:c>
      <x:c r="M4" s="77" t="inlineStr">
        <x:is>
          <x:t xml:space="preserve">Field Km</x:t>
        </x:is>
      </x:c>
      <x:c r="N4" s="77" t="inlineStr">
        <x:is>
          <x:t xml:space="preserve">Fuel/Trip Cost KES</x:t>
        </x:is>
      </x:c>
      <x:c r="O4" s="77" t="inlineStr">
        <x:is>
          <x:t xml:space="preserve">Verified Records</x:t>
        </x:is>
      </x:c>
      <x:c r="P4" s="77" t="inlineStr">
        <x:is>
          <x:t xml:space="preserve">Paying-User Conversations</x:t>
        </x:is>
      </x:c>
      <x:c r="Q4" s="77" t="inlineStr">
        <x:is>
          <x:t xml:space="preserve">Ad Spend KES</x:t>
        </x:is>
      </x:c>
      <x:c r="R4" s="77" t="inlineStr">
        <x:is>
          <x:t xml:space="preserve">Creator Spend KES</x:t>
        </x:is>
      </x:c>
      <x:c r="S4" s="77" t="inlineStr">
        <x:is>
          <x:t xml:space="preserve">Main Learning</x:t>
        </x:is>
      </x:c>
      <x:c r="T4" s="77" t="inlineStr">
        <x:is>
          <x:t xml:space="preserve">Stop / Continue / Start</x:t>
        </x:is>
      </x:c>
      <x:c r="U4" s="77" t="inlineStr">
        <x:is>
          <x:t xml:space="preserve">Next Week Decision</x:t>
        </x:is>
      </x:c>
      <x:c r="V4" s="77" t="inlineStr">
        <x:is>
          <x:t xml:space="preserve">Founder Energy 1–5</x:t>
        </x:is>
      </x:c>
    </x:row>
    <x:row r="5">
      <x:c r="A5" s="31" t="n">
        <x:v>1</x:v>
      </x:c>
      <x:c r="B5" s="78" t="n">
        <x:v>46248</x:v>
      </x:c>
      <x:c r="C5" s="31" t="inlineStr">
        <x:is>
          <x:t xml:space="preserve">1. Stabilize Live App</x:t>
        </x:is>
      </x:c>
      <x:c r="D5" s="85" t="n">
        <x:f>'Revenue &amp; Subscriptions'!C5</x:f>
        <x:v>0</x:v>
      </x:c>
      <x:c r="E5" s="85" t="n">
        <x:f>'Revenue &amp; Subscriptions'!E5</x:f>
        <x:v>0</x:v>
      </x:c>
      <x:c r="F5" s="85" t="n">
        <x:f>'Revenue &amp; Subscriptions'!H5</x:f>
        <x:v>0</x:v>
      </x:c>
      <x:c r="G5" s="59" t="n">
        <x:v>0</x:v>
      </x:c>
      <x:c r="H5" s="59" t="n">
        <x:v>0</x:v>
      </x:c>
      <x:c r="I5" s="47" t="n">
        <x:f>'Revenue &amp; Subscriptions'!I5</x:f>
        <x:v>0</x:v>
      </x:c>
      <x:c r="J5" s="47" t="n">
        <x:f>'Revenue &amp; Subscriptions'!M5</x:f>
        <x:v>0</x:v>
      </x:c>
      <x:c r="K5" s="85" t="n">
        <x:f>COUNTIFS('Phase 1 Calendar'!$D$5:$D$300,A5,'Phase 1 Calendar'!$AF$5:$AF$300,"Core")</x:f>
        <x:v>4</x:v>
      </x:c>
      <x:c r="L5" s="85" t="n">
        <x:f>COUNTIFS('Phase 1 Calendar'!$D$5:$D$300,A5,'Phase 1 Calendar'!$AF$5:$AF$300,"Core",'Phase 1 Calendar'!$W$5:$W$300,"Posted")</x:f>
        <x:v>0</x:v>
      </x:c>
      <x:c r="M5" s="95" t="n">
        <x:f>SUMIFS('Fuel &amp; Field Ops'!$H$11:$H$110,'Fuel &amp; Field Ops'!$C$11:$C$110,A5)</x:f>
        <x:v>0</x:v>
      </x:c>
      <x:c r="N5" s="47" t="n">
        <x:f>SUMIFS('Fuel &amp; Field Ops'!$P$11:$P$110,'Fuel &amp; Field Ops'!$C$11:$C$110,A5)</x:f>
        <x:v>0</x:v>
      </x:c>
      <x:c r="O5" s="85" t="n">
        <x:f>SUMIFS('Fuel &amp; Field Ops'!$S$11:$S$110,'Fuel &amp; Field Ops'!$C$11:$C$110,A5)</x:f>
        <x:v>0</x:v>
      </x:c>
      <x:c r="P5" s="58" t="n">
        <x:v>0</x:v>
      </x:c>
      <x:c r="Q5" s="47" t="n">
        <x:f>SUMIFS('Money Log'!$G$5:$G$204,'Money Log'!$C$5:$C$204,A5,'Money Log'!$D$5:$D$204,"Expense",'Money Log'!$E$5:$E$204,"Ads")</x:f>
        <x:v>0</x:v>
      </x:c>
      <x:c r="R5" s="47" t="n">
        <x:f>SUMIFS('Money Log'!$G$5:$G$204,'Money Log'!$C$5:$C$204,A5,'Money Log'!$D$5:$D$204,"Expense",'Money Log'!$E$5:$E$204,"Creator")</x:f>
        <x:v>0</x:v>
      </x:c>
      <x:c r="S5" s="75" t="inlineStr">
        <x:is>
          <x:t xml:space="preserve"/>
        </x:is>
      </x:c>
      <x:c r="T5" s="75" t="inlineStr">
        <x:is>
          <x:t xml:space="preserve"/>
        </x:is>
      </x:c>
      <x:c r="U5" s="75" t="inlineStr">
        <x:is>
          <x:t xml:space="preserve"/>
        </x:is>
      </x:c>
      <x:c r="V5" s="75" t="inlineStr">
        <x:is>
          <x:t xml:space="preserve"/>
        </x:is>
      </x:c>
    </x:row>
    <x:row r="6">
      <x:c r="A6" s="30" t="n">
        <x:v>2</x:v>
      </x:c>
      <x:c r="B6" s="79" t="n">
        <x:v>46255</x:v>
      </x:c>
      <x:c r="C6" s="30" t="inlineStr">
        <x:is>
          <x:t xml:space="preserve">1. Stabilize Live App</x:t>
        </x:is>
      </x:c>
      <x:c r="D6" s="87" t="n">
        <x:f>'Revenue &amp; Subscriptions'!C6</x:f>
        <x:v>0</x:v>
      </x:c>
      <x:c r="E6" s="87" t="n">
        <x:f>'Revenue &amp; Subscriptions'!E6</x:f>
        <x:v>0</x:v>
      </x:c>
      <x:c r="F6" s="87" t="n">
        <x:f>'Revenue &amp; Subscriptions'!H6</x:f>
        <x:v>0</x:v>
      </x:c>
      <x:c r="G6" s="59" t="n">
        <x:v>0</x:v>
      </x:c>
      <x:c r="H6" s="59" t="n">
        <x:v>0</x:v>
      </x:c>
      <x:c r="I6" s="45" t="n">
        <x:f>'Revenue &amp; Subscriptions'!I6</x:f>
        <x:v>0</x:v>
      </x:c>
      <x:c r="J6" s="45" t="n">
        <x:f>'Revenue &amp; Subscriptions'!M6</x:f>
        <x:v>0</x:v>
      </x:c>
      <x:c r="K6" s="87" t="n">
        <x:f>COUNTIFS('Phase 1 Calendar'!$D$5:$D$300,A6,'Phase 1 Calendar'!$AF$5:$AF$300,"Core")</x:f>
        <x:v>4</x:v>
      </x:c>
      <x:c r="L6" s="87" t="n">
        <x:f>COUNTIFS('Phase 1 Calendar'!$D$5:$D$300,A6,'Phase 1 Calendar'!$AF$5:$AF$300,"Core",'Phase 1 Calendar'!$W$5:$W$300,"Posted")</x:f>
        <x:v>0</x:v>
      </x:c>
      <x:c r="M6" s="96" t="n">
        <x:f>SUMIFS('Fuel &amp; Field Ops'!$H$11:$H$110,'Fuel &amp; Field Ops'!$C$11:$C$110,A6)</x:f>
        <x:v>0</x:v>
      </x:c>
      <x:c r="N6" s="45" t="n">
        <x:f>SUMIFS('Fuel &amp; Field Ops'!$P$11:$P$110,'Fuel &amp; Field Ops'!$C$11:$C$110,A6)</x:f>
        <x:v>0</x:v>
      </x:c>
      <x:c r="O6" s="87" t="n">
        <x:f>SUMIFS('Fuel &amp; Field Ops'!$S$11:$S$110,'Fuel &amp; Field Ops'!$C$11:$C$110,A6)</x:f>
        <x:v>0</x:v>
      </x:c>
      <x:c r="P6" s="58" t="n">
        <x:v>0</x:v>
      </x:c>
      <x:c r="Q6" s="45" t="n">
        <x:f>SUMIFS('Money Log'!$G$5:$G$204,'Money Log'!$C$5:$C$204,A6,'Money Log'!$D$5:$D$204,"Expense",'Money Log'!$E$5:$E$204,"Ads")</x:f>
        <x:v>0</x:v>
      </x:c>
      <x:c r="R6" s="45" t="n">
        <x:f>SUMIFS('Money Log'!$G$5:$G$204,'Money Log'!$C$5:$C$204,A6,'Money Log'!$D$5:$D$204,"Expense",'Money Log'!$E$5:$E$204,"Creator")</x:f>
        <x:v>0</x:v>
      </x:c>
      <x:c r="S6" s="76" t="inlineStr">
        <x:is>
          <x:t xml:space="preserve"/>
        </x:is>
      </x:c>
      <x:c r="T6" s="76" t="inlineStr">
        <x:is>
          <x:t xml:space="preserve"/>
        </x:is>
      </x:c>
      <x:c r="U6" s="76" t="inlineStr">
        <x:is>
          <x:t xml:space="preserve"/>
        </x:is>
      </x:c>
      <x:c r="V6" s="76" t="inlineStr">
        <x:is>
          <x:t xml:space="preserve"/>
        </x:is>
      </x:c>
    </x:row>
    <x:row r="7">
      <x:c r="A7" s="31" t="n">
        <x:v>3</x:v>
      </x:c>
      <x:c r="B7" s="78" t="n">
        <x:v>46262</x:v>
      </x:c>
      <x:c r="C7" s="31" t="inlineStr">
        <x:is>
          <x:t xml:space="preserve">2. Retention &amp; Paying-User Proof</x:t>
        </x:is>
      </x:c>
      <x:c r="D7" s="85" t="n">
        <x:f>'Revenue &amp; Subscriptions'!C7</x:f>
        <x:v>0</x:v>
      </x:c>
      <x:c r="E7" s="85" t="n">
        <x:f>'Revenue &amp; Subscriptions'!E7</x:f>
        <x:v>0</x:v>
      </x:c>
      <x:c r="F7" s="85" t="n">
        <x:f>'Revenue &amp; Subscriptions'!H7</x:f>
        <x:v>0</x:v>
      </x:c>
      <x:c r="G7" s="59" t="n">
        <x:v>0</x:v>
      </x:c>
      <x:c r="H7" s="59" t="n">
        <x:v>0</x:v>
      </x:c>
      <x:c r="I7" s="47" t="n">
        <x:f>'Revenue &amp; Subscriptions'!I7</x:f>
        <x:v>0</x:v>
      </x:c>
      <x:c r="J7" s="47" t="n">
        <x:f>'Revenue &amp; Subscriptions'!M7</x:f>
        <x:v>0</x:v>
      </x:c>
      <x:c r="K7" s="85" t="n">
        <x:f>COUNTIFS('Phase 1 Calendar'!$D$5:$D$300,A7,'Phase 1 Calendar'!$AF$5:$AF$300,"Core")</x:f>
        <x:v>4</x:v>
      </x:c>
      <x:c r="L7" s="85" t="n">
        <x:f>COUNTIFS('Phase 1 Calendar'!$D$5:$D$300,A7,'Phase 1 Calendar'!$AF$5:$AF$300,"Core",'Phase 1 Calendar'!$W$5:$W$300,"Posted")</x:f>
        <x:v>0</x:v>
      </x:c>
      <x:c r="M7" s="95" t="n">
        <x:f>SUMIFS('Fuel &amp; Field Ops'!$H$11:$H$110,'Fuel &amp; Field Ops'!$C$11:$C$110,A7)</x:f>
        <x:v>0</x:v>
      </x:c>
      <x:c r="N7" s="47" t="n">
        <x:f>SUMIFS('Fuel &amp; Field Ops'!$P$11:$P$110,'Fuel &amp; Field Ops'!$C$11:$C$110,A7)</x:f>
        <x:v>0</x:v>
      </x:c>
      <x:c r="O7" s="85" t="n">
        <x:f>SUMIFS('Fuel &amp; Field Ops'!$S$11:$S$110,'Fuel &amp; Field Ops'!$C$11:$C$110,A7)</x:f>
        <x:v>0</x:v>
      </x:c>
      <x:c r="P7" s="58" t="n">
        <x:v>0</x:v>
      </x:c>
      <x:c r="Q7" s="47" t="n">
        <x:f>SUMIFS('Money Log'!$G$5:$G$204,'Money Log'!$C$5:$C$204,A7,'Money Log'!$D$5:$D$204,"Expense",'Money Log'!$E$5:$E$204,"Ads")</x:f>
        <x:v>0</x:v>
      </x:c>
      <x:c r="R7" s="47" t="n">
        <x:f>SUMIFS('Money Log'!$G$5:$G$204,'Money Log'!$C$5:$C$204,A7,'Money Log'!$D$5:$D$204,"Expense",'Money Log'!$E$5:$E$204,"Creator")</x:f>
        <x:v>0</x:v>
      </x:c>
      <x:c r="S7" s="75" t="inlineStr">
        <x:is>
          <x:t xml:space="preserve"/>
        </x:is>
      </x:c>
      <x:c r="T7" s="75" t="inlineStr">
        <x:is>
          <x:t xml:space="preserve"/>
        </x:is>
      </x:c>
      <x:c r="U7" s="75" t="inlineStr">
        <x:is>
          <x:t xml:space="preserve"/>
        </x:is>
      </x:c>
      <x:c r="V7" s="75" t="inlineStr">
        <x:is>
          <x:t xml:space="preserve"/>
        </x:is>
      </x:c>
    </x:row>
    <x:row r="8">
      <x:c r="A8" s="30" t="n">
        <x:v>4</x:v>
      </x:c>
      <x:c r="B8" s="79" t="n">
        <x:v>46269</x:v>
      </x:c>
      <x:c r="C8" s="30" t="inlineStr">
        <x:is>
          <x:t xml:space="preserve">2. Retention &amp; Paying-User Proof</x:t>
        </x:is>
      </x:c>
      <x:c r="D8" s="87" t="n">
        <x:f>'Revenue &amp; Subscriptions'!C8</x:f>
        <x:v>0</x:v>
      </x:c>
      <x:c r="E8" s="87" t="n">
        <x:f>'Revenue &amp; Subscriptions'!E8</x:f>
        <x:v>0</x:v>
      </x:c>
      <x:c r="F8" s="87" t="n">
        <x:f>'Revenue &amp; Subscriptions'!H8</x:f>
        <x:v>0</x:v>
      </x:c>
      <x:c r="G8" s="59" t="n">
        <x:v>0</x:v>
      </x:c>
      <x:c r="H8" s="59" t="n">
        <x:v>0</x:v>
      </x:c>
      <x:c r="I8" s="45" t="n">
        <x:f>'Revenue &amp; Subscriptions'!I8</x:f>
        <x:v>0</x:v>
      </x:c>
      <x:c r="J8" s="45" t="n">
        <x:f>'Revenue &amp; Subscriptions'!M8</x:f>
        <x:v>0</x:v>
      </x:c>
      <x:c r="K8" s="87" t="n">
        <x:f>COUNTIFS('Phase 1 Calendar'!$D$5:$D$300,A8,'Phase 1 Calendar'!$AF$5:$AF$300,"Core")</x:f>
        <x:v>4</x:v>
      </x:c>
      <x:c r="L8" s="87" t="n">
        <x:f>COUNTIFS('Phase 1 Calendar'!$D$5:$D$300,A8,'Phase 1 Calendar'!$AF$5:$AF$300,"Core",'Phase 1 Calendar'!$W$5:$W$300,"Posted")</x:f>
        <x:v>0</x:v>
      </x:c>
      <x:c r="M8" s="96" t="n">
        <x:f>SUMIFS('Fuel &amp; Field Ops'!$H$11:$H$110,'Fuel &amp; Field Ops'!$C$11:$C$110,A8)</x:f>
        <x:v>0</x:v>
      </x:c>
      <x:c r="N8" s="45" t="n">
        <x:f>SUMIFS('Fuel &amp; Field Ops'!$P$11:$P$110,'Fuel &amp; Field Ops'!$C$11:$C$110,A8)</x:f>
        <x:v>0</x:v>
      </x:c>
      <x:c r="O8" s="87" t="n">
        <x:f>SUMIFS('Fuel &amp; Field Ops'!$S$11:$S$110,'Fuel &amp; Field Ops'!$C$11:$C$110,A8)</x:f>
        <x:v>0</x:v>
      </x:c>
      <x:c r="P8" s="58" t="n">
        <x:v>0</x:v>
      </x:c>
      <x:c r="Q8" s="45" t="n">
        <x:f>SUMIFS('Money Log'!$G$5:$G$204,'Money Log'!$C$5:$C$204,A8,'Money Log'!$D$5:$D$204,"Expense",'Money Log'!$E$5:$E$204,"Ads")</x:f>
        <x:v>0</x:v>
      </x:c>
      <x:c r="R8" s="45" t="n">
        <x:f>SUMIFS('Money Log'!$G$5:$G$204,'Money Log'!$C$5:$C$204,A8,'Money Log'!$D$5:$D$204,"Expense",'Money Log'!$E$5:$E$204,"Creator")</x:f>
        <x:v>0</x:v>
      </x:c>
      <x:c r="S8" s="76" t="inlineStr">
        <x:is>
          <x:t xml:space="preserve"/>
        </x:is>
      </x:c>
      <x:c r="T8" s="76" t="inlineStr">
        <x:is>
          <x:t xml:space="preserve"/>
        </x:is>
      </x:c>
      <x:c r="U8" s="76" t="inlineStr">
        <x:is>
          <x:t xml:space="preserve"/>
        </x:is>
      </x:c>
      <x:c r="V8" s="76" t="inlineStr">
        <x:is>
          <x:t xml:space="preserve"/>
        </x:is>
      </x:c>
    </x:row>
    <x:row r="9">
      <x:c r="A9" s="31" t="n">
        <x:v>5</x:v>
      </x:c>
      <x:c r="B9" s="78" t="n">
        <x:v>46276</x:v>
      </x:c>
      <x:c r="C9" s="31" t="inlineStr">
        <x:is>
          <x:t xml:space="preserve">2. Retention &amp; Paying-User Proof</x:t>
        </x:is>
      </x:c>
      <x:c r="D9" s="85" t="n">
        <x:f>'Revenue &amp; Subscriptions'!C9</x:f>
        <x:v>0</x:v>
      </x:c>
      <x:c r="E9" s="85" t="n">
        <x:f>'Revenue &amp; Subscriptions'!E9</x:f>
        <x:v>0</x:v>
      </x:c>
      <x:c r="F9" s="85" t="n">
        <x:f>'Revenue &amp; Subscriptions'!H9</x:f>
        <x:v>0</x:v>
      </x:c>
      <x:c r="G9" s="59" t="n">
        <x:v>0</x:v>
      </x:c>
      <x:c r="H9" s="59" t="n">
        <x:v>0</x:v>
      </x:c>
      <x:c r="I9" s="47" t="n">
        <x:f>'Revenue &amp; Subscriptions'!I9</x:f>
        <x:v>0</x:v>
      </x:c>
      <x:c r="J9" s="47" t="n">
        <x:f>'Revenue &amp; Subscriptions'!M9</x:f>
        <x:v>0</x:v>
      </x:c>
      <x:c r="K9" s="85" t="n">
        <x:f>COUNTIFS('Phase 1 Calendar'!$D$5:$D$300,A9,'Phase 1 Calendar'!$AF$5:$AF$300,"Core")</x:f>
        <x:v>4</x:v>
      </x:c>
      <x:c r="L9" s="85" t="n">
        <x:f>COUNTIFS('Phase 1 Calendar'!$D$5:$D$300,A9,'Phase 1 Calendar'!$AF$5:$AF$300,"Core",'Phase 1 Calendar'!$W$5:$W$300,"Posted")</x:f>
        <x:v>0</x:v>
      </x:c>
      <x:c r="M9" s="95" t="n">
        <x:f>SUMIFS('Fuel &amp; Field Ops'!$H$11:$H$110,'Fuel &amp; Field Ops'!$C$11:$C$110,A9)</x:f>
        <x:v>0</x:v>
      </x:c>
      <x:c r="N9" s="47" t="n">
        <x:f>SUMIFS('Fuel &amp; Field Ops'!$P$11:$P$110,'Fuel &amp; Field Ops'!$C$11:$C$110,A9)</x:f>
        <x:v>0</x:v>
      </x:c>
      <x:c r="O9" s="85" t="n">
        <x:f>SUMIFS('Fuel &amp; Field Ops'!$S$11:$S$110,'Fuel &amp; Field Ops'!$C$11:$C$110,A9)</x:f>
        <x:v>0</x:v>
      </x:c>
      <x:c r="P9" s="58" t="n">
        <x:v>0</x:v>
      </x:c>
      <x:c r="Q9" s="47" t="n">
        <x:f>SUMIFS('Money Log'!$G$5:$G$204,'Money Log'!$C$5:$C$204,A9,'Money Log'!$D$5:$D$204,"Expense",'Money Log'!$E$5:$E$204,"Ads")</x:f>
        <x:v>0</x:v>
      </x:c>
      <x:c r="R9" s="47" t="n">
        <x:f>SUMIFS('Money Log'!$G$5:$G$204,'Money Log'!$C$5:$C$204,A9,'Money Log'!$D$5:$D$204,"Expense",'Money Log'!$E$5:$E$204,"Creator")</x:f>
        <x:v>0</x:v>
      </x:c>
      <x:c r="S9" s="75" t="inlineStr">
        <x:is>
          <x:t xml:space="preserve"/>
        </x:is>
      </x:c>
      <x:c r="T9" s="75" t="inlineStr">
        <x:is>
          <x:t xml:space="preserve"/>
        </x:is>
      </x:c>
      <x:c r="U9" s="75" t="inlineStr">
        <x:is>
          <x:t xml:space="preserve"/>
        </x:is>
      </x:c>
      <x:c r="V9" s="75" t="inlineStr">
        <x:is>
          <x:t xml:space="preserve"/>
        </x:is>
      </x:c>
    </x:row>
    <x:row r="10">
      <x:c r="A10" s="30" t="n">
        <x:v>6</x:v>
      </x:c>
      <x:c r="B10" s="79" t="n">
        <x:v>46283</x:v>
      </x:c>
      <x:c r="C10" s="30" t="inlineStr">
        <x:is>
          <x:t xml:space="preserve">2. Retention &amp; Paying-User Proof</x:t>
        </x:is>
      </x:c>
      <x:c r="D10" s="87" t="n">
        <x:f>'Revenue &amp; Subscriptions'!C10</x:f>
        <x:v>0</x:v>
      </x:c>
      <x:c r="E10" s="87" t="n">
        <x:f>'Revenue &amp; Subscriptions'!E10</x:f>
        <x:v>0</x:v>
      </x:c>
      <x:c r="F10" s="87" t="n">
        <x:f>'Revenue &amp; Subscriptions'!H10</x:f>
        <x:v>0</x:v>
      </x:c>
      <x:c r="G10" s="59" t="n">
        <x:v>0</x:v>
      </x:c>
      <x:c r="H10" s="59" t="n">
        <x:v>0</x:v>
      </x:c>
      <x:c r="I10" s="45" t="n">
        <x:f>'Revenue &amp; Subscriptions'!I10</x:f>
        <x:v>0</x:v>
      </x:c>
      <x:c r="J10" s="45" t="n">
        <x:f>'Revenue &amp; Subscriptions'!M10</x:f>
        <x:v>0</x:v>
      </x:c>
      <x:c r="K10" s="87" t="n">
        <x:f>COUNTIFS('Phase 1 Calendar'!$D$5:$D$300,A10,'Phase 1 Calendar'!$AF$5:$AF$300,"Core")</x:f>
        <x:v>4</x:v>
      </x:c>
      <x:c r="L10" s="87" t="n">
        <x:f>COUNTIFS('Phase 1 Calendar'!$D$5:$D$300,A10,'Phase 1 Calendar'!$AF$5:$AF$300,"Core",'Phase 1 Calendar'!$W$5:$W$300,"Posted")</x:f>
        <x:v>0</x:v>
      </x:c>
      <x:c r="M10" s="96" t="n">
        <x:f>SUMIFS('Fuel &amp; Field Ops'!$H$11:$H$110,'Fuel &amp; Field Ops'!$C$11:$C$110,A10)</x:f>
        <x:v>0</x:v>
      </x:c>
      <x:c r="N10" s="45" t="n">
        <x:f>SUMIFS('Fuel &amp; Field Ops'!$P$11:$P$110,'Fuel &amp; Field Ops'!$C$11:$C$110,A10)</x:f>
        <x:v>0</x:v>
      </x:c>
      <x:c r="O10" s="87" t="n">
        <x:f>SUMIFS('Fuel &amp; Field Ops'!$S$11:$S$110,'Fuel &amp; Field Ops'!$C$11:$C$110,A10)</x:f>
        <x:v>0</x:v>
      </x:c>
      <x:c r="P10" s="58" t="n">
        <x:v>0</x:v>
      </x:c>
      <x:c r="Q10" s="45" t="n">
        <x:f>SUMIFS('Money Log'!$G$5:$G$204,'Money Log'!$C$5:$C$204,A10,'Money Log'!$D$5:$D$204,"Expense",'Money Log'!$E$5:$E$204,"Ads")</x:f>
        <x:v>0</x:v>
      </x:c>
      <x:c r="R10" s="45" t="n">
        <x:f>SUMIFS('Money Log'!$G$5:$G$204,'Money Log'!$C$5:$C$204,A10,'Money Log'!$D$5:$D$204,"Expense",'Money Log'!$E$5:$E$204,"Creator")</x:f>
        <x:v>0</x:v>
      </x:c>
      <x:c r="S10" s="76" t="inlineStr">
        <x:is>
          <x:t xml:space="preserve"/>
        </x:is>
      </x:c>
      <x:c r="T10" s="76" t="inlineStr">
        <x:is>
          <x:t xml:space="preserve"/>
        </x:is>
      </x:c>
      <x:c r="U10" s="76" t="inlineStr">
        <x:is>
          <x:t xml:space="preserve"/>
        </x:is>
      </x:c>
      <x:c r="V10" s="76" t="inlineStr">
        <x:is>
          <x:t xml:space="preserve"/>
        </x:is>
      </x:c>
    </x:row>
    <x:row r="11">
      <x:c r="A11" s="31" t="n">
        <x:v>7</x:v>
      </x:c>
      <x:c r="B11" s="78" t="n">
        <x:v>46290</x:v>
      </x:c>
      <x:c r="C11" s="31" t="inlineStr">
        <x:is>
          <x:t xml:space="preserve">3. Corridor Authority</x:t>
        </x:is>
      </x:c>
      <x:c r="D11" s="85" t="n">
        <x:f>'Revenue &amp; Subscriptions'!C11</x:f>
        <x:v>0</x:v>
      </x:c>
      <x:c r="E11" s="85" t="n">
        <x:f>'Revenue &amp; Subscriptions'!E11</x:f>
        <x:v>0</x:v>
      </x:c>
      <x:c r="F11" s="85" t="n">
        <x:f>'Revenue &amp; Subscriptions'!H11</x:f>
        <x:v>0</x:v>
      </x:c>
      <x:c r="G11" s="59" t="n">
        <x:v>0</x:v>
      </x:c>
      <x:c r="H11" s="59" t="n">
        <x:v>0</x:v>
      </x:c>
      <x:c r="I11" s="47" t="n">
        <x:f>'Revenue &amp; Subscriptions'!I11</x:f>
        <x:v>0</x:v>
      </x:c>
      <x:c r="J11" s="47" t="n">
        <x:f>'Revenue &amp; Subscriptions'!M11</x:f>
        <x:v>0</x:v>
      </x:c>
      <x:c r="K11" s="85" t="n">
        <x:f>COUNTIFS('Phase 1 Calendar'!$D$5:$D$300,A11,'Phase 1 Calendar'!$AF$5:$AF$300,"Core")</x:f>
        <x:v>4</x:v>
      </x:c>
      <x:c r="L11" s="85" t="n">
        <x:f>COUNTIFS('Phase 1 Calendar'!$D$5:$D$300,A11,'Phase 1 Calendar'!$AF$5:$AF$300,"Core",'Phase 1 Calendar'!$W$5:$W$300,"Posted")</x:f>
        <x:v>0</x:v>
      </x:c>
      <x:c r="M11" s="95" t="n">
        <x:f>SUMIFS('Fuel &amp; Field Ops'!$H$11:$H$110,'Fuel &amp; Field Ops'!$C$11:$C$110,A11)</x:f>
        <x:v>0</x:v>
      </x:c>
      <x:c r="N11" s="47" t="n">
        <x:f>SUMIFS('Fuel &amp; Field Ops'!$P$11:$P$110,'Fuel &amp; Field Ops'!$C$11:$C$110,A11)</x:f>
        <x:v>0</x:v>
      </x:c>
      <x:c r="O11" s="85" t="n">
        <x:f>SUMIFS('Fuel &amp; Field Ops'!$S$11:$S$110,'Fuel &amp; Field Ops'!$C$11:$C$110,A11)</x:f>
        <x:v>0</x:v>
      </x:c>
      <x:c r="P11" s="58" t="n">
        <x:v>0</x:v>
      </x:c>
      <x:c r="Q11" s="47" t="n">
        <x:f>SUMIFS('Money Log'!$G$5:$G$204,'Money Log'!$C$5:$C$204,A11,'Money Log'!$D$5:$D$204,"Expense",'Money Log'!$E$5:$E$204,"Ads")</x:f>
        <x:v>0</x:v>
      </x:c>
      <x:c r="R11" s="47" t="n">
        <x:f>SUMIFS('Money Log'!$G$5:$G$204,'Money Log'!$C$5:$C$204,A11,'Money Log'!$D$5:$D$204,"Expense",'Money Log'!$E$5:$E$204,"Creator")</x:f>
        <x:v>0</x:v>
      </x:c>
      <x:c r="S11" s="75" t="inlineStr">
        <x:is>
          <x:t xml:space="preserve"/>
        </x:is>
      </x:c>
      <x:c r="T11" s="75" t="inlineStr">
        <x:is>
          <x:t xml:space="preserve"/>
        </x:is>
      </x:c>
      <x:c r="U11" s="75" t="inlineStr">
        <x:is>
          <x:t xml:space="preserve"/>
        </x:is>
      </x:c>
      <x:c r="V11" s="75" t="inlineStr">
        <x:is>
          <x:t xml:space="preserve"/>
        </x:is>
      </x:c>
    </x:row>
    <x:row r="12">
      <x:c r="A12" s="30" t="n">
        <x:v>8</x:v>
      </x:c>
      <x:c r="B12" s="79" t="n">
        <x:v>46297</x:v>
      </x:c>
      <x:c r="C12" s="30" t="inlineStr">
        <x:is>
          <x:t xml:space="preserve">3. Corridor Authority</x:t>
        </x:is>
      </x:c>
      <x:c r="D12" s="87" t="n">
        <x:f>'Revenue &amp; Subscriptions'!C12</x:f>
        <x:v>0</x:v>
      </x:c>
      <x:c r="E12" s="87" t="n">
        <x:f>'Revenue &amp; Subscriptions'!E12</x:f>
        <x:v>0</x:v>
      </x:c>
      <x:c r="F12" s="87" t="n">
        <x:f>'Revenue &amp; Subscriptions'!H12</x:f>
        <x:v>0</x:v>
      </x:c>
      <x:c r="G12" s="59" t="n">
        <x:v>0</x:v>
      </x:c>
      <x:c r="H12" s="59" t="n">
        <x:v>0</x:v>
      </x:c>
      <x:c r="I12" s="45" t="n">
        <x:f>'Revenue &amp; Subscriptions'!I12</x:f>
        <x:v>0</x:v>
      </x:c>
      <x:c r="J12" s="45" t="n">
        <x:f>'Revenue &amp; Subscriptions'!M12</x:f>
        <x:v>0</x:v>
      </x:c>
      <x:c r="K12" s="87" t="n">
        <x:f>COUNTIFS('Phase 1 Calendar'!$D$5:$D$300,A12,'Phase 1 Calendar'!$AF$5:$AF$300,"Core")</x:f>
        <x:v>4</x:v>
      </x:c>
      <x:c r="L12" s="87" t="n">
        <x:f>COUNTIFS('Phase 1 Calendar'!$D$5:$D$300,A12,'Phase 1 Calendar'!$AF$5:$AF$300,"Core",'Phase 1 Calendar'!$W$5:$W$300,"Posted")</x:f>
        <x:v>0</x:v>
      </x:c>
      <x:c r="M12" s="96" t="n">
        <x:f>SUMIFS('Fuel &amp; Field Ops'!$H$11:$H$110,'Fuel &amp; Field Ops'!$C$11:$C$110,A12)</x:f>
        <x:v>0</x:v>
      </x:c>
      <x:c r="N12" s="45" t="n">
        <x:f>SUMIFS('Fuel &amp; Field Ops'!$P$11:$P$110,'Fuel &amp; Field Ops'!$C$11:$C$110,A12)</x:f>
        <x:v>0</x:v>
      </x:c>
      <x:c r="O12" s="87" t="n">
        <x:f>SUMIFS('Fuel &amp; Field Ops'!$S$11:$S$110,'Fuel &amp; Field Ops'!$C$11:$C$110,A12)</x:f>
        <x:v>0</x:v>
      </x:c>
      <x:c r="P12" s="58" t="n">
        <x:v>0</x:v>
      </x:c>
      <x:c r="Q12" s="45" t="n">
        <x:f>SUMIFS('Money Log'!$G$5:$G$204,'Money Log'!$C$5:$C$204,A12,'Money Log'!$D$5:$D$204,"Expense",'Money Log'!$E$5:$E$204,"Ads")</x:f>
        <x:v>0</x:v>
      </x:c>
      <x:c r="R12" s="45" t="n">
        <x:f>SUMIFS('Money Log'!$G$5:$G$204,'Money Log'!$C$5:$C$204,A12,'Money Log'!$D$5:$D$204,"Expense",'Money Log'!$E$5:$E$204,"Creator")</x:f>
        <x:v>0</x:v>
      </x:c>
      <x:c r="S12" s="76" t="inlineStr">
        <x:is>
          <x:t xml:space="preserve"/>
        </x:is>
      </x:c>
      <x:c r="T12" s="76" t="inlineStr">
        <x:is>
          <x:t xml:space="preserve"/>
        </x:is>
      </x:c>
      <x:c r="U12" s="76" t="inlineStr">
        <x:is>
          <x:t xml:space="preserve"/>
        </x:is>
      </x:c>
      <x:c r="V12" s="76" t="inlineStr">
        <x:is>
          <x:t xml:space="preserve"/>
        </x:is>
      </x:c>
    </x:row>
    <x:row r="13">
      <x:c r="A13" s="31" t="n">
        <x:v>9</x:v>
      </x:c>
      <x:c r="B13" s="78" t="n">
        <x:v>46304</x:v>
      </x:c>
      <x:c r="C13" s="31" t="inlineStr">
        <x:is>
          <x:t xml:space="preserve">3. Corridor Authority</x:t>
        </x:is>
      </x:c>
      <x:c r="D13" s="85" t="n">
        <x:f>'Revenue &amp; Subscriptions'!C13</x:f>
        <x:v>0</x:v>
      </x:c>
      <x:c r="E13" s="85" t="n">
        <x:f>'Revenue &amp; Subscriptions'!E13</x:f>
        <x:v>0</x:v>
      </x:c>
      <x:c r="F13" s="85" t="n">
        <x:f>'Revenue &amp; Subscriptions'!H13</x:f>
        <x:v>0</x:v>
      </x:c>
      <x:c r="G13" s="59" t="n">
        <x:v>0</x:v>
      </x:c>
      <x:c r="H13" s="59" t="n">
        <x:v>0</x:v>
      </x:c>
      <x:c r="I13" s="47" t="n">
        <x:f>'Revenue &amp; Subscriptions'!I13</x:f>
        <x:v>0</x:v>
      </x:c>
      <x:c r="J13" s="47" t="n">
        <x:f>'Revenue &amp; Subscriptions'!M13</x:f>
        <x:v>0</x:v>
      </x:c>
      <x:c r="K13" s="85" t="n">
        <x:f>COUNTIFS('Phase 1 Calendar'!$D$5:$D$300,A13,'Phase 1 Calendar'!$AF$5:$AF$300,"Core")</x:f>
        <x:v>4</x:v>
      </x:c>
      <x:c r="L13" s="85" t="n">
        <x:f>COUNTIFS('Phase 1 Calendar'!$D$5:$D$300,A13,'Phase 1 Calendar'!$AF$5:$AF$300,"Core",'Phase 1 Calendar'!$W$5:$W$300,"Posted")</x:f>
        <x:v>0</x:v>
      </x:c>
      <x:c r="M13" s="95" t="n">
        <x:f>SUMIFS('Fuel &amp; Field Ops'!$H$11:$H$110,'Fuel &amp; Field Ops'!$C$11:$C$110,A13)</x:f>
        <x:v>0</x:v>
      </x:c>
      <x:c r="N13" s="47" t="n">
        <x:f>SUMIFS('Fuel &amp; Field Ops'!$P$11:$P$110,'Fuel &amp; Field Ops'!$C$11:$C$110,A13)</x:f>
        <x:v>0</x:v>
      </x:c>
      <x:c r="O13" s="85" t="n">
        <x:f>SUMIFS('Fuel &amp; Field Ops'!$S$11:$S$110,'Fuel &amp; Field Ops'!$C$11:$C$110,A13)</x:f>
        <x:v>0</x:v>
      </x:c>
      <x:c r="P13" s="58" t="n">
        <x:v>0</x:v>
      </x:c>
      <x:c r="Q13" s="47" t="n">
        <x:f>SUMIFS('Money Log'!$G$5:$G$204,'Money Log'!$C$5:$C$204,A13,'Money Log'!$D$5:$D$204,"Expense",'Money Log'!$E$5:$E$204,"Ads")</x:f>
        <x:v>0</x:v>
      </x:c>
      <x:c r="R13" s="47" t="n">
        <x:f>SUMIFS('Money Log'!$G$5:$G$204,'Money Log'!$C$5:$C$204,A13,'Money Log'!$D$5:$D$204,"Expense",'Money Log'!$E$5:$E$204,"Creator")</x:f>
        <x:v>0</x:v>
      </x:c>
      <x:c r="S13" s="75" t="inlineStr">
        <x:is>
          <x:t xml:space="preserve"/>
        </x:is>
      </x:c>
      <x:c r="T13" s="75" t="inlineStr">
        <x:is>
          <x:t xml:space="preserve"/>
        </x:is>
      </x:c>
      <x:c r="U13" s="75" t="inlineStr">
        <x:is>
          <x:t xml:space="preserve"/>
        </x:is>
      </x:c>
      <x:c r="V13" s="75" t="inlineStr">
        <x:is>
          <x:t xml:space="preserve"/>
        </x:is>
      </x:c>
    </x:row>
    <x:row r="14">
      <x:c r="A14" s="30" t="n">
        <x:v>10</x:v>
      </x:c>
      <x:c r="B14" s="79" t="n">
        <x:v>46311</x:v>
      </x:c>
      <x:c r="C14" s="30" t="inlineStr">
        <x:is>
          <x:t xml:space="preserve">3. Corridor Authority</x:t>
        </x:is>
      </x:c>
      <x:c r="D14" s="87" t="n">
        <x:f>'Revenue &amp; Subscriptions'!C14</x:f>
        <x:v>0</x:v>
      </x:c>
      <x:c r="E14" s="87" t="n">
        <x:f>'Revenue &amp; Subscriptions'!E14</x:f>
        <x:v>0</x:v>
      </x:c>
      <x:c r="F14" s="87" t="n">
        <x:f>'Revenue &amp; Subscriptions'!H14</x:f>
        <x:v>0</x:v>
      </x:c>
      <x:c r="G14" s="59" t="n">
        <x:v>0</x:v>
      </x:c>
      <x:c r="H14" s="59" t="n">
        <x:v>0</x:v>
      </x:c>
      <x:c r="I14" s="45" t="n">
        <x:f>'Revenue &amp; Subscriptions'!I14</x:f>
        <x:v>0</x:v>
      </x:c>
      <x:c r="J14" s="45" t="n">
        <x:f>'Revenue &amp; Subscriptions'!M14</x:f>
        <x:v>0</x:v>
      </x:c>
      <x:c r="K14" s="87" t="n">
        <x:f>COUNTIFS('Phase 1 Calendar'!$D$5:$D$300,A14,'Phase 1 Calendar'!$AF$5:$AF$300,"Core")</x:f>
        <x:v>4</x:v>
      </x:c>
      <x:c r="L14" s="87" t="n">
        <x:f>COUNTIFS('Phase 1 Calendar'!$D$5:$D$300,A14,'Phase 1 Calendar'!$AF$5:$AF$300,"Core",'Phase 1 Calendar'!$W$5:$W$300,"Posted")</x:f>
        <x:v>0</x:v>
      </x:c>
      <x:c r="M14" s="96" t="n">
        <x:f>SUMIFS('Fuel &amp; Field Ops'!$H$11:$H$110,'Fuel &amp; Field Ops'!$C$11:$C$110,A14)</x:f>
        <x:v>0</x:v>
      </x:c>
      <x:c r="N14" s="45" t="n">
        <x:f>SUMIFS('Fuel &amp; Field Ops'!$P$11:$P$110,'Fuel &amp; Field Ops'!$C$11:$C$110,A14)</x:f>
        <x:v>0</x:v>
      </x:c>
      <x:c r="O14" s="87" t="n">
        <x:f>SUMIFS('Fuel &amp; Field Ops'!$S$11:$S$110,'Fuel &amp; Field Ops'!$C$11:$C$110,A14)</x:f>
        <x:v>0</x:v>
      </x:c>
      <x:c r="P14" s="58" t="n">
        <x:v>0</x:v>
      </x:c>
      <x:c r="Q14" s="45" t="n">
        <x:f>SUMIFS('Money Log'!$G$5:$G$204,'Money Log'!$C$5:$C$204,A14,'Money Log'!$D$5:$D$204,"Expense",'Money Log'!$E$5:$E$204,"Ads")</x:f>
        <x:v>0</x:v>
      </x:c>
      <x:c r="R14" s="45" t="n">
        <x:f>SUMIFS('Money Log'!$G$5:$G$204,'Money Log'!$C$5:$C$204,A14,'Money Log'!$D$5:$D$204,"Expense",'Money Log'!$E$5:$E$204,"Creator")</x:f>
        <x:v>0</x:v>
      </x:c>
      <x:c r="S14" s="76" t="inlineStr">
        <x:is>
          <x:t xml:space="preserve"/>
        </x:is>
      </x:c>
      <x:c r="T14" s="76" t="inlineStr">
        <x:is>
          <x:t xml:space="preserve"/>
        </x:is>
      </x:c>
      <x:c r="U14" s="76" t="inlineStr">
        <x:is>
          <x:t xml:space="preserve"/>
        </x:is>
      </x:c>
      <x:c r="V14" s="76" t="inlineStr">
        <x:is>
          <x:t xml:space="preserve"/>
        </x:is>
      </x:c>
    </x:row>
    <x:row r="15">
      <x:c r="A15" s="31" t="n">
        <x:v>11</x:v>
      </x:c>
      <x:c r="B15" s="78" t="n">
        <x:v>46318</x:v>
      </x:c>
      <x:c r="C15" s="31" t="inlineStr">
        <x:is>
          <x:t xml:space="preserve">4. Controlled Acquisition</x:t>
        </x:is>
      </x:c>
      <x:c r="D15" s="85" t="n">
        <x:f>'Revenue &amp; Subscriptions'!C15</x:f>
        <x:v>0</x:v>
      </x:c>
      <x:c r="E15" s="85" t="n">
        <x:f>'Revenue &amp; Subscriptions'!E15</x:f>
        <x:v>0</x:v>
      </x:c>
      <x:c r="F15" s="85" t="n">
        <x:f>'Revenue &amp; Subscriptions'!H15</x:f>
        <x:v>0</x:v>
      </x:c>
      <x:c r="G15" s="59" t="n">
        <x:v>0</x:v>
      </x:c>
      <x:c r="H15" s="59" t="n">
        <x:v>0</x:v>
      </x:c>
      <x:c r="I15" s="47" t="n">
        <x:f>'Revenue &amp; Subscriptions'!I15</x:f>
        <x:v>0</x:v>
      </x:c>
      <x:c r="J15" s="47" t="n">
        <x:f>'Revenue &amp; Subscriptions'!M15</x:f>
        <x:v>0</x:v>
      </x:c>
      <x:c r="K15" s="85" t="n">
        <x:f>COUNTIFS('Phase 1 Calendar'!$D$5:$D$300,A15,'Phase 1 Calendar'!$AF$5:$AF$300,"Core")</x:f>
        <x:v>4</x:v>
      </x:c>
      <x:c r="L15" s="85" t="n">
        <x:f>COUNTIFS('Phase 1 Calendar'!$D$5:$D$300,A15,'Phase 1 Calendar'!$AF$5:$AF$300,"Core",'Phase 1 Calendar'!$W$5:$W$300,"Posted")</x:f>
        <x:v>0</x:v>
      </x:c>
      <x:c r="M15" s="95" t="n">
        <x:f>SUMIFS('Fuel &amp; Field Ops'!$H$11:$H$110,'Fuel &amp; Field Ops'!$C$11:$C$110,A15)</x:f>
        <x:v>0</x:v>
      </x:c>
      <x:c r="N15" s="47" t="n">
        <x:f>SUMIFS('Fuel &amp; Field Ops'!$P$11:$P$110,'Fuel &amp; Field Ops'!$C$11:$C$110,A15)</x:f>
        <x:v>0</x:v>
      </x:c>
      <x:c r="O15" s="85" t="n">
        <x:f>SUMIFS('Fuel &amp; Field Ops'!$S$11:$S$110,'Fuel &amp; Field Ops'!$C$11:$C$110,A15)</x:f>
        <x:v>0</x:v>
      </x:c>
      <x:c r="P15" s="58" t="n">
        <x:v>0</x:v>
      </x:c>
      <x:c r="Q15" s="47" t="n">
        <x:f>SUMIFS('Money Log'!$G$5:$G$204,'Money Log'!$C$5:$C$204,A15,'Money Log'!$D$5:$D$204,"Expense",'Money Log'!$E$5:$E$204,"Ads")</x:f>
        <x:v>0</x:v>
      </x:c>
      <x:c r="R15" s="47" t="n">
        <x:f>SUMIFS('Money Log'!$G$5:$G$204,'Money Log'!$C$5:$C$204,A15,'Money Log'!$D$5:$D$204,"Expense",'Money Log'!$E$5:$E$204,"Creator")</x:f>
        <x:v>0</x:v>
      </x:c>
      <x:c r="S15" s="75" t="inlineStr">
        <x:is>
          <x:t xml:space="preserve"/>
        </x:is>
      </x:c>
      <x:c r="T15" s="75" t="inlineStr">
        <x:is>
          <x:t xml:space="preserve"/>
        </x:is>
      </x:c>
      <x:c r="U15" s="75" t="inlineStr">
        <x:is>
          <x:t xml:space="preserve"/>
        </x:is>
      </x:c>
      <x:c r="V15" s="75" t="inlineStr">
        <x:is>
          <x:t xml:space="preserve"/>
        </x:is>
      </x:c>
    </x:row>
    <x:row r="16">
      <x:c r="A16" s="30" t="n">
        <x:v>12</x:v>
      </x:c>
      <x:c r="B16" s="79" t="n">
        <x:v>46325</x:v>
      </x:c>
      <x:c r="C16" s="30" t="inlineStr">
        <x:is>
          <x:t xml:space="preserve">4. Controlled Acquisition</x:t>
        </x:is>
      </x:c>
      <x:c r="D16" s="87" t="n">
        <x:f>'Revenue &amp; Subscriptions'!C16</x:f>
        <x:v>0</x:v>
      </x:c>
      <x:c r="E16" s="87" t="n">
        <x:f>'Revenue &amp; Subscriptions'!E16</x:f>
        <x:v>0</x:v>
      </x:c>
      <x:c r="F16" s="87" t="n">
        <x:f>'Revenue &amp; Subscriptions'!H16</x:f>
        <x:v>0</x:v>
      </x:c>
      <x:c r="G16" s="59" t="n">
        <x:v>0</x:v>
      </x:c>
      <x:c r="H16" s="59" t="n">
        <x:v>0</x:v>
      </x:c>
      <x:c r="I16" s="45" t="n">
        <x:f>'Revenue &amp; Subscriptions'!I16</x:f>
        <x:v>0</x:v>
      </x:c>
      <x:c r="J16" s="45" t="n">
        <x:f>'Revenue &amp; Subscriptions'!M16</x:f>
        <x:v>0</x:v>
      </x:c>
      <x:c r="K16" s="87" t="n">
        <x:f>COUNTIFS('Phase 1 Calendar'!$D$5:$D$300,A16,'Phase 1 Calendar'!$AF$5:$AF$300,"Core")</x:f>
        <x:v>4</x:v>
      </x:c>
      <x:c r="L16" s="87" t="n">
        <x:f>COUNTIFS('Phase 1 Calendar'!$D$5:$D$300,A16,'Phase 1 Calendar'!$AF$5:$AF$300,"Core",'Phase 1 Calendar'!$W$5:$W$300,"Posted")</x:f>
        <x:v>0</x:v>
      </x:c>
      <x:c r="M16" s="96" t="n">
        <x:f>SUMIFS('Fuel &amp; Field Ops'!$H$11:$H$110,'Fuel &amp; Field Ops'!$C$11:$C$110,A16)</x:f>
        <x:v>0</x:v>
      </x:c>
      <x:c r="N16" s="45" t="n">
        <x:f>SUMIFS('Fuel &amp; Field Ops'!$P$11:$P$110,'Fuel &amp; Field Ops'!$C$11:$C$110,A16)</x:f>
        <x:v>0</x:v>
      </x:c>
      <x:c r="O16" s="87" t="n">
        <x:f>SUMIFS('Fuel &amp; Field Ops'!$S$11:$S$110,'Fuel &amp; Field Ops'!$C$11:$C$110,A16)</x:f>
        <x:v>0</x:v>
      </x:c>
      <x:c r="P16" s="58" t="n">
        <x:v>0</x:v>
      </x:c>
      <x:c r="Q16" s="45" t="n">
        <x:f>SUMIFS('Money Log'!$G$5:$G$204,'Money Log'!$C$5:$C$204,A16,'Money Log'!$D$5:$D$204,"Expense",'Money Log'!$E$5:$E$204,"Ads")</x:f>
        <x:v>0</x:v>
      </x:c>
      <x:c r="R16" s="45" t="n">
        <x:f>SUMIFS('Money Log'!$G$5:$G$204,'Money Log'!$C$5:$C$204,A16,'Money Log'!$D$5:$D$204,"Expense",'Money Log'!$E$5:$E$204,"Creator")</x:f>
        <x:v>0</x:v>
      </x:c>
      <x:c r="S16" s="76" t="inlineStr">
        <x:is>
          <x:t xml:space="preserve"/>
        </x:is>
      </x:c>
      <x:c r="T16" s="76" t="inlineStr">
        <x:is>
          <x:t xml:space="preserve"/>
        </x:is>
      </x:c>
      <x:c r="U16" s="76" t="inlineStr">
        <x:is>
          <x:t xml:space="preserve"/>
        </x:is>
      </x:c>
      <x:c r="V16" s="76" t="inlineStr">
        <x:is>
          <x:t xml:space="preserve"/>
        </x:is>
      </x:c>
    </x:row>
    <x:row r="17">
      <x:c r="A17" s="31" t="n">
        <x:v>13</x:v>
      </x:c>
      <x:c r="B17" s="78" t="n">
        <x:v>46332</x:v>
      </x:c>
      <x:c r="C17" s="31" t="inlineStr">
        <x:is>
          <x:t xml:space="preserve">4. Controlled Acquisition</x:t>
        </x:is>
      </x:c>
      <x:c r="D17" s="85" t="n">
        <x:f>'Revenue &amp; Subscriptions'!C17</x:f>
        <x:v>0</x:v>
      </x:c>
      <x:c r="E17" s="85" t="n">
        <x:f>'Revenue &amp; Subscriptions'!E17</x:f>
        <x:v>0</x:v>
      </x:c>
      <x:c r="F17" s="85" t="n">
        <x:f>'Revenue &amp; Subscriptions'!H17</x:f>
        <x:v>0</x:v>
      </x:c>
      <x:c r="G17" s="59" t="n">
        <x:v>0</x:v>
      </x:c>
      <x:c r="H17" s="59" t="n">
        <x:v>0</x:v>
      </x:c>
      <x:c r="I17" s="47" t="n">
        <x:f>'Revenue &amp; Subscriptions'!I17</x:f>
        <x:v>0</x:v>
      </x:c>
      <x:c r="J17" s="47" t="n">
        <x:f>'Revenue &amp; Subscriptions'!M17</x:f>
        <x:v>0</x:v>
      </x:c>
      <x:c r="K17" s="85" t="n">
        <x:f>COUNTIFS('Phase 1 Calendar'!$D$5:$D$300,A17,'Phase 1 Calendar'!$AF$5:$AF$300,"Core")</x:f>
        <x:v>4</x:v>
      </x:c>
      <x:c r="L17" s="85" t="n">
        <x:f>COUNTIFS('Phase 1 Calendar'!$D$5:$D$300,A17,'Phase 1 Calendar'!$AF$5:$AF$300,"Core",'Phase 1 Calendar'!$W$5:$W$300,"Posted")</x:f>
        <x:v>0</x:v>
      </x:c>
      <x:c r="M17" s="95" t="n">
        <x:f>SUMIFS('Fuel &amp; Field Ops'!$H$11:$H$110,'Fuel &amp; Field Ops'!$C$11:$C$110,A17)</x:f>
        <x:v>0</x:v>
      </x:c>
      <x:c r="N17" s="47" t="n">
        <x:f>SUMIFS('Fuel &amp; Field Ops'!$P$11:$P$110,'Fuel &amp; Field Ops'!$C$11:$C$110,A17)</x:f>
        <x:v>0</x:v>
      </x:c>
      <x:c r="O17" s="85" t="n">
        <x:f>SUMIFS('Fuel &amp; Field Ops'!$S$11:$S$110,'Fuel &amp; Field Ops'!$C$11:$C$110,A17)</x:f>
        <x:v>0</x:v>
      </x:c>
      <x:c r="P17" s="58" t="n">
        <x:v>0</x:v>
      </x:c>
      <x:c r="Q17" s="47" t="n">
        <x:f>SUMIFS('Money Log'!$G$5:$G$204,'Money Log'!$C$5:$C$204,A17,'Money Log'!$D$5:$D$204,"Expense",'Money Log'!$E$5:$E$204,"Ads")</x:f>
        <x:v>0</x:v>
      </x:c>
      <x:c r="R17" s="47" t="n">
        <x:f>SUMIFS('Money Log'!$G$5:$G$204,'Money Log'!$C$5:$C$204,A17,'Money Log'!$D$5:$D$204,"Expense",'Money Log'!$E$5:$E$204,"Creator")</x:f>
        <x:v>0</x:v>
      </x:c>
      <x:c r="S17" s="75" t="inlineStr">
        <x:is>
          <x:t xml:space="preserve"/>
        </x:is>
      </x:c>
      <x:c r="T17" s="75" t="inlineStr">
        <x:is>
          <x:t xml:space="preserve"/>
        </x:is>
      </x:c>
      <x:c r="U17" s="75" t="inlineStr">
        <x:is>
          <x:t xml:space="preserve"/>
        </x:is>
      </x:c>
      <x:c r="V17" s="75" t="inlineStr">
        <x:is>
          <x:t xml:space="preserve"/>
        </x:is>
      </x:c>
    </x:row>
    <x:row r="18">
      <x:c r="A18" s="30" t="n">
        <x:v>14</x:v>
      </x:c>
      <x:c r="B18" s="79" t="n">
        <x:v>46339</x:v>
      </x:c>
      <x:c r="C18" s="30" t="inlineStr">
        <x:is>
          <x:t xml:space="preserve">4. Controlled Acquisition</x:t>
        </x:is>
      </x:c>
      <x:c r="D18" s="87" t="n">
        <x:f>'Revenue &amp; Subscriptions'!C18</x:f>
        <x:v>0</x:v>
      </x:c>
      <x:c r="E18" s="87" t="n">
        <x:f>'Revenue &amp; Subscriptions'!E18</x:f>
        <x:v>0</x:v>
      </x:c>
      <x:c r="F18" s="87" t="n">
        <x:f>'Revenue &amp; Subscriptions'!H18</x:f>
        <x:v>0</x:v>
      </x:c>
      <x:c r="G18" s="59" t="n">
        <x:v>0</x:v>
      </x:c>
      <x:c r="H18" s="59" t="n">
        <x:v>0</x:v>
      </x:c>
      <x:c r="I18" s="45" t="n">
        <x:f>'Revenue &amp; Subscriptions'!I18</x:f>
        <x:v>0</x:v>
      </x:c>
      <x:c r="J18" s="45" t="n">
        <x:f>'Revenue &amp; Subscriptions'!M18</x:f>
        <x:v>0</x:v>
      </x:c>
      <x:c r="K18" s="87" t="n">
        <x:f>COUNTIFS('Phase 1 Calendar'!$D$5:$D$300,A18,'Phase 1 Calendar'!$AF$5:$AF$300,"Core")</x:f>
        <x:v>4</x:v>
      </x:c>
      <x:c r="L18" s="87" t="n">
        <x:f>COUNTIFS('Phase 1 Calendar'!$D$5:$D$300,A18,'Phase 1 Calendar'!$AF$5:$AF$300,"Core",'Phase 1 Calendar'!$W$5:$W$300,"Posted")</x:f>
        <x:v>0</x:v>
      </x:c>
      <x:c r="M18" s="96" t="n">
        <x:f>SUMIFS('Fuel &amp; Field Ops'!$H$11:$H$110,'Fuel &amp; Field Ops'!$C$11:$C$110,A18)</x:f>
        <x:v>0</x:v>
      </x:c>
      <x:c r="N18" s="45" t="n">
        <x:f>SUMIFS('Fuel &amp; Field Ops'!$P$11:$P$110,'Fuel &amp; Field Ops'!$C$11:$C$110,A18)</x:f>
        <x:v>0</x:v>
      </x:c>
      <x:c r="O18" s="87" t="n">
        <x:f>SUMIFS('Fuel &amp; Field Ops'!$S$11:$S$110,'Fuel &amp; Field Ops'!$C$11:$C$110,A18)</x:f>
        <x:v>0</x:v>
      </x:c>
      <x:c r="P18" s="58" t="n">
        <x:v>0</x:v>
      </x:c>
      <x:c r="Q18" s="45" t="n">
        <x:f>SUMIFS('Money Log'!$G$5:$G$204,'Money Log'!$C$5:$C$204,A18,'Money Log'!$D$5:$D$204,"Expense",'Money Log'!$E$5:$E$204,"Ads")</x:f>
        <x:v>0</x:v>
      </x:c>
      <x:c r="R18" s="45" t="n">
        <x:f>SUMIFS('Money Log'!$G$5:$G$204,'Money Log'!$C$5:$C$204,A18,'Money Log'!$D$5:$D$204,"Expense",'Money Log'!$E$5:$E$204,"Creator")</x:f>
        <x:v>0</x:v>
      </x:c>
      <x:c r="S18" s="76" t="inlineStr">
        <x:is>
          <x:t xml:space="preserve"/>
        </x:is>
      </x:c>
      <x:c r="T18" s="76" t="inlineStr">
        <x:is>
          <x:t xml:space="preserve"/>
        </x:is>
      </x:c>
      <x:c r="U18" s="76" t="inlineStr">
        <x:is>
          <x:t xml:space="preserve"/>
        </x:is>
      </x:c>
      <x:c r="V18" s="76" t="inlineStr">
        <x:is>
          <x:t xml:space="preserve"/>
        </x:is>
      </x:c>
    </x:row>
    <x:row r="19">
      <x:c r="A19" s="31" t="n">
        <x:v>15</x:v>
      </x:c>
      <x:c r="B19" s="78" t="n">
        <x:v>46346</x:v>
      </x:c>
      <x:c r="C19" s="31" t="inlineStr">
        <x:is>
          <x:t xml:space="preserve">5. Partnerships &amp; Revenue</x:t>
        </x:is>
      </x:c>
      <x:c r="D19" s="85" t="n">
        <x:f>'Revenue &amp; Subscriptions'!C19</x:f>
        <x:v>0</x:v>
      </x:c>
      <x:c r="E19" s="85" t="n">
        <x:f>'Revenue &amp; Subscriptions'!E19</x:f>
        <x:v>0</x:v>
      </x:c>
      <x:c r="F19" s="85" t="n">
        <x:f>'Revenue &amp; Subscriptions'!H19</x:f>
        <x:v>0</x:v>
      </x:c>
      <x:c r="G19" s="59" t="n">
        <x:v>0</x:v>
      </x:c>
      <x:c r="H19" s="59" t="n">
        <x:v>0</x:v>
      </x:c>
      <x:c r="I19" s="47" t="n">
        <x:f>'Revenue &amp; Subscriptions'!I19</x:f>
        <x:v>0</x:v>
      </x:c>
      <x:c r="J19" s="47" t="n">
        <x:f>'Revenue &amp; Subscriptions'!M19</x:f>
        <x:v>0</x:v>
      </x:c>
      <x:c r="K19" s="85" t="n">
        <x:f>COUNTIFS('Phase 1 Calendar'!$D$5:$D$300,A19,'Phase 1 Calendar'!$AF$5:$AF$300,"Core")</x:f>
        <x:v>4</x:v>
      </x:c>
      <x:c r="L19" s="85" t="n">
        <x:f>COUNTIFS('Phase 1 Calendar'!$D$5:$D$300,A19,'Phase 1 Calendar'!$AF$5:$AF$300,"Core",'Phase 1 Calendar'!$W$5:$W$300,"Posted")</x:f>
        <x:v>0</x:v>
      </x:c>
      <x:c r="M19" s="95" t="n">
        <x:f>SUMIFS('Fuel &amp; Field Ops'!$H$11:$H$110,'Fuel &amp; Field Ops'!$C$11:$C$110,A19)</x:f>
        <x:v>0</x:v>
      </x:c>
      <x:c r="N19" s="47" t="n">
        <x:f>SUMIFS('Fuel &amp; Field Ops'!$P$11:$P$110,'Fuel &amp; Field Ops'!$C$11:$C$110,A19)</x:f>
        <x:v>0</x:v>
      </x:c>
      <x:c r="O19" s="85" t="n">
        <x:f>SUMIFS('Fuel &amp; Field Ops'!$S$11:$S$110,'Fuel &amp; Field Ops'!$C$11:$C$110,A19)</x:f>
        <x:v>0</x:v>
      </x:c>
      <x:c r="P19" s="58" t="n">
        <x:v>0</x:v>
      </x:c>
      <x:c r="Q19" s="47" t="n">
        <x:f>SUMIFS('Money Log'!$G$5:$G$204,'Money Log'!$C$5:$C$204,A19,'Money Log'!$D$5:$D$204,"Expense",'Money Log'!$E$5:$E$204,"Ads")</x:f>
        <x:v>0</x:v>
      </x:c>
      <x:c r="R19" s="47" t="n">
        <x:f>SUMIFS('Money Log'!$G$5:$G$204,'Money Log'!$C$5:$C$204,A19,'Money Log'!$D$5:$D$204,"Expense",'Money Log'!$E$5:$E$204,"Creator")</x:f>
        <x:v>0</x:v>
      </x:c>
      <x:c r="S19" s="75" t="inlineStr">
        <x:is>
          <x:t xml:space="preserve"/>
        </x:is>
      </x:c>
      <x:c r="T19" s="75" t="inlineStr">
        <x:is>
          <x:t xml:space="preserve"/>
        </x:is>
      </x:c>
      <x:c r="U19" s="75" t="inlineStr">
        <x:is>
          <x:t xml:space="preserve"/>
        </x:is>
      </x:c>
      <x:c r="V19" s="75" t="inlineStr">
        <x:is>
          <x:t xml:space="preserve"/>
        </x:is>
      </x:c>
    </x:row>
    <x:row r="20">
      <x:c r="A20" s="30" t="n">
        <x:v>16</x:v>
      </x:c>
      <x:c r="B20" s="79" t="n">
        <x:v>46353</x:v>
      </x:c>
      <x:c r="C20" s="30" t="inlineStr">
        <x:is>
          <x:t xml:space="preserve">5. Partnerships &amp; Revenue</x:t>
        </x:is>
      </x:c>
      <x:c r="D20" s="87" t="n">
        <x:f>'Revenue &amp; Subscriptions'!C20</x:f>
        <x:v>0</x:v>
      </x:c>
      <x:c r="E20" s="87" t="n">
        <x:f>'Revenue &amp; Subscriptions'!E20</x:f>
        <x:v>0</x:v>
      </x:c>
      <x:c r="F20" s="87" t="n">
        <x:f>'Revenue &amp; Subscriptions'!H20</x:f>
        <x:v>0</x:v>
      </x:c>
      <x:c r="G20" s="59" t="n">
        <x:v>0</x:v>
      </x:c>
      <x:c r="H20" s="59" t="n">
        <x:v>0</x:v>
      </x:c>
      <x:c r="I20" s="45" t="n">
        <x:f>'Revenue &amp; Subscriptions'!I20</x:f>
        <x:v>0</x:v>
      </x:c>
      <x:c r="J20" s="45" t="n">
        <x:f>'Revenue &amp; Subscriptions'!M20</x:f>
        <x:v>0</x:v>
      </x:c>
      <x:c r="K20" s="87" t="n">
        <x:f>COUNTIFS('Phase 1 Calendar'!$D$5:$D$300,A20,'Phase 1 Calendar'!$AF$5:$AF$300,"Core")</x:f>
        <x:v>4</x:v>
      </x:c>
      <x:c r="L20" s="87" t="n">
        <x:f>COUNTIFS('Phase 1 Calendar'!$D$5:$D$300,A20,'Phase 1 Calendar'!$AF$5:$AF$300,"Core",'Phase 1 Calendar'!$W$5:$W$300,"Posted")</x:f>
        <x:v>0</x:v>
      </x:c>
      <x:c r="M20" s="96" t="n">
        <x:f>SUMIFS('Fuel &amp; Field Ops'!$H$11:$H$110,'Fuel &amp; Field Ops'!$C$11:$C$110,A20)</x:f>
        <x:v>0</x:v>
      </x:c>
      <x:c r="N20" s="45" t="n">
        <x:f>SUMIFS('Fuel &amp; Field Ops'!$P$11:$P$110,'Fuel &amp; Field Ops'!$C$11:$C$110,A20)</x:f>
        <x:v>0</x:v>
      </x:c>
      <x:c r="O20" s="87" t="n">
        <x:f>SUMIFS('Fuel &amp; Field Ops'!$S$11:$S$110,'Fuel &amp; Field Ops'!$C$11:$C$110,A20)</x:f>
        <x:v>0</x:v>
      </x:c>
      <x:c r="P20" s="58" t="n">
        <x:v>0</x:v>
      </x:c>
      <x:c r="Q20" s="45" t="n">
        <x:f>SUMIFS('Money Log'!$G$5:$G$204,'Money Log'!$C$5:$C$204,A20,'Money Log'!$D$5:$D$204,"Expense",'Money Log'!$E$5:$E$204,"Ads")</x:f>
        <x:v>0</x:v>
      </x:c>
      <x:c r="R20" s="45" t="n">
        <x:f>SUMIFS('Money Log'!$G$5:$G$204,'Money Log'!$C$5:$C$204,A20,'Money Log'!$D$5:$D$204,"Expense",'Money Log'!$E$5:$E$204,"Creator")</x:f>
        <x:v>0</x:v>
      </x:c>
      <x:c r="S20" s="76" t="inlineStr">
        <x:is>
          <x:t xml:space="preserve"/>
        </x:is>
      </x:c>
      <x:c r="T20" s="76" t="inlineStr">
        <x:is>
          <x:t xml:space="preserve"/>
        </x:is>
      </x:c>
      <x:c r="U20" s="76" t="inlineStr">
        <x:is>
          <x:t xml:space="preserve"/>
        </x:is>
      </x:c>
      <x:c r="V20" s="76" t="inlineStr">
        <x:is>
          <x:t xml:space="preserve"/>
        </x:is>
      </x:c>
    </x:row>
    <x:row r="21">
      <x:c r="A21" s="31" t="n">
        <x:v>17</x:v>
      </x:c>
      <x:c r="B21" s="78" t="n">
        <x:v>46360</x:v>
      </x:c>
      <x:c r="C21" s="31" t="inlineStr">
        <x:is>
          <x:t xml:space="preserve">5. Partnerships &amp; Revenue</x:t>
        </x:is>
      </x:c>
      <x:c r="D21" s="85" t="n">
        <x:f>'Revenue &amp; Subscriptions'!C21</x:f>
        <x:v>0</x:v>
      </x:c>
      <x:c r="E21" s="85" t="n">
        <x:f>'Revenue &amp; Subscriptions'!E21</x:f>
        <x:v>0</x:v>
      </x:c>
      <x:c r="F21" s="85" t="n">
        <x:f>'Revenue &amp; Subscriptions'!H21</x:f>
        <x:v>0</x:v>
      </x:c>
      <x:c r="G21" s="59" t="n">
        <x:v>0</x:v>
      </x:c>
      <x:c r="H21" s="59" t="n">
        <x:v>0</x:v>
      </x:c>
      <x:c r="I21" s="47" t="n">
        <x:f>'Revenue &amp; Subscriptions'!I21</x:f>
        <x:v>0</x:v>
      </x:c>
      <x:c r="J21" s="47" t="n">
        <x:f>'Revenue &amp; Subscriptions'!M21</x:f>
        <x:v>0</x:v>
      </x:c>
      <x:c r="K21" s="85" t="n">
        <x:f>COUNTIFS('Phase 1 Calendar'!$D$5:$D$300,A21,'Phase 1 Calendar'!$AF$5:$AF$300,"Core")</x:f>
        <x:v>4</x:v>
      </x:c>
      <x:c r="L21" s="85" t="n">
        <x:f>COUNTIFS('Phase 1 Calendar'!$D$5:$D$300,A21,'Phase 1 Calendar'!$AF$5:$AF$300,"Core",'Phase 1 Calendar'!$W$5:$W$300,"Posted")</x:f>
        <x:v>0</x:v>
      </x:c>
      <x:c r="M21" s="95" t="n">
        <x:f>SUMIFS('Fuel &amp; Field Ops'!$H$11:$H$110,'Fuel &amp; Field Ops'!$C$11:$C$110,A21)</x:f>
        <x:v>0</x:v>
      </x:c>
      <x:c r="N21" s="47" t="n">
        <x:f>SUMIFS('Fuel &amp; Field Ops'!$P$11:$P$110,'Fuel &amp; Field Ops'!$C$11:$C$110,A21)</x:f>
        <x:v>0</x:v>
      </x:c>
      <x:c r="O21" s="85" t="n">
        <x:f>SUMIFS('Fuel &amp; Field Ops'!$S$11:$S$110,'Fuel &amp; Field Ops'!$C$11:$C$110,A21)</x:f>
        <x:v>0</x:v>
      </x:c>
      <x:c r="P21" s="58" t="n">
        <x:v>0</x:v>
      </x:c>
      <x:c r="Q21" s="47" t="n">
        <x:f>SUMIFS('Money Log'!$G$5:$G$204,'Money Log'!$C$5:$C$204,A21,'Money Log'!$D$5:$D$204,"Expense",'Money Log'!$E$5:$E$204,"Ads")</x:f>
        <x:v>0</x:v>
      </x:c>
      <x:c r="R21" s="47" t="n">
        <x:f>SUMIFS('Money Log'!$G$5:$G$204,'Money Log'!$C$5:$C$204,A21,'Money Log'!$D$5:$D$204,"Expense",'Money Log'!$E$5:$E$204,"Creator")</x:f>
        <x:v>0</x:v>
      </x:c>
      <x:c r="S21" s="75" t="inlineStr">
        <x:is>
          <x:t xml:space="preserve"/>
        </x:is>
      </x:c>
      <x:c r="T21" s="75" t="inlineStr">
        <x:is>
          <x:t xml:space="preserve"/>
        </x:is>
      </x:c>
      <x:c r="U21" s="75" t="inlineStr">
        <x:is>
          <x:t xml:space="preserve"/>
        </x:is>
      </x:c>
      <x:c r="V21" s="75" t="inlineStr">
        <x:is>
          <x:t xml:space="preserve"/>
        </x:is>
      </x:c>
    </x:row>
    <x:row r="22">
      <x:c r="A22" s="30" t="n">
        <x:v>18</x:v>
      </x:c>
      <x:c r="B22" s="79" t="n">
        <x:v>46367</x:v>
      </x:c>
      <x:c r="C22" s="30" t="inlineStr">
        <x:is>
          <x:t xml:space="preserve">5. Partnerships &amp; Revenue</x:t>
        </x:is>
      </x:c>
      <x:c r="D22" s="87" t="n">
        <x:f>'Revenue &amp; Subscriptions'!C22</x:f>
        <x:v>0</x:v>
      </x:c>
      <x:c r="E22" s="87" t="n">
        <x:f>'Revenue &amp; Subscriptions'!E22</x:f>
        <x:v>0</x:v>
      </x:c>
      <x:c r="F22" s="87" t="n">
        <x:f>'Revenue &amp; Subscriptions'!H22</x:f>
        <x:v>0</x:v>
      </x:c>
      <x:c r="G22" s="59" t="n">
        <x:v>0</x:v>
      </x:c>
      <x:c r="H22" s="59" t="n">
        <x:v>0</x:v>
      </x:c>
      <x:c r="I22" s="45" t="n">
        <x:f>'Revenue &amp; Subscriptions'!I22</x:f>
        <x:v>0</x:v>
      </x:c>
      <x:c r="J22" s="45" t="n">
        <x:f>'Revenue &amp; Subscriptions'!M22</x:f>
        <x:v>0</x:v>
      </x:c>
      <x:c r="K22" s="87" t="n">
        <x:f>COUNTIFS('Phase 1 Calendar'!$D$5:$D$300,A22,'Phase 1 Calendar'!$AF$5:$AF$300,"Core")</x:f>
        <x:v>4</x:v>
      </x:c>
      <x:c r="L22" s="87" t="n">
        <x:f>COUNTIFS('Phase 1 Calendar'!$D$5:$D$300,A22,'Phase 1 Calendar'!$AF$5:$AF$300,"Core",'Phase 1 Calendar'!$W$5:$W$300,"Posted")</x:f>
        <x:v>0</x:v>
      </x:c>
      <x:c r="M22" s="96" t="n">
        <x:f>SUMIFS('Fuel &amp; Field Ops'!$H$11:$H$110,'Fuel &amp; Field Ops'!$C$11:$C$110,A22)</x:f>
        <x:v>0</x:v>
      </x:c>
      <x:c r="N22" s="45" t="n">
        <x:f>SUMIFS('Fuel &amp; Field Ops'!$P$11:$P$110,'Fuel &amp; Field Ops'!$C$11:$C$110,A22)</x:f>
        <x:v>0</x:v>
      </x:c>
      <x:c r="O22" s="87" t="n">
        <x:f>SUMIFS('Fuel &amp; Field Ops'!$S$11:$S$110,'Fuel &amp; Field Ops'!$C$11:$C$110,A22)</x:f>
        <x:v>0</x:v>
      </x:c>
      <x:c r="P22" s="58" t="n">
        <x:v>0</x:v>
      </x:c>
      <x:c r="Q22" s="45" t="n">
        <x:f>SUMIFS('Money Log'!$G$5:$G$204,'Money Log'!$C$5:$C$204,A22,'Money Log'!$D$5:$D$204,"Expense",'Money Log'!$E$5:$E$204,"Ads")</x:f>
        <x:v>0</x:v>
      </x:c>
      <x:c r="R22" s="45" t="n">
        <x:f>SUMIFS('Money Log'!$G$5:$G$204,'Money Log'!$C$5:$C$204,A22,'Money Log'!$D$5:$D$204,"Expense",'Money Log'!$E$5:$E$204,"Creator")</x:f>
        <x:v>0</x:v>
      </x:c>
      <x:c r="S22" s="76" t="inlineStr">
        <x:is>
          <x:t xml:space="preserve"/>
        </x:is>
      </x:c>
      <x:c r="T22" s="76" t="inlineStr">
        <x:is>
          <x:t xml:space="preserve"/>
        </x:is>
      </x:c>
      <x:c r="U22" s="76" t="inlineStr">
        <x:is>
          <x:t xml:space="preserve"/>
        </x:is>
      </x:c>
      <x:c r="V22" s="76" t="inlineStr">
        <x:is>
          <x:t xml:space="preserve"/>
        </x:is>
      </x:c>
    </x:row>
    <x:row r="23">
      <x:c r="A23" s="31" t="n">
        <x:v>19</x:v>
      </x:c>
      <x:c r="B23" s="78" t="n">
        <x:v>46374</x:v>
      </x:c>
      <x:c r="C23" s="31" t="inlineStr">
        <x:is>
          <x:t xml:space="preserve">6. Scale What Works</x:t>
        </x:is>
      </x:c>
      <x:c r="D23" s="85" t="n">
        <x:f>'Revenue &amp; Subscriptions'!C23</x:f>
        <x:v>0</x:v>
      </x:c>
      <x:c r="E23" s="85" t="n">
        <x:f>'Revenue &amp; Subscriptions'!E23</x:f>
        <x:v>0</x:v>
      </x:c>
      <x:c r="F23" s="85" t="n">
        <x:f>'Revenue &amp; Subscriptions'!H23</x:f>
        <x:v>0</x:v>
      </x:c>
      <x:c r="G23" s="59" t="n">
        <x:v>0</x:v>
      </x:c>
      <x:c r="H23" s="59" t="n">
        <x:v>0</x:v>
      </x:c>
      <x:c r="I23" s="47" t="n">
        <x:f>'Revenue &amp; Subscriptions'!I23</x:f>
        <x:v>0</x:v>
      </x:c>
      <x:c r="J23" s="47" t="n">
        <x:f>'Revenue &amp; Subscriptions'!M23</x:f>
        <x:v>0</x:v>
      </x:c>
      <x:c r="K23" s="85" t="n">
        <x:f>COUNTIFS('Phase 1 Calendar'!$D$5:$D$300,A23,'Phase 1 Calendar'!$AF$5:$AF$300,"Core")</x:f>
        <x:v>4</x:v>
      </x:c>
      <x:c r="L23" s="85" t="n">
        <x:f>COUNTIFS('Phase 1 Calendar'!$D$5:$D$300,A23,'Phase 1 Calendar'!$AF$5:$AF$300,"Core",'Phase 1 Calendar'!$W$5:$W$300,"Posted")</x:f>
        <x:v>0</x:v>
      </x:c>
      <x:c r="M23" s="95" t="n">
        <x:f>SUMIFS('Fuel &amp; Field Ops'!$H$11:$H$110,'Fuel &amp; Field Ops'!$C$11:$C$110,A23)</x:f>
        <x:v>0</x:v>
      </x:c>
      <x:c r="N23" s="47" t="n">
        <x:f>SUMIFS('Fuel &amp; Field Ops'!$P$11:$P$110,'Fuel &amp; Field Ops'!$C$11:$C$110,A23)</x:f>
        <x:v>0</x:v>
      </x:c>
      <x:c r="O23" s="85" t="n">
        <x:f>SUMIFS('Fuel &amp; Field Ops'!$S$11:$S$110,'Fuel &amp; Field Ops'!$C$11:$C$110,A23)</x:f>
        <x:v>0</x:v>
      </x:c>
      <x:c r="P23" s="58" t="n">
        <x:v>0</x:v>
      </x:c>
      <x:c r="Q23" s="47" t="n">
        <x:f>SUMIFS('Money Log'!$G$5:$G$204,'Money Log'!$C$5:$C$204,A23,'Money Log'!$D$5:$D$204,"Expense",'Money Log'!$E$5:$E$204,"Ads")</x:f>
        <x:v>0</x:v>
      </x:c>
      <x:c r="R23" s="47" t="n">
        <x:f>SUMIFS('Money Log'!$G$5:$G$204,'Money Log'!$C$5:$C$204,A23,'Money Log'!$D$5:$D$204,"Expense",'Money Log'!$E$5:$E$204,"Creator")</x:f>
        <x:v>0</x:v>
      </x:c>
      <x:c r="S23" s="75" t="inlineStr">
        <x:is>
          <x:t xml:space="preserve"/>
        </x:is>
      </x:c>
      <x:c r="T23" s="75" t="inlineStr">
        <x:is>
          <x:t xml:space="preserve"/>
        </x:is>
      </x:c>
      <x:c r="U23" s="75" t="inlineStr">
        <x:is>
          <x:t xml:space="preserve"/>
        </x:is>
      </x:c>
      <x:c r="V23" s="75" t="inlineStr">
        <x:is>
          <x:t xml:space="preserve"/>
        </x:is>
      </x:c>
    </x:row>
    <x:row r="24">
      <x:c r="A24" s="30" t="n">
        <x:v>20</x:v>
      </x:c>
      <x:c r="B24" s="79" t="n">
        <x:v>46381</x:v>
      </x:c>
      <x:c r="C24" s="30" t="inlineStr">
        <x:is>
          <x:t xml:space="preserve">6. Scale What Works</x:t>
        </x:is>
      </x:c>
      <x:c r="D24" s="87" t="n">
        <x:f>'Revenue &amp; Subscriptions'!C24</x:f>
        <x:v>0</x:v>
      </x:c>
      <x:c r="E24" s="87" t="n">
        <x:f>'Revenue &amp; Subscriptions'!E24</x:f>
        <x:v>0</x:v>
      </x:c>
      <x:c r="F24" s="87" t="n">
        <x:f>'Revenue &amp; Subscriptions'!H24</x:f>
        <x:v>0</x:v>
      </x:c>
      <x:c r="G24" s="59" t="n">
        <x:v>0</x:v>
      </x:c>
      <x:c r="H24" s="59" t="n">
        <x:v>0</x:v>
      </x:c>
      <x:c r="I24" s="45" t="n">
        <x:f>'Revenue &amp; Subscriptions'!I24</x:f>
        <x:v>0</x:v>
      </x:c>
      <x:c r="J24" s="45" t="n">
        <x:f>'Revenue &amp; Subscriptions'!M24</x:f>
        <x:v>0</x:v>
      </x:c>
      <x:c r="K24" s="87" t="n">
        <x:f>COUNTIFS('Phase 1 Calendar'!$D$5:$D$300,A24,'Phase 1 Calendar'!$AF$5:$AF$300,"Core")</x:f>
        <x:v>3</x:v>
      </x:c>
      <x:c r="L24" s="87" t="n">
        <x:f>COUNTIFS('Phase 1 Calendar'!$D$5:$D$300,A24,'Phase 1 Calendar'!$AF$5:$AF$300,"Core",'Phase 1 Calendar'!$W$5:$W$300,"Posted")</x:f>
        <x:v>0</x:v>
      </x:c>
      <x:c r="M24" s="96" t="n">
        <x:f>SUMIFS('Fuel &amp; Field Ops'!$H$11:$H$110,'Fuel &amp; Field Ops'!$C$11:$C$110,A24)</x:f>
        <x:v>0</x:v>
      </x:c>
      <x:c r="N24" s="45" t="n">
        <x:f>SUMIFS('Fuel &amp; Field Ops'!$P$11:$P$110,'Fuel &amp; Field Ops'!$C$11:$C$110,A24)</x:f>
        <x:v>0</x:v>
      </x:c>
      <x:c r="O24" s="87" t="n">
        <x:f>SUMIFS('Fuel &amp; Field Ops'!$S$11:$S$110,'Fuel &amp; Field Ops'!$C$11:$C$110,A24)</x:f>
        <x:v>0</x:v>
      </x:c>
      <x:c r="P24" s="58" t="n">
        <x:v>0</x:v>
      </x:c>
      <x:c r="Q24" s="45" t="n">
        <x:f>SUMIFS('Money Log'!$G$5:$G$204,'Money Log'!$C$5:$C$204,A24,'Money Log'!$D$5:$D$204,"Expense",'Money Log'!$E$5:$E$204,"Ads")</x:f>
        <x:v>0</x:v>
      </x:c>
      <x:c r="R24" s="45" t="n">
        <x:f>SUMIFS('Money Log'!$G$5:$G$204,'Money Log'!$C$5:$C$204,A24,'Money Log'!$D$5:$D$204,"Expense",'Money Log'!$E$5:$E$204,"Creator")</x:f>
        <x:v>0</x:v>
      </x:c>
      <x:c r="S24" s="76" t="inlineStr">
        <x:is>
          <x:t xml:space="preserve"/>
        </x:is>
      </x:c>
      <x:c r="T24" s="76" t="inlineStr">
        <x:is>
          <x:t xml:space="preserve"/>
        </x:is>
      </x:c>
      <x:c r="U24" s="76" t="inlineStr">
        <x:is>
          <x:t xml:space="preserve"/>
        </x:is>
      </x:c>
      <x:c r="V24" s="76" t="inlineStr">
        <x:is>
          <x:t xml:space="preserve"/>
        </x:is>
      </x:c>
    </x:row>
    <x:row r="25">
      <x:c r="A25" s="31" t="n">
        <x:v>21</x:v>
      </x:c>
      <x:c r="B25" s="78" t="n">
        <x:v>46388</x:v>
      </x:c>
      <x:c r="C25" s="31" t="inlineStr">
        <x:is>
          <x:t xml:space="preserve">6. Scale What Works</x:t>
        </x:is>
      </x:c>
      <x:c r="D25" s="85" t="n">
        <x:f>'Revenue &amp; Subscriptions'!C25</x:f>
        <x:v>0</x:v>
      </x:c>
      <x:c r="E25" s="85" t="n">
        <x:f>'Revenue &amp; Subscriptions'!E25</x:f>
        <x:v>0</x:v>
      </x:c>
      <x:c r="F25" s="85" t="n">
        <x:f>'Revenue &amp; Subscriptions'!H25</x:f>
        <x:v>0</x:v>
      </x:c>
      <x:c r="G25" s="59" t="n">
        <x:v>0</x:v>
      </x:c>
      <x:c r="H25" s="59" t="n">
        <x:v>0</x:v>
      </x:c>
      <x:c r="I25" s="47" t="n">
        <x:f>'Revenue &amp; Subscriptions'!I25</x:f>
        <x:v>0</x:v>
      </x:c>
      <x:c r="J25" s="47" t="n">
        <x:f>'Revenue &amp; Subscriptions'!M25</x:f>
        <x:v>0</x:v>
      </x:c>
      <x:c r="K25" s="85" t="n">
        <x:f>COUNTIFS('Phase 1 Calendar'!$D$5:$D$300,A25,'Phase 1 Calendar'!$AF$5:$AF$300,"Core")</x:f>
        <x:v>0</x:v>
      </x:c>
      <x:c r="L25" s="85" t="n">
        <x:f>COUNTIFS('Phase 1 Calendar'!$D$5:$D$300,A25,'Phase 1 Calendar'!$AF$5:$AF$300,"Core",'Phase 1 Calendar'!$W$5:$W$300,"Posted")</x:f>
        <x:v>0</x:v>
      </x:c>
      <x:c r="M25" s="95" t="n">
        <x:f>SUMIFS('Fuel &amp; Field Ops'!$H$11:$H$110,'Fuel &amp; Field Ops'!$C$11:$C$110,A25)</x:f>
        <x:v>0</x:v>
      </x:c>
      <x:c r="N25" s="47" t="n">
        <x:f>SUMIFS('Fuel &amp; Field Ops'!$P$11:$P$110,'Fuel &amp; Field Ops'!$C$11:$C$110,A25)</x:f>
        <x:v>0</x:v>
      </x:c>
      <x:c r="O25" s="85" t="n">
        <x:f>SUMIFS('Fuel &amp; Field Ops'!$S$11:$S$110,'Fuel &amp; Field Ops'!$C$11:$C$110,A25)</x:f>
        <x:v>0</x:v>
      </x:c>
      <x:c r="P25" s="58" t="n">
        <x:v>0</x:v>
      </x:c>
      <x:c r="Q25" s="47" t="n">
        <x:f>SUMIFS('Money Log'!$G$5:$G$204,'Money Log'!$C$5:$C$204,A25,'Money Log'!$D$5:$D$204,"Expense",'Money Log'!$E$5:$E$204,"Ads")</x:f>
        <x:v>0</x:v>
      </x:c>
      <x:c r="R25" s="47" t="n">
        <x:f>SUMIFS('Money Log'!$G$5:$G$204,'Money Log'!$C$5:$C$204,A25,'Money Log'!$D$5:$D$204,"Expense",'Money Log'!$E$5:$E$204,"Creator")</x:f>
        <x:v>0</x:v>
      </x:c>
      <x:c r="S25" s="75" t="inlineStr">
        <x:is>
          <x:t xml:space="preserve"/>
        </x:is>
      </x:c>
      <x:c r="T25" s="75" t="inlineStr">
        <x:is>
          <x:t xml:space="preserve"/>
        </x:is>
      </x:c>
      <x:c r="U25" s="75" t="inlineStr">
        <x:is>
          <x:t xml:space="preserve"/>
        </x:is>
      </x:c>
      <x:c r="V25" s="75" t="inlineStr">
        <x:is>
          <x:t xml:space="preserve"/>
        </x:is>
      </x:c>
    </x:row>
    <x:row r="26">
      <x:c r="A26" s="30" t="n">
        <x:v>22</x:v>
      </x:c>
      <x:c r="B26" s="79" t="n">
        <x:v>46395</x:v>
      </x:c>
      <x:c r="C26" s="30" t="inlineStr">
        <x:is>
          <x:t xml:space="preserve">6. Scale What Works</x:t>
        </x:is>
      </x:c>
      <x:c r="D26" s="87" t="n">
        <x:f>'Revenue &amp; Subscriptions'!C26</x:f>
        <x:v>0</x:v>
      </x:c>
      <x:c r="E26" s="87" t="n">
        <x:f>'Revenue &amp; Subscriptions'!E26</x:f>
        <x:v>0</x:v>
      </x:c>
      <x:c r="F26" s="87" t="n">
        <x:f>'Revenue &amp; Subscriptions'!H26</x:f>
        <x:v>0</x:v>
      </x:c>
      <x:c r="G26" s="59" t="n">
        <x:v>0</x:v>
      </x:c>
      <x:c r="H26" s="59" t="n">
        <x:v>0</x:v>
      </x:c>
      <x:c r="I26" s="45" t="n">
        <x:f>'Revenue &amp; Subscriptions'!I26</x:f>
        <x:v>0</x:v>
      </x:c>
      <x:c r="J26" s="45" t="n">
        <x:f>'Revenue &amp; Subscriptions'!M26</x:f>
        <x:v>0</x:v>
      </x:c>
      <x:c r="K26" s="87" t="n">
        <x:f>COUNTIFS('Phase 1 Calendar'!$D$5:$D$300,A26,'Phase 1 Calendar'!$AF$5:$AF$300,"Core")</x:f>
        <x:v>0</x:v>
      </x:c>
      <x:c r="L26" s="87" t="n">
        <x:f>COUNTIFS('Phase 1 Calendar'!$D$5:$D$300,A26,'Phase 1 Calendar'!$AF$5:$AF$300,"Core",'Phase 1 Calendar'!$W$5:$W$300,"Posted")</x:f>
        <x:v>0</x:v>
      </x:c>
      <x:c r="M26" s="96" t="n">
        <x:f>SUMIFS('Fuel &amp; Field Ops'!$H$11:$H$110,'Fuel &amp; Field Ops'!$C$11:$C$110,A26)</x:f>
        <x:v>0</x:v>
      </x:c>
      <x:c r="N26" s="45" t="n">
        <x:f>SUMIFS('Fuel &amp; Field Ops'!$P$11:$P$110,'Fuel &amp; Field Ops'!$C$11:$C$110,A26)</x:f>
        <x:v>0</x:v>
      </x:c>
      <x:c r="O26" s="87" t="n">
        <x:f>SUMIFS('Fuel &amp; Field Ops'!$S$11:$S$110,'Fuel &amp; Field Ops'!$C$11:$C$110,A26)</x:f>
        <x:v>0</x:v>
      </x:c>
      <x:c r="P26" s="58" t="n">
        <x:v>0</x:v>
      </x:c>
      <x:c r="Q26" s="45" t="n">
        <x:f>SUMIFS('Money Log'!$G$5:$G$204,'Money Log'!$C$5:$C$204,A26,'Money Log'!$D$5:$D$204,"Expense",'Money Log'!$E$5:$E$204,"Ads")</x:f>
        <x:v>0</x:v>
      </x:c>
      <x:c r="R26" s="45" t="n">
        <x:f>SUMIFS('Money Log'!$G$5:$G$204,'Money Log'!$C$5:$C$204,A26,'Money Log'!$D$5:$D$204,"Expense",'Money Log'!$E$5:$E$204,"Creator")</x:f>
        <x:v>0</x:v>
      </x:c>
      <x:c r="S26" s="76" t="inlineStr">
        <x:is>
          <x:t xml:space="preserve"/>
        </x:is>
      </x:c>
      <x:c r="T26" s="76" t="inlineStr">
        <x:is>
          <x:t xml:space="preserve"/>
        </x:is>
      </x:c>
      <x:c r="U26" s="76" t="inlineStr">
        <x:is>
          <x:t xml:space="preserve"/>
        </x:is>
      </x:c>
      <x:c r="V26" s="76" t="inlineStr">
        <x:is>
          <x:t xml:space="preserve"/>
        </x:is>
      </x:c>
    </x:row>
    <x:row r="27">
      <x:c r="A27" s="31" t="n">
        <x:v>23</x:v>
      </x:c>
      <x:c r="B27" s="78" t="n">
        <x:v>46402</x:v>
      </x:c>
      <x:c r="C27" s="31" t="inlineStr">
        <x:is>
          <x:t xml:space="preserve">6. Scale What Works</x:t>
        </x:is>
      </x:c>
      <x:c r="D27" s="85" t="n">
        <x:f>'Revenue &amp; Subscriptions'!C27</x:f>
        <x:v>0</x:v>
      </x:c>
      <x:c r="E27" s="85" t="n">
        <x:f>'Revenue &amp; Subscriptions'!E27</x:f>
        <x:v>0</x:v>
      </x:c>
      <x:c r="F27" s="85" t="n">
        <x:f>'Revenue &amp; Subscriptions'!H27</x:f>
        <x:v>0</x:v>
      </x:c>
      <x:c r="G27" s="59" t="n">
        <x:v>0</x:v>
      </x:c>
      <x:c r="H27" s="59" t="n">
        <x:v>0</x:v>
      </x:c>
      <x:c r="I27" s="47" t="n">
        <x:f>'Revenue &amp; Subscriptions'!I27</x:f>
        <x:v>0</x:v>
      </x:c>
      <x:c r="J27" s="47" t="n">
        <x:f>'Revenue &amp; Subscriptions'!M27</x:f>
        <x:v>0</x:v>
      </x:c>
      <x:c r="K27" s="85" t="n">
        <x:f>COUNTIFS('Phase 1 Calendar'!$D$5:$D$300,A27,'Phase 1 Calendar'!$AF$5:$AF$300,"Core")</x:f>
        <x:v>0</x:v>
      </x:c>
      <x:c r="L27" s="85" t="n">
        <x:f>COUNTIFS('Phase 1 Calendar'!$D$5:$D$300,A27,'Phase 1 Calendar'!$AF$5:$AF$300,"Core",'Phase 1 Calendar'!$W$5:$W$300,"Posted")</x:f>
        <x:v>0</x:v>
      </x:c>
      <x:c r="M27" s="95" t="n">
        <x:f>SUMIFS('Fuel &amp; Field Ops'!$H$11:$H$110,'Fuel &amp; Field Ops'!$C$11:$C$110,A27)</x:f>
        <x:v>0</x:v>
      </x:c>
      <x:c r="N27" s="47" t="n">
        <x:f>SUMIFS('Fuel &amp; Field Ops'!$P$11:$P$110,'Fuel &amp; Field Ops'!$C$11:$C$110,A27)</x:f>
        <x:v>0</x:v>
      </x:c>
      <x:c r="O27" s="85" t="n">
        <x:f>SUMIFS('Fuel &amp; Field Ops'!$S$11:$S$110,'Fuel &amp; Field Ops'!$C$11:$C$110,A27)</x:f>
        <x:v>0</x:v>
      </x:c>
      <x:c r="P27" s="58" t="n">
        <x:v>0</x:v>
      </x:c>
      <x:c r="Q27" s="47" t="n">
        <x:f>SUMIFS('Money Log'!$G$5:$G$204,'Money Log'!$C$5:$C$204,A27,'Money Log'!$D$5:$D$204,"Expense",'Money Log'!$E$5:$E$204,"Ads")</x:f>
        <x:v>0</x:v>
      </x:c>
      <x:c r="R27" s="47" t="n">
        <x:f>SUMIFS('Money Log'!$G$5:$G$204,'Money Log'!$C$5:$C$204,A27,'Money Log'!$D$5:$D$204,"Expense",'Money Log'!$E$5:$E$204,"Creator")</x:f>
        <x:v>0</x:v>
      </x:c>
      <x:c r="S27" s="75" t="inlineStr">
        <x:is>
          <x:t xml:space="preserve"/>
        </x:is>
      </x:c>
      <x:c r="T27" s="75" t="inlineStr">
        <x:is>
          <x:t xml:space="preserve"/>
        </x:is>
      </x:c>
      <x:c r="U27" s="75" t="inlineStr">
        <x:is>
          <x:t xml:space="preserve"/>
        </x:is>
      </x:c>
      <x:c r="V27" s="75" t="inlineStr">
        <x:is>
          <x:t xml:space="preserve"/>
        </x:is>
      </x:c>
    </x:row>
    <x:row r="28">
      <x:c r="A28" s="30" t="n">
        <x:v>24</x:v>
      </x:c>
      <x:c r="B28" s="79" t="n">
        <x:v>46409</x:v>
      </x:c>
      <x:c r="C28" s="30" t="inlineStr">
        <x:is>
          <x:t xml:space="preserve">6. Scale What Works</x:t>
        </x:is>
      </x:c>
      <x:c r="D28" s="87" t="n">
        <x:f>'Revenue &amp; Subscriptions'!C28</x:f>
        <x:v>0</x:v>
      </x:c>
      <x:c r="E28" s="87" t="n">
        <x:f>'Revenue &amp; Subscriptions'!E28</x:f>
        <x:v>0</x:v>
      </x:c>
      <x:c r="F28" s="87" t="n">
        <x:f>'Revenue &amp; Subscriptions'!H28</x:f>
        <x:v>0</x:v>
      </x:c>
      <x:c r="G28" s="59" t="n">
        <x:v>0</x:v>
      </x:c>
      <x:c r="H28" s="59" t="n">
        <x:v>0</x:v>
      </x:c>
      <x:c r="I28" s="45" t="n">
        <x:f>'Revenue &amp; Subscriptions'!I28</x:f>
        <x:v>0</x:v>
      </x:c>
      <x:c r="J28" s="45" t="n">
        <x:f>'Revenue &amp; Subscriptions'!M28</x:f>
        <x:v>0</x:v>
      </x:c>
      <x:c r="K28" s="87" t="n">
        <x:f>COUNTIFS('Phase 1 Calendar'!$D$5:$D$300,A28,'Phase 1 Calendar'!$AF$5:$AF$300,"Core")</x:f>
        <x:v>0</x:v>
      </x:c>
      <x:c r="L28" s="87" t="n">
        <x:f>COUNTIFS('Phase 1 Calendar'!$D$5:$D$300,A28,'Phase 1 Calendar'!$AF$5:$AF$300,"Core",'Phase 1 Calendar'!$W$5:$W$300,"Posted")</x:f>
        <x:v>0</x:v>
      </x:c>
      <x:c r="M28" s="96" t="n">
        <x:f>SUMIFS('Fuel &amp; Field Ops'!$H$11:$H$110,'Fuel &amp; Field Ops'!$C$11:$C$110,A28)</x:f>
        <x:v>0</x:v>
      </x:c>
      <x:c r="N28" s="45" t="n">
        <x:f>SUMIFS('Fuel &amp; Field Ops'!$P$11:$P$110,'Fuel &amp; Field Ops'!$C$11:$C$110,A28)</x:f>
        <x:v>0</x:v>
      </x:c>
      <x:c r="O28" s="87" t="n">
        <x:f>SUMIFS('Fuel &amp; Field Ops'!$S$11:$S$110,'Fuel &amp; Field Ops'!$C$11:$C$110,A28)</x:f>
        <x:v>0</x:v>
      </x:c>
      <x:c r="P28" s="58" t="n">
        <x:v>0</x:v>
      </x:c>
      <x:c r="Q28" s="45" t="n">
        <x:f>SUMIFS('Money Log'!$G$5:$G$204,'Money Log'!$C$5:$C$204,A28,'Money Log'!$D$5:$D$204,"Expense",'Money Log'!$E$5:$E$204,"Ads")</x:f>
        <x:v>0</x:v>
      </x:c>
      <x:c r="R28" s="45" t="n">
        <x:f>SUMIFS('Money Log'!$G$5:$G$204,'Money Log'!$C$5:$C$204,A28,'Money Log'!$D$5:$D$204,"Expense",'Money Log'!$E$5:$E$204,"Creator")</x:f>
        <x:v>0</x:v>
      </x:c>
      <x:c r="S28" s="76" t="inlineStr">
        <x:is>
          <x:t xml:space="preserve"/>
        </x:is>
      </x:c>
      <x:c r="T28" s="76" t="inlineStr">
        <x:is>
          <x:t xml:space="preserve"/>
        </x:is>
      </x:c>
      <x:c r="U28" s="76" t="inlineStr">
        <x:is>
          <x:t xml:space="preserve"/>
        </x:is>
      </x:c>
      <x:c r="V28" s="76" t="inlineStr">
        <x:is>
          <x:t xml:space="preserve"/>
        </x:is>
      </x:c>
    </x:row>
  </x:sheetData>
  <x:mergeCells>
    <x:mergeCell ref="A2:V2"/>
    <x:mergeCell ref="A1:V1"/>
  </x:mergeCells>
  <x:dataValidations count="1">
    <x:dataValidation type="list" allowBlank="1" showDropDown="0" showInputMessage="0" showErrorMessage="0" errorTitle="Invalid value" error="Choose a value from the dropdown." sqref="V5:V28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19f8a2b63346f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5" customWidth="1"/>
    <x:col min="3" max="3" width="28" customWidth="1"/>
    <x:col min="4" max="4" width="50" customWidth="1"/>
    <x:col min="5" max="5" width="50" customWidth="1"/>
    <x:col min="6" max="6" width="16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6" customWidth="1"/>
    <x:col min="12" max="12" width="16" customWidth="1"/>
    <x:col min="13" max="13" width="40" customWidth="1"/>
    <x:col min="14" max="14" width="20" customWidth="1"/>
  </x:cols>
  <x:sheetData>
    <x:row r="1" ht="30" customHeight="1">
      <x:c r="A1" s="1" t="n"/>
      <x:c r="B1" s="1" t="inlineStr">
        <x:is>
          <x:t xml:space="preserve">Growth Experiments Bank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2" ht="34" customHeight="1">
      <x:c r="A2" s="2" t="n"/>
      <x:c r="B2" s="2" t="inlineStr">
        <x:is>
          <x:t xml:space="preserve">Different, non-repetitive growth ideas. Score, test, and kill/repeat using evidence.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/>
    <x:row r="4" ht="32" customHeight="1">
      <x:c r="A4" s="10" t="inlineStr">
        <x:is>
          <x:t xml:space="preserve">ID</x:t>
        </x:is>
      </x:c>
      <x:c r="B4" s="10" t="inlineStr">
        <x:is>
          <x:t xml:space="preserve">Channel</x:t>
        </x:is>
      </x:c>
      <x:c r="C4" s="10" t="inlineStr">
        <x:is>
          <x:t xml:space="preserve">Experiment</x:t>
        </x:is>
      </x:c>
      <x:c r="D4" s="10" t="inlineStr">
        <x:is>
          <x:t xml:space="preserve">Hypothesis</x:t>
        </x:is>
      </x:c>
      <x:c r="E4" s="10" t="inlineStr">
        <x:is>
          <x:t xml:space="preserve">How to Run It</x:t>
        </x:is>
      </x:c>
      <x:c r="F4" s="10" t="inlineStr">
        <x:is>
          <x:t xml:space="preserve">Cost Band</x:t>
        </x:is>
      </x:c>
      <x:c r="G4" s="10" t="inlineStr">
        <x:is>
          <x:t xml:space="preserve">Reach</x:t>
        </x:is>
      </x:c>
      <x:c r="H4" s="10" t="inlineStr">
        <x:is>
          <x:t xml:space="preserve">Trust</x:t>
        </x:is>
      </x:c>
      <x:c r="I4" s="10" t="inlineStr">
        <x:is>
          <x:t xml:space="preserve">Speed</x:t>
        </x:is>
      </x:c>
      <x:c r="J4" s="10" t="inlineStr">
        <x:is>
          <x:t xml:space="preserve">Effort</x:t>
        </x:is>
      </x:c>
      <x:c r="K4" s="10" t="inlineStr">
        <x:is>
          <x:t xml:space="preserve">Priority Score</x:t>
        </x:is>
      </x:c>
      <x:c r="L4" s="10" t="inlineStr">
        <x:is>
          <x:t xml:space="preserve">Status</x:t>
        </x:is>
      </x:c>
      <x:c r="M4" s="10" t="inlineStr">
        <x:is>
          <x:t xml:space="preserve">Stop/Scale Rule</x:t>
        </x:is>
      </x:c>
      <x:c r="N4" s="10" t="inlineStr">
        <x:is>
          <x:t xml:space="preserve">Owner</x:t>
        </x:is>
      </x:c>
    </x:row>
    <x:row r="5" ht="64" customHeight="1">
      <x:c r="A5" s="7" t="inlineStr">
        <x:is>
          <x:t xml:space="preserve">G01</x:t>
        </x:is>
      </x:c>
      <x:c r="B5" s="7" t="inlineStr">
        <x:is>
          <x:t xml:space="preserve">TikTok</x:t>
        </x:is>
      </x:c>
      <x:c r="C5" s="7" t="inlineStr">
        <x:is>
          <x:t xml:space="preserve">Founder origin story</x:t>
        </x:is>
      </x:c>
      <x:c r="D5" s="7" t="inlineStr">
        <x:is>
          <x:t xml:space="preserve">People trust a human founder more than an anonymous app.</x:t>
        </x:is>
      </x:c>
      <x:c r="E5" s="7" t="inlineStr">
        <x:is>
          <x:t xml:space="preserve">Direct founder video explaining the exact driver problem and beta invite.</x:t>
        </x:is>
      </x:c>
      <x:c r="F5" s="7" t="inlineStr">
        <x:is>
          <x:t xml:space="preserve">Free</x:t>
        </x:is>
      </x:c>
      <x:c r="G5" s="21" t="n">
        <x:v>4</x:v>
      </x:c>
      <x:c r="H5" s="21" t="n">
        <x:v>5</x:v>
      </x:c>
      <x:c r="I5" s="21" t="n">
        <x:v>5</x:v>
      </x:c>
      <x:c r="J5" s="21" t="n">
        <x:v>2</x:v>
      </x:c>
      <x:c r="K5" s="14" t="n">
        <x:f>SUM(G5:I5)-J5</x:f>
        <x:v>12</x:v>
      </x:c>
      <x:c r="L5" s="21" t="inlineStr">
        <x:is>
          <x:t xml:space="preserve">Backlog</x:t>
        </x:is>
      </x:c>
      <x:c r="M5" s="7" t="inlineStr">
        <x:is>
          <x:t xml:space="preserve">Scale if comments ask for link/testers join.</x:t>
        </x:is>
      </x:c>
      <x:c r="N5" s="21" t="inlineStr">
        <x:is>
          <x:t xml:space="preserve">Founder</x:t>
        </x:is>
      </x:c>
    </x:row>
    <x:row r="6" ht="64" customHeight="1">
      <x:c r="A6" s="5" t="inlineStr">
        <x:is>
          <x:t xml:space="preserve">G02</x:t>
        </x:is>
      </x:c>
      <x:c r="B6" s="5" t="inlineStr">
        <x:is>
          <x:t xml:space="preserve">TikTok</x:t>
        </x:is>
      </x:c>
      <x:c r="C6" s="5" t="inlineStr">
        <x:is>
          <x:t xml:space="preserve">Road myth busting series</x:t>
        </x:is>
      </x:c>
      <x:c r="D6" s="5" t="inlineStr">
        <x:is>
          <x:t xml:space="preserve">Education earns trust before asking for installs.</x:t>
        </x:is>
      </x:c>
      <x:c r="E6" s="5" t="inlineStr">
        <x:is>
          <x:t xml:space="preserve">Short clips explaining speed limits, safety myths, and responsible alerts.</x:t>
        </x:is>
      </x:c>
      <x:c r="F6" s="5" t="inlineStr">
        <x:is>
          <x:t xml:space="preserve">Free</x:t>
        </x:is>
      </x:c>
      <x:c r="G6" s="21" t="n">
        <x:v>4</x:v>
      </x:c>
      <x:c r="H6" s="21" t="n">
        <x:v>4</x:v>
      </x:c>
      <x:c r="I6" s="21" t="n">
        <x:v>4</x:v>
      </x:c>
      <x:c r="J6" s="21" t="n">
        <x:v>2</x:v>
      </x:c>
      <x:c r="K6" s="14" t="n">
        <x:f>SUM(G6:I6)-J6</x:f>
        <x:v>10</x:v>
      </x:c>
      <x:c r="L6" s="21" t="inlineStr">
        <x:is>
          <x:t xml:space="preserve">Backlog</x:t>
        </x:is>
      </x:c>
      <x:c r="M6" s="5" t="inlineStr">
        <x:is>
          <x:t xml:space="preserve">Repeat posts with saves/shares.</x:t>
        </x:is>
      </x:c>
      <x:c r="N6" s="21" t="inlineStr">
        <x:is>
          <x:t xml:space="preserve">Founder</x:t>
        </x:is>
      </x:c>
    </x:row>
    <x:row r="7" ht="64" customHeight="1">
      <x:c r="A7" s="7" t="inlineStr">
        <x:is>
          <x:t xml:space="preserve">G03</x:t>
        </x:is>
      </x:c>
      <x:c r="B7" s="7" t="inlineStr">
        <x:is>
          <x:t xml:space="preserve">Instagram</x:t>
        </x:is>
      </x:c>
      <x:c r="C7" s="7" t="inlineStr">
        <x:is>
          <x:t xml:space="preserve">Proof-of-build carousel</x:t>
        </x:is>
      </x:c>
      <x:c r="D7" s="7" t="inlineStr">
        <x:is>
          <x:t xml:space="preserve">Screenshots make the app feel real before brand is known.</x:t>
        </x:is>
      </x:c>
      <x:c r="E7" s="7" t="inlineStr">
        <x:is>
          <x:t xml:space="preserve">Carousel: problem, app screen, beta ask, safety disclaimer.</x:t>
        </x:is>
      </x:c>
      <x:c r="F7" s="7" t="inlineStr">
        <x:is>
          <x:t xml:space="preserve">Free</x:t>
        </x:is>
      </x:c>
      <x:c r="G7" s="21" t="n">
        <x:v>3</x:v>
      </x:c>
      <x:c r="H7" s="21" t="n">
        <x:v>4</x:v>
      </x:c>
      <x:c r="I7" s="21" t="n">
        <x:v>4</x:v>
      </x:c>
      <x:c r="J7" s="21" t="n">
        <x:v>2</x:v>
      </x:c>
      <x:c r="K7" s="14" t="n">
        <x:f>SUM(G7:I7)-J7</x:f>
        <x:v>9</x:v>
      </x:c>
      <x:c r="L7" s="21" t="inlineStr">
        <x:is>
          <x:t xml:space="preserve">Backlog</x:t>
        </x:is>
      </x:c>
      <x:c r="M7" s="7" t="inlineStr">
        <x:is>
          <x:t xml:space="preserve">Repeat if profile visits/DMs increase.</x:t>
        </x:is>
      </x:c>
      <x:c r="N7" s="21" t="inlineStr">
        <x:is>
          <x:t xml:space="preserve">Founder</x:t>
        </x:is>
      </x:c>
    </x:row>
    <x:row r="8" ht="64" customHeight="1">
      <x:c r="A8" s="5" t="inlineStr">
        <x:is>
          <x:t xml:space="preserve">G04</x:t>
        </x:is>
      </x:c>
      <x:c r="B8" s="5" t="inlineStr">
        <x:is>
          <x:t xml:space="preserve">WhatsApp</x:t>
        </x:is>
      </x:c>
      <x:c r="C8" s="5" t="inlineStr">
        <x:is>
          <x:t xml:space="preserve">Tester referral chain</x:t>
        </x:is>
      </x:c>
      <x:c r="D8" s="5" t="inlineStr">
        <x:is>
          <x:t xml:space="preserve">Warm referrals beat cold ads at zero budget.</x:t>
        </x:is>
      </x:c>
      <x:c r="E8" s="5" t="inlineStr">
        <x:is>
          <x:t xml:space="preserve">Ask every tester to invite two people who drive same route.</x:t>
        </x:is>
      </x:c>
      <x:c r="F8" s="5" t="inlineStr">
        <x:is>
          <x:t xml:space="preserve">Free</x:t>
        </x:is>
      </x:c>
      <x:c r="G8" s="21" t="n">
        <x:v>3</x:v>
      </x:c>
      <x:c r="H8" s="21" t="n">
        <x:v>5</x:v>
      </x:c>
      <x:c r="I8" s="21" t="n">
        <x:v>5</x:v>
      </x:c>
      <x:c r="J8" s="21" t="n">
        <x:v>2</x:v>
      </x:c>
      <x:c r="K8" s="14" t="n">
        <x:f>SUM(G8:I8)-J8</x:f>
        <x:v>11</x:v>
      </x:c>
      <x:c r="L8" s="21" t="inlineStr">
        <x:is>
          <x:t xml:space="preserve">Backlog</x:t>
        </x:is>
      </x:c>
      <x:c r="M8" s="5" t="inlineStr">
        <x:is>
          <x:t xml:space="preserve">Scale if invited users complete onboarding.</x:t>
        </x:is>
      </x:c>
      <x:c r="N8" s="21" t="inlineStr">
        <x:is>
          <x:t xml:space="preserve">Founder</x:t>
        </x:is>
      </x:c>
    </x:row>
    <x:row r="9" ht="64" customHeight="1">
      <x:c r="A9" s="7" t="inlineStr">
        <x:is>
          <x:t xml:space="preserve">G05</x:t>
        </x:is>
      </x:c>
      <x:c r="B9" s="7" t="inlineStr">
        <x:is>
          <x:t xml:space="preserve">Community</x:t>
        </x:is>
      </x:c>
      <x:c r="C9" s="7" t="inlineStr">
        <x:is>
          <x:t xml:space="preserve">Car group value post</x:t>
        </x:is>
      </x:c>
      <x:c r="D9" s="7" t="inlineStr">
        <x:is>
          <x:t xml:space="preserve">Useful safety posts earn permission to share beta link.</x:t>
        </x:is>
      </x:c>
      <x:c r="E9" s="7" t="inlineStr">
        <x:is>
          <x:t xml:space="preserve">Join relevant groups; post safety insight first, beta link second.</x:t>
        </x:is>
      </x:c>
      <x:c r="F9" s="7" t="inlineStr">
        <x:is>
          <x:t xml:space="preserve">Free</x:t>
        </x:is>
      </x:c>
      <x:c r="G9" s="21" t="n">
        <x:v>3</x:v>
      </x:c>
      <x:c r="H9" s="21" t="n">
        <x:v>4</x:v>
      </x:c>
      <x:c r="I9" s="21" t="n">
        <x:v>3</x:v>
      </x:c>
      <x:c r="J9" s="21" t="n">
        <x:v>3</x:v>
      </x:c>
      <x:c r="K9" s="14" t="n">
        <x:f>SUM(G9:I9)-J9</x:f>
        <x:v>7</x:v>
      </x:c>
      <x:c r="L9" s="21" t="inlineStr">
        <x:is>
          <x:t xml:space="preserve">Backlog</x:t>
        </x:is>
      </x:c>
      <x:c r="M9" s="7" t="inlineStr">
        <x:is>
          <x:t xml:space="preserve">Continue only where admins approve and comments are useful.</x:t>
        </x:is>
      </x:c>
      <x:c r="N9" s="21" t="inlineStr">
        <x:is>
          <x:t xml:space="preserve">Founder</x:t>
        </x:is>
      </x:c>
    </x:row>
    <x:row r="10" ht="64" customHeight="1">
      <x:c r="A10" s="5" t="inlineStr">
        <x:is>
          <x:t xml:space="preserve">G06</x:t>
        </x:is>
      </x:c>
      <x:c r="B10" s="5" t="inlineStr">
        <x:is>
          <x:t xml:space="preserve">Community</x:t>
        </x:is>
      </x:c>
      <x:c r="C10" s="5" t="inlineStr">
        <x:is>
          <x:t xml:space="preserve">Boda rider feedback sprint</x:t>
        </x:is>
      </x:c>
      <x:c r="D10" s="5" t="inlineStr">
        <x:is>
          <x:t xml:space="preserve">Riders know road hazards and validate assumptions.</x:t>
        </x:is>
      </x:c>
      <x:c r="E10" s="5" t="inlineStr">
        <x:is>
          <x:t xml:space="preserve">Talk to 10 riders near busy area; collect pain points and route concerns.</x:t>
        </x:is>
      </x:c>
      <x:c r="F10" s="5" t="inlineStr">
        <x:is>
          <x:t xml:space="preserve">Low</x:t>
        </x:is>
      </x:c>
      <x:c r="G10" s="21" t="n">
        <x:v>2</x:v>
      </x:c>
      <x:c r="H10" s="21" t="n">
        <x:v>5</x:v>
      </x:c>
      <x:c r="I10" s="21" t="n">
        <x:v>4</x:v>
      </x:c>
      <x:c r="J10" s="21" t="n">
        <x:v>3</x:v>
      </x:c>
      <x:c r="K10" s="14" t="n">
        <x:f>SUM(G10:I10)-J10</x:f>
        <x:v>8</x:v>
      </x:c>
      <x:c r="L10" s="21" t="inlineStr">
        <x:is>
          <x:t xml:space="preserve">Backlog</x:t>
        </x:is>
      </x:c>
      <x:c r="M10" s="5" t="inlineStr">
        <x:is>
          <x:t xml:space="preserve">Continue if reports improve data quality.</x:t>
        </x:is>
      </x:c>
      <x:c r="N10" s="21" t="inlineStr">
        <x:is>
          <x:t xml:space="preserve">Founder</x:t>
        </x:is>
      </x:c>
    </x:row>
    <x:row r="11" ht="64" customHeight="1">
      <x:c r="A11" s="7" t="inlineStr">
        <x:is>
          <x:t xml:space="preserve">G07</x:t>
        </x:is>
      </x:c>
      <x:c r="B11" s="7" t="inlineStr">
        <x:is>
          <x:t xml:space="preserve">Field</x:t>
        </x:is>
      </x:c>
      <x:c r="C11" s="7" t="inlineStr">
        <x:is>
          <x:t xml:space="preserve">Parking-lot demo</x:t>
        </x:is>
      </x:c>
      <x:c r="D11" s="7" t="inlineStr">
        <x:is>
          <x:t xml:space="preserve">Real drivers give better feedback than online strangers.</x:t>
        </x:is>
      </x:c>
      <x:c r="E11" s="7" t="inlineStr">
        <x:is>
          <x:t xml:space="preserve">Demo app to 10 parked drivers in a safe location; ask for install/feedback.</x:t>
        </x:is>
      </x:c>
      <x:c r="F11" s="7" t="inlineStr">
        <x:is>
          <x:t xml:space="preserve">Low</x:t>
        </x:is>
      </x:c>
      <x:c r="G11" s="21" t="n">
        <x:v>2</x:v>
      </x:c>
      <x:c r="H11" s="21" t="n">
        <x:v>5</x:v>
      </x:c>
      <x:c r="I11" s="21" t="n">
        <x:v>4</x:v>
      </x:c>
      <x:c r="J11" s="21" t="n">
        <x:v>3</x:v>
      </x:c>
      <x:c r="K11" s="14" t="n">
        <x:f>SUM(G11:I11)-J11</x:f>
        <x:v>8</x:v>
      </x:c>
      <x:c r="L11" s="21" t="inlineStr">
        <x:is>
          <x:t xml:space="preserve">Backlog</x:t>
        </x:is>
      </x:c>
      <x:c r="M11" s="7" t="inlineStr">
        <x:is>
          <x:t xml:space="preserve">Repeat if installs and quotes are strong.</x:t>
        </x:is>
      </x:c>
      <x:c r="N11" s="21" t="inlineStr">
        <x:is>
          <x:t xml:space="preserve">Founder</x:t>
        </x:is>
      </x:c>
    </x:row>
    <x:row r="12" ht="64" customHeight="1">
      <x:c r="A12" s="5" t="inlineStr">
        <x:is>
          <x:t xml:space="preserve">G08</x:t>
        </x:is>
      </x:c>
      <x:c r="B12" s="5" t="inlineStr">
        <x:is>
          <x:t xml:space="preserve">Partnership</x:t>
        </x:is>
      </x:c>
      <x:c r="C12" s="5" t="inlineStr">
        <x:is>
          <x:t xml:space="preserve">Driving school beta</x:t>
        </x:is>
      </x:c>
      <x:c r="D12" s="5" t="inlineStr">
        <x:is>
          <x:t xml:space="preserve">Driving schools have learners who care about road rules.</x:t>
        </x:is>
      </x:c>
      <x:c r="E12" s="5" t="inlineStr">
        <x:is>
          <x:t xml:space="preserve">Offer free safety-tech demo and beta invite to one driving school.</x:t>
        </x:is>
      </x:c>
      <x:c r="F12" s="5" t="inlineStr">
        <x:is>
          <x:t xml:space="preserve">Low</x:t>
        </x:is>
      </x:c>
      <x:c r="G12" s="21" t="n">
        <x:v>3</x:v>
      </x:c>
      <x:c r="H12" s="21" t="n">
        <x:v>5</x:v>
      </x:c>
      <x:c r="I12" s="21" t="n">
        <x:v>3</x:v>
      </x:c>
      <x:c r="J12" s="21" t="n">
        <x:v>4</x:v>
      </x:c>
      <x:c r="K12" s="14" t="n">
        <x:f>SUM(G12:I12)-J12</x:f>
        <x:v>7</x:v>
      </x:c>
      <x:c r="L12" s="21" t="inlineStr">
        <x:is>
          <x:t xml:space="preserve">Backlog</x:t>
        </x:is>
      </x:c>
      <x:c r="M12" s="5" t="inlineStr">
        <x:is>
          <x:t xml:space="preserve">Scale if school introduces you to students.</x:t>
        </x:is>
      </x:c>
      <x:c r="N12" s="21" t="inlineStr">
        <x:is>
          <x:t xml:space="preserve">Founder</x:t>
        </x:is>
      </x:c>
    </x:row>
    <x:row r="13" ht="64" customHeight="1">
      <x:c r="A13" s="7" t="inlineStr">
        <x:is>
          <x:t xml:space="preserve">G09</x:t>
        </x:is>
      </x:c>
      <x:c r="B13" s="7" t="inlineStr">
        <x:is>
          <x:t xml:space="preserve">Partnership</x:t>
        </x:is>
      </x:c>
      <x:c r="C13" s="7" t="inlineStr">
        <x:is>
          <x:t xml:space="preserve">Garage safety poster</x:t>
        </x:is>
      </x:c>
      <x:c r="D13" s="7" t="inlineStr">
        <x:is>
          <x:t xml:space="preserve">Garages have car owners and trust context.</x:t>
        </x:is>
      </x:c>
      <x:c r="E13" s="7" t="inlineStr">
        <x:is>
          <x:t xml:space="preserve">Create simple poster/QR code for one friendly garage.</x:t>
        </x:is>
      </x:c>
      <x:c r="F13" s="7" t="inlineStr">
        <x:is>
          <x:t xml:space="preserve">Low</x:t>
        </x:is>
      </x:c>
      <x:c r="G13" s="21" t="n">
        <x:v>2</x:v>
      </x:c>
      <x:c r="H13" s="21" t="n">
        <x:v>4</x:v>
      </x:c>
      <x:c r="I13" s="21" t="n">
        <x:v>3</x:v>
      </x:c>
      <x:c r="J13" s="21" t="n">
        <x:v>3</x:v>
      </x:c>
      <x:c r="K13" s="14" t="n">
        <x:f>SUM(G13:I13)-J13</x:f>
        <x:v>6</x:v>
      </x:c>
      <x:c r="L13" s="21" t="inlineStr">
        <x:is>
          <x:t xml:space="preserve">Backlog</x:t>
        </x:is>
      </x:c>
      <x:c r="M13" s="7" t="inlineStr">
        <x:is>
          <x:t xml:space="preserve">Repeat only if QR scans/install tracked.</x:t>
        </x:is>
      </x:c>
      <x:c r="N13" s="21" t="inlineStr">
        <x:is>
          <x:t xml:space="preserve">Founder</x:t>
        </x:is>
      </x:c>
    </x:row>
    <x:row r="14" ht="64" customHeight="1">
      <x:c r="A14" s="5" t="inlineStr">
        <x:is>
          <x:t xml:space="preserve">G10</x:t>
        </x:is>
      </x:c>
      <x:c r="B14" s="5" t="inlineStr">
        <x:is>
          <x:t xml:space="preserve">Partnership</x:t>
        </x:is>
      </x:c>
      <x:c r="C14" s="5" t="inlineStr">
        <x:is>
          <x:t xml:space="preserve">Insurance agent intro</x:t>
        </x:is>
      </x:c>
      <x:c r="D14" s="5" t="inlineStr">
        <x:is>
          <x:t xml:space="preserve">Insurance and road safety are naturally connected.</x:t>
        </x:is>
      </x:c>
      <x:c r="E14" s="5" t="inlineStr">
        <x:is>
          <x:t xml:space="preserve">Pitch safety-content partnership to one insurance agent/broker.</x:t>
        </x:is>
      </x:c>
      <x:c r="F14" s="5" t="inlineStr">
        <x:is>
          <x:t xml:space="preserve">Free</x:t>
        </x:is>
      </x:c>
      <x:c r="G14" s="21" t="n">
        <x:v>2</x:v>
      </x:c>
      <x:c r="H14" s="21" t="n">
        <x:v>4</x:v>
      </x:c>
      <x:c r="I14" s="21" t="n">
        <x:v>2</x:v>
      </x:c>
      <x:c r="J14" s="21" t="n">
        <x:v>4</x:v>
      </x:c>
      <x:c r="K14" s="14" t="n">
        <x:f>SUM(G14:I14)-J14</x:f>
        <x:v>4</x:v>
      </x:c>
      <x:c r="L14" s="21" t="inlineStr">
        <x:is>
          <x:t xml:space="preserve">Backlog</x:t>
        </x:is>
      </x:c>
      <x:c r="M14" s="5" t="inlineStr">
        <x:is>
          <x:t xml:space="preserve">Continue if they share or ask for pilot.</x:t>
        </x:is>
      </x:c>
      <x:c r="N14" s="21" t="inlineStr">
        <x:is>
          <x:t xml:space="preserve">Founder</x:t>
        </x:is>
      </x:c>
    </x:row>
    <x:row r="15" ht="64" customHeight="1">
      <x:c r="A15" s="7" t="inlineStr">
        <x:is>
          <x:t xml:space="preserve">G11</x:t>
        </x:is>
      </x:c>
      <x:c r="B15" s="7" t="inlineStr">
        <x:is>
          <x:t xml:space="preserve">Creator</x:t>
        </x:is>
      </x:c>
      <x:c r="C15" s="7" t="inlineStr">
        <x:is>
          <x:t xml:space="preserve">Micro car creator demo</x:t>
        </x:is>
      </x:c>
      <x:c r="D15" s="7" t="inlineStr">
        <x:is>
          <x:t xml:space="preserve">Small creators can create trust cheaply if measured.</x:t>
        </x:is>
      </x:c>
      <x:c r="E15" s="7" t="inlineStr">
        <x:is>
          <x:t xml:space="preserve">Partner with 1 creator; script includes safety angle and referral link.</x:t>
        </x:is>
      </x:c>
      <x:c r="F15" s="7" t="inlineStr">
        <x:is>
          <x:t xml:space="preserve">Medium</x:t>
        </x:is>
      </x:c>
      <x:c r="G15" s="21" t="n">
        <x:v>4</x:v>
      </x:c>
      <x:c r="H15" s="21" t="n">
        <x:v>4</x:v>
      </x:c>
      <x:c r="I15" s="21" t="n">
        <x:v>3</x:v>
      </x:c>
      <x:c r="J15" s="21" t="n">
        <x:v>3</x:v>
      </x:c>
      <x:c r="K15" s="14" t="n">
        <x:f>SUM(G15:I15)-J15</x:f>
        <x:v>8</x:v>
      </x:c>
      <x:c r="L15" s="21" t="inlineStr">
        <x:is>
          <x:t xml:space="preserve">Backlog</x:t>
        </x:is>
      </x:c>
      <x:c r="M15" s="7" t="inlineStr">
        <x:is>
          <x:t xml:space="preserve">Repeat if cost per activated user beats ads.</x:t>
        </x:is>
      </x:c>
      <x:c r="N15" s="21" t="inlineStr">
        <x:is>
          <x:t xml:space="preserve">Founder</x:t>
        </x:is>
      </x:c>
    </x:row>
    <x:row r="16" ht="64" customHeight="1">
      <x:c r="A16" s="5" t="inlineStr">
        <x:is>
          <x:t xml:space="preserve">G12</x:t>
        </x:is>
      </x:c>
      <x:c r="B16" s="5" t="inlineStr">
        <x:is>
          <x:t xml:space="preserve">Creator</x:t>
        </x:is>
      </x:c>
      <x:c r="C16" s="5" t="inlineStr">
        <x:is>
          <x:t xml:space="preserve">Boda community voice</x:t>
        </x:is>
      </x:c>
      <x:c r="D16" s="5" t="inlineStr">
        <x:is>
          <x:t xml:space="preserve">A rider voice may validate real road needs.</x:t>
        </x:is>
      </x:c>
      <x:c r="E16" s="5" t="inlineStr">
        <x:is>
          <x:t xml:space="preserve">Creator films app from rider perspective without unsafe usage.</x:t>
        </x:is>
      </x:c>
      <x:c r="F16" s="5" t="inlineStr">
        <x:is>
          <x:t xml:space="preserve">Medium</x:t>
        </x:is>
      </x:c>
      <x:c r="G16" s="21" t="n">
        <x:v>3</x:v>
      </x:c>
      <x:c r="H16" s="21" t="n">
        <x:v>4</x:v>
      </x:c>
      <x:c r="I16" s="21" t="n">
        <x:v>3</x:v>
      </x:c>
      <x:c r="J16" s="21" t="n">
        <x:v>3</x:v>
      </x:c>
      <x:c r="K16" s="14" t="n">
        <x:f>SUM(G16:I16)-J16</x:f>
        <x:v>7</x:v>
      </x:c>
      <x:c r="L16" s="21" t="inlineStr">
        <x:is>
          <x:t xml:space="preserve">Backlog</x:t>
        </x:is>
      </x:c>
      <x:c r="M16" s="5" t="inlineStr">
        <x:is>
          <x:t xml:space="preserve">Repeat if comments are practical.</x:t>
        </x:is>
      </x:c>
      <x:c r="N16" s="21" t="inlineStr">
        <x:is>
          <x:t xml:space="preserve">Founder</x:t>
        </x:is>
      </x:c>
    </x:row>
    <x:row r="17" ht="64" customHeight="1">
      <x:c r="A17" s="7" t="inlineStr">
        <x:is>
          <x:t xml:space="preserve">G13</x:t>
        </x:is>
      </x:c>
      <x:c r="B17" s="7" t="inlineStr">
        <x:is>
          <x:t xml:space="preserve">Meta Ads</x:t>
        </x:is>
      </x:c>
      <x:c r="C17" s="7" t="inlineStr">
        <x:is>
          <x:t xml:space="preserve">Meta app demo test</x:t>
        </x:is>
      </x:c>
      <x:c r="D17" s="7" t="inlineStr">
        <x:is>
          <x:t xml:space="preserve">A simple demo ad can validate demand after organic proof.</x:t>
        </x:is>
      </x:c>
      <x:c r="E17" s="7" t="inlineStr">
        <x:is>
          <x:t xml:space="preserve">Run 2 creatives x 2 audiences; max spend from assumptions.</x:t>
        </x:is>
      </x:c>
      <x:c r="F17" s="7" t="inlineStr">
        <x:is>
          <x:t xml:space="preserve">Medium</x:t>
        </x:is>
      </x:c>
      <x:c r="G17" s="21" t="n">
        <x:v>4</x:v>
      </x:c>
      <x:c r="H17" s="21" t="n">
        <x:v>2</x:v>
      </x:c>
      <x:c r="I17" s="21" t="n">
        <x:v>4</x:v>
      </x:c>
      <x:c r="J17" s="21" t="n">
        <x:v>3</x:v>
      </x:c>
      <x:c r="K17" s="14" t="n">
        <x:f>SUM(G17:I17)-J17</x:f>
        <x:v>7</x:v>
      </x:c>
      <x:c r="L17" s="21" t="inlineStr">
        <x:is>
          <x:t xml:space="preserve">Backlog</x:t>
        </x:is>
      </x:c>
      <x:c r="M17" s="7" t="inlineStr">
        <x:is>
          <x:t xml:space="preserve">Scale only if activated user cost is acceptable.</x:t>
        </x:is>
      </x:c>
      <x:c r="N17" s="21" t="inlineStr">
        <x:is>
          <x:t xml:space="preserve">Founder</x:t>
        </x:is>
      </x:c>
    </x:row>
    <x:row r="18" ht="64" customHeight="1">
      <x:c r="A18" s="5" t="inlineStr">
        <x:is>
          <x:t xml:space="preserve">G14</x:t>
        </x:is>
      </x:c>
      <x:c r="B18" s="5" t="inlineStr">
        <x:is>
          <x:t xml:space="preserve">Meta Ads</x:t>
        </x:is>
      </x:c>
      <x:c r="C18" s="5" t="inlineStr">
        <x:is>
          <x:t xml:space="preserve">Retarget warm engagers</x:t>
        </x:is>
      </x:c>
      <x:c r="D18" s="5" t="inlineStr">
        <x:is>
          <x:t xml:space="preserve">Warm audience converts cheaper than cold.</x:t>
        </x:is>
      </x:c>
      <x:c r="E18" s="5" t="inlineStr">
        <x:is>
          <x:t xml:space="preserve">Retarget profile engagers/video viewers once enough audience exists.</x:t>
        </x:is>
      </x:c>
      <x:c r="F18" s="5" t="inlineStr">
        <x:is>
          <x:t xml:space="preserve">Medium</x:t>
        </x:is>
      </x:c>
      <x:c r="G18" s="21" t="n">
        <x:v>3</x:v>
      </x:c>
      <x:c r="H18" s="21" t="n">
        <x:v>3</x:v>
      </x:c>
      <x:c r="I18" s="21" t="n">
        <x:v>3</x:v>
      </x:c>
      <x:c r="J18" s="21" t="n">
        <x:v>3</x:v>
      </x:c>
      <x:c r="K18" s="14" t="n">
        <x:f>SUM(G18:I18)-J18</x:f>
        <x:v>6</x:v>
      </x:c>
      <x:c r="L18" s="21" t="inlineStr">
        <x:is>
          <x:t xml:space="preserve">Backlog</x:t>
        </x:is>
      </x:c>
      <x:c r="M18" s="5" t="inlineStr">
        <x:is>
          <x:t xml:space="preserve">Run after organic content has engagement.</x:t>
        </x:is>
      </x:c>
      <x:c r="N18" s="21" t="inlineStr">
        <x:is>
          <x:t xml:space="preserve">Founder</x:t>
        </x:is>
      </x:c>
    </x:row>
    <x:row r="19" ht="64" customHeight="1">
      <x:c r="A19" s="7" t="inlineStr">
        <x:is>
          <x:t xml:space="preserve">G15</x:t>
        </x:is>
      </x:c>
      <x:c r="B19" s="7" t="inlineStr">
        <x:is>
          <x:t xml:space="preserve">Referral</x:t>
        </x:is>
      </x:c>
      <x:c r="C19" s="7" t="inlineStr">
        <x:is>
          <x:t xml:space="preserve">Founding driver badge</x:t>
        </x:is>
      </x:c>
      <x:c r="D19" s="7" t="inlineStr">
        <x:is>
          <x:t xml:space="preserve">Recognition motivates early adopters without cash.</x:t>
        </x:is>
      </x:c>
      <x:c r="E19" s="7" t="inlineStr">
        <x:is>
          <x:t xml:space="preserve">Give first 100 testers a digital founding driver badge/shoutout.</x:t>
        </x:is>
      </x:c>
      <x:c r="F19" s="7" t="inlineStr">
        <x:is>
          <x:t xml:space="preserve">Free</x:t>
        </x:is>
      </x:c>
      <x:c r="G19" s="21" t="n">
        <x:v>2</x:v>
      </x:c>
      <x:c r="H19" s="21" t="n">
        <x:v>4</x:v>
      </x:c>
      <x:c r="I19" s="21" t="n">
        <x:v>4</x:v>
      </x:c>
      <x:c r="J19" s="21" t="n">
        <x:v>2</x:v>
      </x:c>
      <x:c r="K19" s="14" t="n">
        <x:f>SUM(G19:I19)-J19</x:f>
        <x:v>8</x:v>
      </x:c>
      <x:c r="L19" s="21" t="inlineStr">
        <x:is>
          <x:t xml:space="preserve">Backlog</x:t>
        </x:is>
      </x:c>
      <x:c r="M19" s="7" t="inlineStr">
        <x:is>
          <x:t xml:space="preserve">Repeat if users share badge or invite friends.</x:t>
        </x:is>
      </x:c>
      <x:c r="N19" s="21" t="inlineStr">
        <x:is>
          <x:t xml:space="preserve">Founder</x:t>
        </x:is>
      </x:c>
    </x:row>
    <x:row r="20" ht="64" customHeight="1">
      <x:c r="A20" s="5" t="inlineStr">
        <x:is>
          <x:t xml:space="preserve">G16</x:t>
        </x:is>
      </x:c>
      <x:c r="B20" s="5" t="inlineStr">
        <x:is>
          <x:t xml:space="preserve">Referral</x:t>
        </x:is>
      </x:c>
      <x:c r="C20" s="5" t="inlineStr">
        <x:is>
          <x:t xml:space="preserve">Route captain program</x:t>
        </x:is>
      </x:c>
      <x:c r="D20" s="5" t="inlineStr">
        <x:is>
          <x:t xml:space="preserve">Local route champions can grow verified coverage.</x:t>
        </x:is>
      </x:c>
      <x:c r="E20" s="5" t="inlineStr">
        <x:is>
          <x:t xml:space="preserve">Recruit one captain per corridor to collect reports/invite testers.</x:t>
        </x:is>
      </x:c>
      <x:c r="F20" s="5" t="inlineStr">
        <x:is>
          <x:t xml:space="preserve">Low</x:t>
        </x:is>
      </x:c>
      <x:c r="G20" s="21" t="n">
        <x:v>3</x:v>
      </x:c>
      <x:c r="H20" s="21" t="n">
        <x:v>5</x:v>
      </x:c>
      <x:c r="I20" s="21" t="n">
        <x:v>2</x:v>
      </x:c>
      <x:c r="J20" s="21" t="n">
        <x:v>4</x:v>
      </x:c>
      <x:c r="K20" s="14" t="n">
        <x:f>SUM(G20:I20)-J20</x:f>
        <x:v>6</x:v>
      </x:c>
      <x:c r="L20" s="21" t="inlineStr">
        <x:is>
          <x:t xml:space="preserve">Backlog</x:t>
        </x:is>
      </x:c>
      <x:c r="M20" s="5" t="inlineStr">
        <x:is>
          <x:t xml:space="preserve">Scale if captains submit quality reports weekly.</x:t>
        </x:is>
      </x:c>
      <x:c r="N20" s="21" t="inlineStr">
        <x:is>
          <x:t xml:space="preserve">Founder</x:t>
        </x:is>
      </x:c>
    </x:row>
    <x:row r="21" ht="64" customHeight="1">
      <x:c r="A21" s="7" t="inlineStr">
        <x:is>
          <x:t xml:space="preserve">G17</x:t>
        </x:is>
      </x:c>
      <x:c r="B21" s="7" t="inlineStr">
        <x:is>
          <x:t xml:space="preserve">PR</x:t>
        </x:is>
      </x:c>
      <x:c r="C21" s="7" t="inlineStr">
        <x:is>
          <x:t xml:space="preserve">Local founder story pitch</x:t>
        </x:is>
      </x:c>
      <x:c r="D21" s="7" t="inlineStr">
        <x:is>
          <x:t xml:space="preserve">Media may cover Kenyan safety-tech solving a local problem.</x:t>
        </x:is>
      </x:c>
      <x:c r="E21" s="7" t="inlineStr">
        <x:is>
          <x:t xml:space="preserve">Pitch tech/business blogs after launch proof exists.</x:t>
        </x:is>
      </x:c>
      <x:c r="F21" s="7" t="inlineStr">
        <x:is>
          <x:t xml:space="preserve">Free</x:t>
        </x:is>
      </x:c>
      <x:c r="G21" s="21" t="n">
        <x:v>4</x:v>
      </x:c>
      <x:c r="H21" s="21" t="n">
        <x:v>4</x:v>
      </x:c>
      <x:c r="I21" s="21" t="n">
        <x:v>2</x:v>
      </x:c>
      <x:c r="J21" s="21" t="n">
        <x:v>4</x:v>
      </x:c>
      <x:c r="K21" s="14" t="n">
        <x:f>SUM(G21:I21)-J21</x:f>
        <x:v>6</x:v>
      </x:c>
      <x:c r="L21" s="21" t="inlineStr">
        <x:is>
          <x:t xml:space="preserve">Backlog</x:t>
        </x:is>
      </x:c>
      <x:c r="M21" s="7" t="inlineStr">
        <x:is>
          <x:t xml:space="preserve">Pitch only with screenshots and metrics.</x:t>
        </x:is>
      </x:c>
      <x:c r="N21" s="21" t="inlineStr">
        <x:is>
          <x:t xml:space="preserve">Founder</x:t>
        </x:is>
      </x:c>
    </x:row>
    <x:row r="22" ht="64" customHeight="1">
      <x:c r="A22" s="5" t="inlineStr">
        <x:is>
          <x:t xml:space="preserve">G18</x:t>
        </x:is>
      </x:c>
      <x:c r="B22" s="5" t="inlineStr">
        <x:is>
          <x:t xml:space="preserve">LinkedIn</x:t>
        </x:is>
      </x:c>
      <x:c r="C22" s="5" t="inlineStr">
        <x:is>
          <x:t xml:space="preserve">Build-in-public updates</x:t>
        </x:is>
      </x:c>
      <x:c r="D22" s="5" t="inlineStr">
        <x:is>
          <x:t xml:space="preserve">Stakeholders and partners may notice consistent progress.</x:t>
        </x:is>
      </x:c>
      <x:c r="E22" s="5" t="inlineStr">
        <x:is>
          <x:t xml:space="preserve">Weekly post: problem, learning, metric, partner ask.</x:t>
        </x:is>
      </x:c>
      <x:c r="F22" s="5" t="inlineStr">
        <x:is>
          <x:t xml:space="preserve">Free</x:t>
        </x:is>
      </x:c>
      <x:c r="G22" s="21" t="n">
        <x:v>2</x:v>
      </x:c>
      <x:c r="H22" s="21" t="n">
        <x:v>4</x:v>
      </x:c>
      <x:c r="I22" s="21" t="n">
        <x:v>3</x:v>
      </x:c>
      <x:c r="J22" s="21" t="n">
        <x:v>2</x:v>
      </x:c>
      <x:c r="K22" s="14" t="n">
        <x:f>SUM(G22:I22)-J22</x:f>
        <x:v>7</x:v>
      </x:c>
      <x:c r="L22" s="21" t="inlineStr">
        <x:is>
          <x:t xml:space="preserve">Backlog</x:t>
        </x:is>
      </x:c>
      <x:c r="M22" s="5" t="inlineStr">
        <x:is>
          <x:t xml:space="preserve">Continue if partnership leads appear.</x:t>
        </x:is>
      </x:c>
      <x:c r="N22" s="21" t="inlineStr">
        <x:is>
          <x:t xml:space="preserve">Founder</x:t>
        </x:is>
      </x:c>
    </x:row>
    <x:row r="23" ht="64" customHeight="1">
      <x:c r="A23" s="7" t="inlineStr">
        <x:is>
          <x:t xml:space="preserve">G19</x:t>
        </x:is>
      </x:c>
      <x:c r="B23" s="7" t="inlineStr">
        <x:is>
          <x:t xml:space="preserve">Product</x:t>
        </x:is>
      </x:c>
      <x:c r="C23" s="7" t="inlineStr">
        <x:is>
          <x:t xml:space="preserve">In-app feedback reward</x:t>
        </x:is>
      </x:c>
      <x:c r="D23" s="7" t="inlineStr">
        <x:is>
          <x:t xml:space="preserve">Better reports improve data moat.</x:t>
        </x:is>
      </x:c>
      <x:c r="E23" s="7" t="inlineStr">
        <x:is>
          <x:t xml:space="preserve">Ask users to submit one verified report; recognize top contributors.</x:t>
        </x:is>
      </x:c>
      <x:c r="F23" s="7" t="inlineStr">
        <x:is>
          <x:t xml:space="preserve">Low</x:t>
        </x:is>
      </x:c>
      <x:c r="G23" s="21" t="n">
        <x:v>2</x:v>
      </x:c>
      <x:c r="H23" s="21" t="n">
        <x:v>5</x:v>
      </x:c>
      <x:c r="I23" s="21" t="n">
        <x:v>3</x:v>
      </x:c>
      <x:c r="J23" s="21" t="n">
        <x:v>3</x:v>
      </x:c>
      <x:c r="K23" s="14" t="n">
        <x:f>SUM(G23:I23)-J23</x:f>
        <x:v>7</x:v>
      </x:c>
      <x:c r="L23" s="21" t="inlineStr">
        <x:is>
          <x:t xml:space="preserve">Backlog</x:t>
        </x:is>
      </x:c>
      <x:c r="M23" s="7" t="inlineStr">
        <x:is>
          <x:t xml:space="preserve">Scale if reports are accurate and useful.</x:t>
        </x:is>
      </x:c>
      <x:c r="N23" s="21" t="inlineStr">
        <x:is>
          <x:t xml:space="preserve">Founder</x:t>
        </x:is>
      </x:c>
    </x:row>
    <x:row r="24" ht="64" customHeight="1">
      <x:c r="A24" s="5" t="inlineStr">
        <x:is>
          <x:t xml:space="preserve">G20</x:t>
        </x:is>
      </x:c>
      <x:c r="B24" s="5" t="inlineStr">
        <x:is>
          <x:t xml:space="preserve">Product</x:t>
        </x:is>
      </x:c>
      <x:c r="C24" s="5" t="inlineStr">
        <x:is>
          <x:t xml:space="preserve">Safety checklist download</x:t>
        </x:is>
      </x:c>
      <x:c r="D24" s="5" t="inlineStr">
        <x:is>
          <x:t xml:space="preserve">Lead magnet captures serious drivers.</x:t>
        </x:is>
      </x:c>
      <x:c r="E24" s="5" t="inlineStr">
        <x:is>
          <x:t xml:space="preserve">Create free PDF/checklist: safer commute, speed zones, car prep.</x:t>
        </x:is>
      </x:c>
      <x:c r="F24" s="5" t="inlineStr">
        <x:is>
          <x:t xml:space="preserve">Free</x:t>
        </x:is>
      </x:c>
      <x:c r="G24" s="21" t="n">
        <x:v>3</x:v>
      </x:c>
      <x:c r="H24" s="21" t="n">
        <x:v>4</x:v>
      </x:c>
      <x:c r="I24" s="21" t="n">
        <x:v>3</x:v>
      </x:c>
      <x:c r="J24" s="21" t="n">
        <x:v>3</x:v>
      </x:c>
      <x:c r="K24" s="14" t="n">
        <x:f>SUM(G24:I24)-J24</x:f>
        <x:v>7</x:v>
      </x:c>
      <x:c r="L24" s="21" t="inlineStr">
        <x:is>
          <x:t xml:space="preserve">Backlog</x:t>
        </x:is>
      </x:c>
      <x:c r="M24" s="5" t="inlineStr">
        <x:is>
          <x:t xml:space="preserve">Repeat if opt-ins grow.</x:t>
        </x:is>
      </x:c>
      <x:c r="N24" s="21" t="inlineStr">
        <x:is>
          <x:t xml:space="preserve">Founder</x:t>
        </x:is>
      </x:c>
    </x:row>
    <x:row r="25" ht="64" customHeight="1">
      <x:c r="A25" s="7" t="inlineStr">
        <x:is>
          <x:t xml:space="preserve">G21</x:t>
        </x:is>
      </x:c>
      <x:c r="B25" s="7" t="inlineStr">
        <x:is>
          <x:t xml:space="preserve">Community</x:t>
        </x:is>
      </x:c>
      <x:c r="C25" s="7" t="inlineStr">
        <x:is>
          <x:t xml:space="preserve">Student commuter test</x:t>
        </x:is>
      </x:c>
      <x:c r="D25" s="7" t="inlineStr">
        <x:is>
          <x:t xml:space="preserve">Students commute and share quickly.</x:t>
        </x:is>
      </x:c>
      <x:c r="E25" s="7" t="inlineStr">
        <x:is>
          <x:t xml:space="preserve">Recruit 20 testers from one campus/hostel route.</x:t>
        </x:is>
      </x:c>
      <x:c r="F25" s="7" t="inlineStr">
        <x:is>
          <x:t xml:space="preserve">Low</x:t>
        </x:is>
      </x:c>
      <x:c r="G25" s="21" t="n">
        <x:v>3</x:v>
      </x:c>
      <x:c r="H25" s="21" t="n">
        <x:v>3</x:v>
      </x:c>
      <x:c r="I25" s="21" t="n">
        <x:v>3</x:v>
      </x:c>
      <x:c r="J25" s="21" t="n">
        <x:v>3</x:v>
      </x:c>
      <x:c r="K25" s="14" t="n">
        <x:f>SUM(G25:I25)-J25</x:f>
        <x:v>6</x:v>
      </x:c>
      <x:c r="L25" s="21" t="inlineStr">
        <x:is>
          <x:t xml:space="preserve">Backlog</x:t>
        </x:is>
      </x:c>
      <x:c r="M25" s="7" t="inlineStr">
        <x:is>
          <x:t xml:space="preserve">Scale only if active usage occurs.</x:t>
        </x:is>
      </x:c>
      <x:c r="N25" s="21" t="inlineStr">
        <x:is>
          <x:t xml:space="preserve">Founder</x:t>
        </x:is>
      </x:c>
    </x:row>
    <x:row r="26" ht="64" customHeight="1">
      <x:c r="A26" s="5" t="inlineStr">
        <x:is>
          <x:t xml:space="preserve">G22</x:t>
        </x:is>
      </x:c>
      <x:c r="B26" s="5" t="inlineStr">
        <x:is>
          <x:t xml:space="preserve">Partnership</x:t>
        </x:is>
      </x:c>
      <x:c r="C26" s="5" t="inlineStr">
        <x:is>
          <x:t xml:space="preserve">Small courier pilot</x:t>
        </x:is>
      </x:c>
      <x:c r="D26" s="5" t="inlineStr">
        <x:is>
          <x:t xml:space="preserve">Courier riders/drivers feel route risk daily.</x:t>
        </x:is>
      </x:c>
      <x:c r="E26" s="5" t="inlineStr">
        <x:is>
          <x:t xml:space="preserve">Offer 2-week pilot to small courier operator.</x:t>
        </x:is>
      </x:c>
      <x:c r="F26" s="5" t="inlineStr">
        <x:is>
          <x:t xml:space="preserve">Low</x:t>
        </x:is>
      </x:c>
      <x:c r="G26" s="21" t="n">
        <x:v>2</x:v>
      </x:c>
      <x:c r="H26" s="21" t="n">
        <x:v>5</x:v>
      </x:c>
      <x:c r="I26" s="21" t="n">
        <x:v>2</x:v>
      </x:c>
      <x:c r="J26" s="21" t="n">
        <x:v>4</x:v>
      </x:c>
      <x:c r="K26" s="14" t="n">
        <x:f>SUM(G26:I26)-J26</x:f>
        <x:v>5</x:v>
      </x:c>
      <x:c r="L26" s="21" t="inlineStr">
        <x:is>
          <x:t xml:space="preserve">Backlog</x:t>
        </x:is>
      </x:c>
      <x:c r="M26" s="5" t="inlineStr">
        <x:is>
          <x:t xml:space="preserve">Continue if owner wants report summary.</x:t>
        </x:is>
      </x:c>
      <x:c r="N26" s="21" t="inlineStr">
        <x:is>
          <x:t xml:space="preserve">Founder</x:t>
        </x:is>
      </x:c>
    </x:row>
    <x:row r="27" ht="64" customHeight="1">
      <x:c r="A27" s="7" t="inlineStr">
        <x:is>
          <x:t xml:space="preserve">G23</x:t>
        </x:is>
      </x:c>
      <x:c r="B27" s="7" t="inlineStr">
        <x:is>
          <x:t xml:space="preserve">Content</x:t>
        </x:is>
      </x:c>
      <x:c r="C27" s="7" t="inlineStr">
        <x:is>
          <x:t xml:space="preserve">User quote series</x:t>
        </x:is>
      </x:c>
      <x:c r="D27" s="7" t="inlineStr">
        <x:is>
          <x:t xml:space="preserve">Real quotes reduce skepticism.</x:t>
        </x:is>
      </x:c>
      <x:c r="E27" s="7" t="inlineStr">
        <x:is>
          <x:t xml:space="preserve">Turn tester quotes into anonymized posts and stories.</x:t>
        </x:is>
      </x:c>
      <x:c r="F27" s="7" t="inlineStr">
        <x:is>
          <x:t xml:space="preserve">Free</x:t>
        </x:is>
      </x:c>
      <x:c r="G27" s="21" t="n">
        <x:v>3</x:v>
      </x:c>
      <x:c r="H27" s="21" t="n">
        <x:v>5</x:v>
      </x:c>
      <x:c r="I27" s="21" t="n">
        <x:v>4</x:v>
      </x:c>
      <x:c r="J27" s="21" t="n">
        <x:v>2</x:v>
      </x:c>
      <x:c r="K27" s="14" t="n">
        <x:f>SUM(G27:I27)-J27</x:f>
        <x:v>10</x:v>
      </x:c>
      <x:c r="L27" s="21" t="inlineStr">
        <x:is>
          <x:t xml:space="preserve">Backlog</x:t>
        </x:is>
      </x:c>
      <x:c r="M27" s="7" t="inlineStr">
        <x:is>
          <x:t xml:space="preserve">Repeat if saves/DMs increase.</x:t>
        </x:is>
      </x:c>
      <x:c r="N27" s="21" t="inlineStr">
        <x:is>
          <x:t xml:space="preserve">Founder</x:t>
        </x:is>
      </x:c>
    </x:row>
    <x:row r="28" ht="64" customHeight="1">
      <x:c r="A28" s="5" t="inlineStr">
        <x:is>
          <x:t xml:space="preserve">G24</x:t>
        </x:is>
      </x:c>
      <x:c r="B28" s="5" t="inlineStr">
        <x:is>
          <x:t xml:space="preserve">Content</x:t>
        </x:is>
      </x:c>
      <x:c r="C28" s="5" t="inlineStr">
        <x:is>
          <x:t xml:space="preserve">Mistake-of-the-week</x:t>
        </x:is>
      </x:c>
      <x:c r="D28" s="5" t="inlineStr">
        <x:is>
          <x:t xml:space="preserve">Specific mistakes are memorable.</x:t>
        </x:is>
      </x:c>
      <x:c r="E28" s="5" t="inlineStr">
        <x:is>
          <x:t xml:space="preserve">Share one driving/route mistake and safer alternative weekly.</x:t>
        </x:is>
      </x:c>
      <x:c r="F28" s="5" t="inlineStr">
        <x:is>
          <x:t xml:space="preserve">Free</x:t>
        </x:is>
      </x:c>
      <x:c r="G28" s="21" t="n">
        <x:v>3</x:v>
      </x:c>
      <x:c r="H28" s="21" t="n">
        <x:v>4</x:v>
      </x:c>
      <x:c r="I28" s="21" t="n">
        <x:v>4</x:v>
      </x:c>
      <x:c r="J28" s="21" t="n">
        <x:v>2</x:v>
      </x:c>
      <x:c r="K28" s="14" t="n">
        <x:f>SUM(G28:I28)-J28</x:f>
        <x:v>9</x:v>
      </x:c>
      <x:c r="L28" s="21" t="inlineStr">
        <x:is>
          <x:t xml:space="preserve">Backlog</x:t>
        </x:is>
      </x:c>
      <x:c r="M28" s="5" t="inlineStr">
        <x:is>
          <x:t xml:space="preserve">Repeat if comments share examples.</x:t>
        </x:is>
      </x:c>
      <x:c r="N28" s="21" t="inlineStr">
        <x:is>
          <x:t xml:space="preserve">Founder</x:t>
        </x:is>
      </x:c>
    </x:row>
    <x:row r="29" ht="64" customHeight="1">
      <x:c r="A29" s="7" t="inlineStr">
        <x:is>
          <x:t xml:space="preserve">G25</x:t>
        </x:is>
      </x:c>
      <x:c r="B29" s="7" t="inlineStr">
        <x:is>
          <x:t xml:space="preserve">Instagram</x:t>
        </x:is>
      </x:c>
      <x:c r="C29" s="7" t="inlineStr">
        <x:is>
          <x:t xml:space="preserve">Poll-based roadmap</x:t>
        </x:is>
      </x:c>
      <x:c r="D29" s="7" t="inlineStr">
        <x:is>
          <x:t xml:space="preserve">Let users vote on roads/features.</x:t>
        </x:is>
      </x:c>
      <x:c r="E29" s="7" t="inlineStr">
        <x:is>
          <x:t xml:space="preserve">Story/TikTok comment poll: which route should we verify next?</x:t>
        </x:is>
      </x:c>
      <x:c r="F29" s="7" t="inlineStr">
        <x:is>
          <x:t xml:space="preserve">Free</x:t>
        </x:is>
      </x:c>
      <x:c r="G29" s="21" t="n">
        <x:v>3</x:v>
      </x:c>
      <x:c r="H29" s="21" t="n">
        <x:v>4</x:v>
      </x:c>
      <x:c r="I29" s="21" t="n">
        <x:v>5</x:v>
      </x:c>
      <x:c r="J29" s="21" t="n">
        <x:v>1</x:v>
      </x:c>
      <x:c r="K29" s="14" t="n">
        <x:f>SUM(G29:I29)-J29</x:f>
        <x:v>11</x:v>
      </x:c>
      <x:c r="L29" s="21" t="inlineStr">
        <x:is>
          <x:t xml:space="preserve">Backlog</x:t>
        </x:is>
      </x:c>
      <x:c r="M29" s="7" t="inlineStr">
        <x:is>
          <x:t xml:space="preserve">Use if votes translate into testers/reports.</x:t>
        </x:is>
      </x:c>
      <x:c r="N29" s="21" t="inlineStr">
        <x:is>
          <x:t xml:space="preserve">Founder</x:t>
        </x:is>
      </x:c>
    </x:row>
    <x:row r="30" ht="64" customHeight="1">
      <x:c r="A30" s="5" t="inlineStr">
        <x:is>
          <x:t xml:space="preserve">G26</x:t>
        </x:is>
      </x:c>
      <x:c r="B30" s="5" t="inlineStr">
        <x:is>
          <x:t xml:space="preserve">Partnership</x:t>
        </x:is>
      </x:c>
      <x:c r="C30" s="5" t="inlineStr">
        <x:is>
          <x:t xml:space="preserve">Road safety NGO intro</x:t>
        </x:is>
      </x:c>
      <x:c r="D30" s="5" t="inlineStr">
        <x:is>
          <x:t xml:space="preserve">Safety organizations can add credibility.</x:t>
        </x:is>
      </x:c>
      <x:c r="E30" s="5" t="inlineStr">
        <x:is>
          <x:t xml:space="preserve">Ask for feedback, not money; offer data/process demo.</x:t>
        </x:is>
      </x:c>
      <x:c r="F30" s="5" t="inlineStr">
        <x:is>
          <x:t xml:space="preserve">Free</x:t>
        </x:is>
      </x:c>
      <x:c r="G30" s="21" t="n">
        <x:v>2</x:v>
      </x:c>
      <x:c r="H30" s="21" t="n">
        <x:v>5</x:v>
      </x:c>
      <x:c r="I30" s="21" t="n">
        <x:v>2</x:v>
      </x:c>
      <x:c r="J30" s="21" t="n">
        <x:v>4</x:v>
      </x:c>
      <x:c r="K30" s="14" t="n">
        <x:f>SUM(G30:I30)-J30</x:f>
        <x:v>5</x:v>
      </x:c>
      <x:c r="L30" s="21" t="inlineStr">
        <x:is>
          <x:t xml:space="preserve">Backlog</x:t>
        </x:is>
      </x:c>
      <x:c r="M30" s="5" t="inlineStr">
        <x:is>
          <x:t xml:space="preserve">Continue if they advise or share.</x:t>
        </x:is>
      </x:c>
      <x:c r="N30" s="21" t="inlineStr">
        <x:is>
          <x:t xml:space="preserve">Founder</x:t>
        </x:is>
      </x:c>
    </x:row>
    <x:row r="31" ht="64" customHeight="1">
      <x:c r="A31" s="7" t="inlineStr">
        <x:is>
          <x:t xml:space="preserve">G27</x:t>
        </x:is>
      </x:c>
      <x:c r="B31" s="7" t="inlineStr">
        <x:is>
          <x:t xml:space="preserve">Community</x:t>
        </x:is>
      </x:c>
      <x:c r="C31" s="7" t="inlineStr">
        <x:is>
          <x:t xml:space="preserve">Matatu/SACCO learning calls</x:t>
        </x:is>
      </x:c>
      <x:c r="D31" s="7" t="inlineStr">
        <x:is>
          <x:t xml:space="preserve">Fleet operations reveal B2B needs.</x:t>
        </x:is>
      </x:c>
      <x:c r="E31" s="7" t="inlineStr">
        <x:is>
          <x:t xml:space="preserve">Interview 5 PSV/fleet stakeholders; learn compliance pains.</x:t>
        </x:is>
      </x:c>
      <x:c r="F31" s="7" t="inlineStr">
        <x:is>
          <x:t xml:space="preserve">Low</x:t>
        </x:is>
      </x:c>
      <x:c r="G31" s="21" t="n">
        <x:v>2</x:v>
      </x:c>
      <x:c r="H31" s="21" t="n">
        <x:v>5</x:v>
      </x:c>
      <x:c r="I31" s="21" t="n">
        <x:v>2</x:v>
      </x:c>
      <x:c r="J31" s="21" t="n">
        <x:v>4</x:v>
      </x:c>
      <x:c r="K31" s="14" t="n">
        <x:f>SUM(G31:I31)-J31</x:f>
        <x:v>5</x:v>
      </x:c>
      <x:c r="L31" s="21" t="inlineStr">
        <x:is>
          <x:t xml:space="preserve">Backlog</x:t>
        </x:is>
      </x:c>
      <x:c r="M31" s="7" t="inlineStr">
        <x:is>
          <x:t xml:space="preserve">Use insights for B2B offer.</x:t>
        </x:is>
      </x:c>
      <x:c r="N31" s="21" t="inlineStr">
        <x:is>
          <x:t xml:space="preserve">Founder</x:t>
        </x:is>
      </x:c>
    </x:row>
    <x:row r="32" ht="64" customHeight="1">
      <x:c r="A32" s="5" t="inlineStr">
        <x:is>
          <x:t xml:space="preserve">G28</x:t>
        </x:is>
      </x:c>
      <x:c r="B32" s="5" t="inlineStr">
        <x:is>
          <x:t xml:space="preserve">App Store</x:t>
        </x:is>
      </x:c>
      <x:c r="C32" s="5" t="inlineStr">
        <x:is>
          <x:t xml:space="preserve">Store keyword/screenshot test</x:t>
        </x:is>
      </x:c>
      <x:c r="D32" s="5" t="inlineStr">
        <x:is>
          <x:t xml:space="preserve">Intent may be stronger at app-store search than social.</x:t>
        </x:is>
      </x:c>
      <x:c r="E32" s="5" t="inlineStr">
        <x:is>
          <x:t xml:space="preserve">Test store listing keywords and screenshots; compare conversion.</x:t>
        </x:is>
      </x:c>
      <x:c r="F32" s="5" t="inlineStr">
        <x:is>
          <x:t xml:space="preserve">Free/Low</x:t>
        </x:is>
      </x:c>
      <x:c r="G32" s="21" t="n">
        <x:v>2</x:v>
      </x:c>
      <x:c r="H32" s="21" t="n">
        <x:v>3</x:v>
      </x:c>
      <x:c r="I32" s="21" t="n">
        <x:v>2</x:v>
      </x:c>
      <x:c r="J32" s="21" t="n">
        <x:v>3</x:v>
      </x:c>
      <x:c r="K32" s="14" t="n">
        <x:f>SUM(G32:I32)-J32</x:f>
        <x:v>4</x:v>
      </x:c>
      <x:c r="L32" s="21" t="inlineStr">
        <x:is>
          <x:t xml:space="preserve">Backlog</x:t>
        </x:is>
      </x:c>
      <x:c r="M32" s="5" t="inlineStr">
        <x:is>
          <x:t xml:space="preserve">Keep only changes that improve conversion.</x:t>
        </x:is>
      </x:c>
      <x:c r="N32" s="21" t="inlineStr">
        <x:is>
          <x:t xml:space="preserve">Founder</x:t>
        </x:is>
      </x:c>
    </x:row>
    <x:row r="33" ht="64" customHeight="1">
      <x:c r="A33" s="7" t="inlineStr">
        <x:is>
          <x:t xml:space="preserve">G29</x:t>
        </x:is>
      </x:c>
      <x:c r="B33" s="7" t="inlineStr">
        <x:is>
          <x:t xml:space="preserve">Creator</x:t>
        </x:is>
      </x:c>
      <x:c r="C33" s="7" t="inlineStr">
        <x:is>
          <x:t xml:space="preserve">Creator challenge</x:t>
        </x:is>
      </x:c>
      <x:c r="D33" s="7" t="inlineStr">
        <x:is>
          <x:t xml:space="preserve">Many tiny creators may outperform one paid post.</x:t>
        </x:is>
      </x:c>
      <x:c r="E33" s="7" t="inlineStr">
        <x:is>
          <x:t xml:space="preserve">Ask creators to show one safer commute tip and tag Msafiri.</x:t>
        </x:is>
      </x:c>
      <x:c r="F33" s="7" t="inlineStr">
        <x:is>
          <x:t xml:space="preserve">Low</x:t>
        </x:is>
      </x:c>
      <x:c r="G33" s="21" t="n">
        <x:v>4</x:v>
      </x:c>
      <x:c r="H33" s="21" t="n">
        <x:v>3</x:v>
      </x:c>
      <x:c r="I33" s="21" t="n">
        <x:v>3</x:v>
      </x:c>
      <x:c r="J33" s="21" t="n">
        <x:v>4</x:v>
      </x:c>
      <x:c r="K33" s="14" t="n">
        <x:f>SUM(G33:I33)-J33</x:f>
        <x:v>6</x:v>
      </x:c>
      <x:c r="L33" s="21" t="inlineStr">
        <x:is>
          <x:t xml:space="preserve">Backlog</x:t>
        </x:is>
      </x:c>
      <x:c r="M33" s="7" t="inlineStr">
        <x:is>
          <x:t xml:space="preserve">Reward best tracked installs, not views.</x:t>
        </x:is>
      </x:c>
      <x:c r="N33" s="21" t="inlineStr">
        <x:is>
          <x:t xml:space="preserve">Founder</x:t>
        </x:is>
      </x:c>
    </x:row>
    <x:row r="34" ht="64" customHeight="1">
      <x:c r="A34" s="5" t="inlineStr">
        <x:is>
          <x:t xml:space="preserve">G30</x:t>
        </x:is>
      </x:c>
      <x:c r="B34" s="5" t="inlineStr">
        <x:is>
          <x:t xml:space="preserve">Referral</x:t>
        </x:is>
      </x:c>
      <x:c r="C34" s="5" t="inlineStr">
        <x:is>
          <x:t xml:space="preserve">Family safety angle</x:t>
        </x:is>
      </x:c>
      <x:c r="D34" s="5" t="inlineStr">
        <x:is>
          <x:t xml:space="preserve">Family members may share to drivers they care about.</x:t>
        </x:is>
      </x:c>
      <x:c r="E34" s="5" t="inlineStr">
        <x:is>
          <x:t xml:space="preserve">CTA: send this to someone who drives daily.</x:t>
        </x:is>
      </x:c>
      <x:c r="F34" s="5" t="inlineStr">
        <x:is>
          <x:t xml:space="preserve">Free</x:t>
        </x:is>
      </x:c>
      <x:c r="G34" s="21" t="n">
        <x:v>4</x:v>
      </x:c>
      <x:c r="H34" s="21" t="n">
        <x:v>4</x:v>
      </x:c>
      <x:c r="I34" s="21" t="n">
        <x:v>5</x:v>
      </x:c>
      <x:c r="J34" s="21" t="n">
        <x:v>1</x:v>
      </x:c>
      <x:c r="K34" s="14" t="n">
        <x:f>SUM(G34:I34)-J34</x:f>
        <x:v>12</x:v>
      </x:c>
      <x:c r="L34" s="21" t="inlineStr">
        <x:is>
          <x:t xml:space="preserve">Backlog</x:t>
        </x:is>
      </x:c>
      <x:c r="M34" s="5" t="inlineStr">
        <x:is>
          <x:t xml:space="preserve">Repeat if shares are high.</x:t>
        </x:is>
      </x:c>
      <x:c r="N34" s="21" t="inlineStr">
        <x:is>
          <x:t xml:space="preserve">Founder</x:t>
        </x:is>
      </x:c>
    </x:row>
    <x:row r="35" ht="64" customHeight="1">
      <x:c r="A35" s="7" t="inlineStr">
        <x:is>
          <x:t xml:space="preserve">G31</x:t>
        </x:is>
      </x:c>
      <x:c r="B35" s="7" t="inlineStr">
        <x:is>
          <x:t xml:space="preserve">Trust</x:t>
        </x:is>
      </x:c>
      <x:c r="C35" s="7" t="inlineStr">
        <x:is>
          <x:t xml:space="preserve">Transparent coverage map</x:t>
        </x:is>
      </x:c>
      <x:c r="D35" s="7" t="inlineStr">
        <x:is>
          <x:t xml:space="preserve">Honesty about coverage builds trust.</x:t>
        </x:is>
      </x:c>
      <x:c r="E35" s="7" t="inlineStr">
        <x:is>
          <x:t xml:space="preserve">Publish roads verified, being verified, and not covered yet.</x:t>
        </x:is>
      </x:c>
      <x:c r="F35" s="7" t="inlineStr">
        <x:is>
          <x:t xml:space="preserve">Free</x:t>
        </x:is>
      </x:c>
      <x:c r="G35" s="21" t="n">
        <x:v>2</x:v>
      </x:c>
      <x:c r="H35" s="21" t="n">
        <x:v>5</x:v>
      </x:c>
      <x:c r="I35" s="21" t="n">
        <x:v>3</x:v>
      </x:c>
      <x:c r="J35" s="21" t="n">
        <x:v>3</x:v>
      </x:c>
      <x:c r="K35" s="14" t="n">
        <x:f>SUM(G35:I35)-J35</x:f>
        <x:v>7</x:v>
      </x:c>
      <x:c r="L35" s="21" t="inlineStr">
        <x:is>
          <x:t xml:space="preserve">Backlog</x:t>
        </x:is>
      </x:c>
      <x:c r="M35" s="7" t="inlineStr">
        <x:is>
          <x:t xml:space="preserve">Repeat monthly.</x:t>
        </x:is>
      </x:c>
      <x:c r="N35" s="21" t="inlineStr">
        <x:is>
          <x:t xml:space="preserve">Founder</x:t>
        </x:is>
      </x:c>
    </x:row>
    <x:row r="36" ht="64" customHeight="1">
      <x:c r="A36" s="5" t="inlineStr">
        <x:is>
          <x:t xml:space="preserve">G32</x:t>
        </x:is>
      </x:c>
      <x:c r="B36" s="5" t="inlineStr">
        <x:is>
          <x:t xml:space="preserve">Trust</x:t>
        </x:is>
      </x:c>
      <x:c r="C36" s="5" t="inlineStr">
        <x:is>
          <x:t xml:space="preserve">Safety disclaimer content</x:t>
        </x:is>
      </x:c>
      <x:c r="D36" s="5" t="inlineStr">
        <x:is>
          <x:t xml:space="preserve">Responsible messaging avoids police-avoidance perception.</x:t>
        </x:is>
      </x:c>
      <x:c r="E36" s="5" t="inlineStr">
        <x:is>
          <x:t xml:space="preserve">Explain Msafiri encourages compliance and safer driving.</x:t>
        </x:is>
      </x:c>
      <x:c r="F36" s="5" t="inlineStr">
        <x:is>
          <x:t xml:space="preserve">Free</x:t>
        </x:is>
      </x:c>
      <x:c r="G36" s="21" t="n">
        <x:v>2</x:v>
      </x:c>
      <x:c r="H36" s="21" t="n">
        <x:v>5</x:v>
      </x:c>
      <x:c r="I36" s="21" t="n">
        <x:v>4</x:v>
      </x:c>
      <x:c r="J36" s="21" t="n">
        <x:v>1</x:v>
      </x:c>
      <x:c r="K36" s="14" t="n">
        <x:f>SUM(G36:I36)-J36</x:f>
        <x:v>10</x:v>
      </x:c>
      <x:c r="L36" s="21" t="inlineStr">
        <x:is>
          <x:t xml:space="preserve">Backlog</x:t>
        </x:is>
      </x:c>
      <x:c r="M36" s="5" t="inlineStr">
        <x:is>
          <x:t xml:space="preserve">Keep pinned if negative comments appear.</x:t>
        </x:is>
      </x:c>
      <x:c r="N36" s="21" t="inlineStr">
        <x:is>
          <x:t xml:space="preserve">Founder</x:t>
        </x:is>
      </x:c>
    </x:row>
    <x:row r="37" ht="64" customHeight="1">
      <x:c r="A37" s="7" t="inlineStr">
        <x:is>
          <x:t xml:space="preserve">G33</x:t>
        </x:is>
      </x:c>
      <x:c r="B37" s="7" t="inlineStr">
        <x:is>
          <x:t xml:space="preserve">Revenue</x:t>
        </x:is>
      </x:c>
      <x:c r="C37" s="7" t="inlineStr">
        <x:is>
          <x:t xml:space="preserve">Founding partner pilot</x:t>
        </x:is>
      </x:c>
      <x:c r="D37" s="7" t="inlineStr">
        <x:is>
          <x:t xml:space="preserve">Early B2B revenue can fund growth without ads.</x:t>
        </x:is>
      </x:c>
      <x:c r="E37" s="7" t="inlineStr">
        <x:is>
          <x:t xml:space="preserve">Offer KES 5k-15k pilot to small fleet/driving school after proof.</x:t>
        </x:is>
      </x:c>
      <x:c r="F37" s="7" t="inlineStr">
        <x:is>
          <x:t xml:space="preserve">Free/Low</x:t>
        </x:is>
      </x:c>
      <x:c r="G37" s="21" t="n">
        <x:v>2</x:v>
      </x:c>
      <x:c r="H37" s="21" t="n">
        <x:v>5</x:v>
      </x:c>
      <x:c r="I37" s="21" t="n">
        <x:v>2</x:v>
      </x:c>
      <x:c r="J37" s="21" t="n">
        <x:v>5</x:v>
      </x:c>
      <x:c r="K37" s="14" t="n">
        <x:f>SUM(G37:I37)-J37</x:f>
        <x:v>4</x:v>
      </x:c>
      <x:c r="L37" s="21" t="inlineStr">
        <x:is>
          <x:t xml:space="preserve">Backlog</x:t>
        </x:is>
      </x:c>
      <x:c r="M37" s="7" t="inlineStr">
        <x:is>
          <x:t xml:space="preserve">Continue if one buyer pays/gives LOI.</x:t>
        </x:is>
      </x:c>
      <x:c r="N37" s="21" t="inlineStr">
        <x:is>
          <x:t xml:space="preserve">Founder</x:t>
        </x:is>
      </x:c>
    </x:row>
    <x:row r="38" ht="64" customHeight="1">
      <x:c r="A38" s="5" t="inlineStr">
        <x:is>
          <x:t xml:space="preserve">G34</x:t>
        </x:is>
      </x:c>
      <x:c r="B38" s="5" t="inlineStr">
        <x:is>
          <x:t xml:space="preserve">Revenue</x:t>
        </x:is>
      </x:c>
      <x:c r="C38" s="5" t="inlineStr">
        <x:is>
          <x:t xml:space="preserve">Sponsored safety guide</x:t>
        </x:is>
      </x:c>
      <x:c r="D38" s="5" t="inlineStr">
        <x:is>
          <x:t xml:space="preserve">Sponsor-funded content can subsidize operations.</x:t>
        </x:is>
      </x:c>
      <x:c r="E38" s="5" t="inlineStr">
        <x:is>
          <x:t xml:space="preserve">Ask garage/insurance/tyre partner to sponsor safety checklist.</x:t>
        </x:is>
      </x:c>
      <x:c r="F38" s="5" t="inlineStr">
        <x:is>
          <x:t xml:space="preserve">Low</x:t>
        </x:is>
      </x:c>
      <x:c r="G38" s="21" t="n">
        <x:v>2</x:v>
      </x:c>
      <x:c r="H38" s="21" t="n">
        <x:v>4</x:v>
      </x:c>
      <x:c r="I38" s="21" t="n">
        <x:v>2</x:v>
      </x:c>
      <x:c r="J38" s="21" t="n">
        <x:v>4</x:v>
      </x:c>
      <x:c r="K38" s="14" t="n">
        <x:f>SUM(G38:I38)-J38</x:f>
        <x:v>4</x:v>
      </x:c>
      <x:c r="L38" s="21" t="inlineStr">
        <x:is>
          <x:t xml:space="preserve">Backlog</x:t>
        </x:is>
      </x:c>
      <x:c r="M38" s="5" t="inlineStr">
        <x:is>
          <x:t xml:space="preserve">Only if sponsor fits trust.</x:t>
        </x:is>
      </x:c>
      <x:c r="N38" s="21" t="inlineStr">
        <x:is>
          <x:t xml:space="preserve">Founder</x:t>
        </x:is>
      </x:c>
    </x:row>
    <x:row r="39" ht="64" customHeight="1">
      <x:c r="A39" s="7" t="inlineStr">
        <x:is>
          <x:t xml:space="preserve">G35</x:t>
        </x:is>
      </x:c>
      <x:c r="B39" s="7" t="inlineStr">
        <x:is>
          <x:t xml:space="preserve">Data</x:t>
        </x:is>
      </x:c>
      <x:c r="C39" s="7" t="inlineStr">
        <x:is>
          <x:t xml:space="preserve">User-submitted speed reports</x:t>
        </x:is>
      </x:c>
      <x:c r="D39" s="7" t="inlineStr">
        <x:is>
          <x:t xml:space="preserve">User reports create moat if verified.</x:t>
        </x:is>
      </x:c>
      <x:c r="E39" s="7" t="inlineStr">
        <x:is>
          <x:t xml:space="preserve">Launch clear report template and verification rules.</x:t>
        </x:is>
      </x:c>
      <x:c r="F39" s="7" t="inlineStr">
        <x:is>
          <x:t xml:space="preserve">Free</x:t>
        </x:is>
      </x:c>
      <x:c r="G39" s="21" t="n">
        <x:v>2</x:v>
      </x:c>
      <x:c r="H39" s="21" t="n">
        <x:v>5</x:v>
      </x:c>
      <x:c r="I39" s="21" t="n">
        <x:v>3</x:v>
      </x:c>
      <x:c r="J39" s="21" t="n">
        <x:v>4</x:v>
      </x:c>
      <x:c r="K39" s="14" t="n">
        <x:f>SUM(G39:I39)-J39</x:f>
        <x:v>6</x:v>
      </x:c>
      <x:c r="L39" s="21" t="inlineStr">
        <x:is>
          <x:t xml:space="preserve">Backlog</x:t>
        </x:is>
      </x:c>
      <x:c r="M39" s="7" t="inlineStr">
        <x:is>
          <x:t xml:space="preserve">Scale if reports are accurate.</x:t>
        </x:is>
      </x:c>
      <x:c r="N39" s="21" t="inlineStr">
        <x:is>
          <x:t xml:space="preserve">Founder</x:t>
        </x:is>
      </x:c>
    </x:row>
    <x:row r="40" ht="64" customHeight="1">
      <x:c r="A40" s="5" t="inlineStr">
        <x:is>
          <x:t xml:space="preserve">G36</x:t>
        </x:is>
      </x:c>
      <x:c r="B40" s="5" t="inlineStr">
        <x:is>
          <x:t xml:space="preserve">Data</x:t>
        </x:is>
      </x:c>
      <x:c r="C40" s="5" t="inlineStr">
        <x:is>
          <x:t xml:space="preserve">One-corridor deep dive</x:t>
        </x:is>
      </x:c>
      <x:c r="D40" s="5" t="inlineStr">
        <x:is>
          <x:t xml:space="preserve">Depth beats national shallowness.</x:t>
        </x:is>
      </x:c>
      <x:c r="E40" s="5" t="inlineStr">
        <x:is>
          <x:t xml:space="preserve">Own one corridor with best data/content/feedback before expanding.</x:t>
        </x:is>
      </x:c>
      <x:c r="F40" s="5" t="inlineStr">
        <x:is>
          <x:t xml:space="preserve">Low</x:t>
        </x:is>
      </x:c>
      <x:c r="G40" s="21" t="n">
        <x:v>2</x:v>
      </x:c>
      <x:c r="H40" s="21" t="n">
        <x:v>5</x:v>
      </x:c>
      <x:c r="I40" s="21" t="n">
        <x:v>3</x:v>
      </x:c>
      <x:c r="J40" s="21" t="n">
        <x:v>3</x:v>
      </x:c>
      <x:c r="K40" s="14" t="n">
        <x:f>SUM(G40:I40)-J40</x:f>
        <x:v>7</x:v>
      </x:c>
      <x:c r="L40" s="21" t="inlineStr">
        <x:is>
          <x:t xml:space="preserve">Backlog</x:t>
        </x:is>
      </x:c>
      <x:c r="M40" s="5" t="inlineStr">
        <x:is>
          <x:t xml:space="preserve">Use as case study.</x:t>
        </x:is>
      </x:c>
      <x:c r="N40" s="21" t="inlineStr">
        <x:is>
          <x:t xml:space="preserve">Founder</x:t>
        </x:is>
      </x:c>
    </x:row>
    <x:row r="41">
      <x:c r="A41" s="5" t="inlineStr">
        <x:is>
          <x:t xml:space="preserve">G37</x:t>
        </x:is>
      </x:c>
      <x:c r="B41" s="5" t="inlineStr">
        <x:is>
          <x:t xml:space="preserve">Product</x:t>
        </x:is>
      </x:c>
      <x:c r="C41" s="5" t="inlineStr">
        <x:is>
          <x:t xml:space="preserve">Paywall clarity interview</x:t>
        </x:is>
      </x:c>
      <x:c r="D41" s="5" t="inlineStr">
        <x:is>
          <x:t xml:space="preserve">A clearer value explanation increases paid conversion.</x:t>
        </x:is>
      </x:c>
      <x:c r="E41" s="5" t="inlineStr">
        <x:is>
          <x:t xml:space="preserve">Show current paywall to 5 non-paying users; record exact confusion and rewrite one element.</x:t>
        </x:is>
      </x:c>
      <x:c r="F41" s="5" t="inlineStr">
        <x:is>
          <x:t xml:space="preserve">Free</x:t>
        </x:is>
      </x:c>
      <x:c r="G41" s="21" t="n">
        <x:v>3</x:v>
      </x:c>
      <x:c r="H41" s="21" t="n">
        <x:v>5</x:v>
      </x:c>
      <x:c r="I41" s="21" t="n">
        <x:v>4</x:v>
      </x:c>
      <x:c r="J41" s="21" t="n">
        <x:v>2</x:v>
      </x:c>
      <x:c r="K41" s="14" t="n">
        <x:f>SUM(G41:I41)-J41</x:f>
        <x:v>10</x:v>
      </x:c>
      <x:c r="L41" s="21" t="inlineStr">
        <x:is>
          <x:t xml:space="preserve">Backlog</x:t>
        </x:is>
      </x:c>
      <x:c r="M41" s="5" t="inlineStr">
        <x:is>
          <x:t xml:space="preserve">Scale only if paid conversion or comprehension improves.</x:t>
        </x:is>
      </x:c>
      <x:c r="N41" s="21" t="inlineStr">
        <x:is>
          <x:t xml:space="preserve">Founder</x:t>
        </x:is>
      </x:c>
    </x:row>
    <x:row r="42">
      <x:c r="A42" s="5" t="inlineStr">
        <x:is>
          <x:t xml:space="preserve">G38</x:t>
        </x:is>
      </x:c>
      <x:c r="B42" s="5" t="inlineStr">
        <x:is>
          <x:t xml:space="preserve">Retention</x:t>
        </x:is>
      </x:c>
      <x:c r="C42" s="5" t="inlineStr">
        <x:is>
          <x:t xml:space="preserve">First-week value message</x:t>
        </x:is>
      </x:c>
      <x:c r="D42" s="5" t="inlineStr">
        <x:is>
          <x:t xml:space="preserve">A timely useful message improves first-week use and reduces cancellations.</x:t>
        </x:is>
      </x:c>
      <x:c r="E42" s="5" t="inlineStr">
        <x:is>
          <x:t xml:space="preserve">Send one helpful, non-spam message to new paying users and compare return behavior.</x:t>
        </x:is>
      </x:c>
      <x:c r="F42" s="5" t="inlineStr">
        <x:is>
          <x:t xml:space="preserve">Free</x:t>
        </x:is>
      </x:c>
      <x:c r="G42" s="21" t="n">
        <x:v>3</x:v>
      </x:c>
      <x:c r="H42" s="21" t="n">
        <x:v>5</x:v>
      </x:c>
      <x:c r="I42" s="21" t="n">
        <x:v>4</x:v>
      </x:c>
      <x:c r="J42" s="21" t="n">
        <x:v>2</x:v>
      </x:c>
      <x:c r="K42" s="14" t="n">
        <x:f>SUM(G42:I42)-J42</x:f>
        <x:v>10</x:v>
      </x:c>
      <x:c r="L42" s="21" t="inlineStr">
        <x:is>
          <x:t xml:space="preserve">Backlog</x:t>
        </x:is>
      </x:c>
      <x:c r="M42" s="5" t="inlineStr">
        <x:is>
          <x:t xml:space="preserve">Repeat only with positive retention and sentiment.</x:t>
        </x:is>
      </x:c>
      <x:c r="N42" s="21" t="inlineStr">
        <x:is>
          <x:t xml:space="preserve">Founder</x:t>
        </x:is>
      </x:c>
    </x:row>
    <x:row r="43">
      <x:c r="A43" s="5" t="inlineStr">
        <x:is>
          <x:t xml:space="preserve">G39</x:t>
        </x:is>
      </x:c>
      <x:c r="B43" s="5" t="inlineStr">
        <x:is>
          <x:t xml:space="preserve">App Store</x:t>
        </x:is>
      </x:c>
      <x:c r="C43" s="5" t="inlineStr">
        <x:is>
          <x:t xml:space="preserve">Review timing test</x:t>
        </x:is>
      </x:c>
      <x:c r="D43" s="5" t="inlineStr">
        <x:is>
          <x:t xml:space="preserve">Asking after a value moment produces better reviews than asking randomly.</x:t>
        </x:is>
      </x:c>
      <x:c r="E43" s="5" t="inlineStr">
        <x:is>
          <x:t xml:space="preserve">Trigger/manual ask after verified value or support success.</x:t>
        </x:is>
      </x:c>
      <x:c r="F43" s="5" t="inlineStr">
        <x:is>
          <x:t xml:space="preserve">Free</x:t>
        </x:is>
      </x:c>
      <x:c r="G43" s="21" t="n">
        <x:v>3</x:v>
      </x:c>
      <x:c r="H43" s="21" t="n">
        <x:v>4</x:v>
      </x:c>
      <x:c r="I43" s="21" t="n">
        <x:v>3</x:v>
      </x:c>
      <x:c r="J43" s="21" t="n">
        <x:v>2</x:v>
      </x:c>
      <x:c r="K43" s="14" t="n">
        <x:f>SUM(G43:I43)-J43</x:f>
        <x:v>8</x:v>
      </x:c>
      <x:c r="L43" s="21" t="inlineStr">
        <x:is>
          <x:t xml:space="preserve">Backlog</x:t>
        </x:is>
      </x:c>
      <x:c r="M43" s="5" t="inlineStr">
        <x:is>
          <x:t xml:space="preserve">Use only if review rate rises without complaints.</x:t>
        </x:is>
      </x:c>
      <x:c r="N43" s="21" t="inlineStr">
        <x:is>
          <x:t xml:space="preserve">Founder</x:t>
        </x:is>
      </x:c>
    </x:row>
    <x:row r="44">
      <x:c r="A44" s="5" t="inlineStr">
        <x:is>
          <x:t xml:space="preserve">G40</x:t>
        </x:is>
      </x:c>
      <x:c r="B44" s="5" t="inlineStr">
        <x:is>
          <x:t xml:space="preserve">Referral</x:t>
        </x:is>
      </x:c>
      <x:c r="C44" s="5" t="inlineStr">
        <x:is>
          <x:t xml:space="preserve">Paid-user recommendation ask</x:t>
        </x:is>
      </x:c>
      <x:c r="D44" s="5" t="inlineStr">
        <x:is>
          <x:t xml:space="preserve">People who pay can identify the highest-fit next user.</x:t>
        </x:is>
      </x:c>
      <x:c r="E44" s="5" t="inlineStr">
        <x:is>
          <x:t xml:space="preserve">Ask 10 payers who else needs Msafiri and why; track links.</x:t>
        </x:is>
      </x:c>
      <x:c r="F44" s="5" t="inlineStr">
        <x:is>
          <x:t xml:space="preserve">Free</x:t>
        </x:is>
      </x:c>
      <x:c r="G44" s="21" t="n">
        <x:v>3</x:v>
      </x:c>
      <x:c r="H44" s="21" t="n">
        <x:v>5</x:v>
      </x:c>
      <x:c r="I44" s="21" t="n">
        <x:v>4</x:v>
      </x:c>
      <x:c r="J44" s="21" t="n">
        <x:v>2</x:v>
      </x:c>
      <x:c r="K44" s="14" t="n">
        <x:f>SUM(G44:I44)-J44</x:f>
        <x:v>10</x:v>
      </x:c>
      <x:c r="L44" s="21" t="inlineStr">
        <x:is>
          <x:t xml:space="preserve">Backlog</x:t>
        </x:is>
      </x:c>
      <x:c r="M44" s="5" t="inlineStr">
        <x:is>
          <x:t xml:space="preserve">Scale if referrals activate or pay.</x:t>
        </x:is>
      </x:c>
      <x:c r="N44" s="21" t="inlineStr">
        <x:is>
          <x:t xml:space="preserve">Founder</x:t>
        </x:is>
      </x:c>
    </x:row>
    <x:row r="45">
      <x:c r="A45" s="5" t="inlineStr">
        <x:is>
          <x:t xml:space="preserve">G41</x:t>
        </x:is>
      </x:c>
      <x:c r="B45" s="5" t="inlineStr">
        <x:is>
          <x:t xml:space="preserve">Research</x:t>
        </x:is>
      </x:c>
      <x:c r="C45" s="5" t="inlineStr">
        <x:is>
          <x:t xml:space="preserve">Cancellation interview sprint</x:t>
        </x:is>
      </x:c>
      <x:c r="D45" s="5" t="inlineStr">
        <x:is>
          <x:t xml:space="preserve">Cancellation reasons reveal retention and pricing issues.</x:t>
        </x:is>
      </x:c>
      <x:c r="E45" s="5" t="inlineStr">
        <x:is>
          <x:t xml:space="preserve">Contact every cancellation within 48 hours using a short respectful script.</x:t>
        </x:is>
      </x:c>
      <x:c r="F45" s="5" t="inlineStr">
        <x:is>
          <x:t xml:space="preserve">Free</x:t>
        </x:is>
      </x:c>
      <x:c r="G45" s="21" t="n">
        <x:v>2</x:v>
      </x:c>
      <x:c r="H45" s="21" t="n">
        <x:v>5</x:v>
      </x:c>
      <x:c r="I45" s="21" t="n">
        <x:v>4</x:v>
      </x:c>
      <x:c r="J45" s="21" t="n">
        <x:v>2</x:v>
      </x:c>
      <x:c r="K45" s="14" t="n">
        <x:f>SUM(G45:I45)-J45</x:f>
        <x:v>9</x:v>
      </x:c>
      <x:c r="L45" s="21" t="inlineStr">
        <x:is>
          <x:t xml:space="preserve">Backlog</x:t>
        </x:is>
      </x:c>
      <x:c r="M45" s="5" t="inlineStr">
        <x:is>
          <x:t xml:space="preserve">Turn repeated reason into one product/communication fix.</x:t>
        </x:is>
      </x:c>
      <x:c r="N45" s="21" t="inlineStr">
        <x:is>
          <x:t xml:space="preserve">Founder</x:t>
        </x:is>
      </x:c>
    </x:row>
    <x:row r="46">
      <x:c r="A46" s="5" t="inlineStr">
        <x:is>
          <x:t xml:space="preserve">G42</x:t>
        </x:is>
      </x:c>
      <x:c r="B46" s="5" t="inlineStr">
        <x:is>
          <x:t xml:space="preserve">Field</x:t>
        </x:is>
      </x:c>
      <x:c r="C46" s="5" t="inlineStr">
        <x:is>
          <x:t xml:space="preserve">Corridor challenge</x:t>
        </x:is>
      </x:c>
      <x:c r="D46" s="5" t="inlineStr">
        <x:is>
          <x:t xml:space="preserve">A named-corridor challenge builds data and community together.</x:t>
        </x:is>
      </x:c>
      <x:c r="E46" s="5" t="inlineStr">
        <x:is>
          <x:t xml:space="preserve">Ask users to submit one issue/evidence on the priority corridor; verify before publishing.</x:t>
        </x:is>
      </x:c>
      <x:c r="F46" s="5" t="inlineStr">
        <x:is>
          <x:t xml:space="preserve">Low</x:t>
        </x:is>
      </x:c>
      <x:c r="G46" s="21" t="n">
        <x:v>3</x:v>
      </x:c>
      <x:c r="H46" s="21" t="n">
        <x:v>5</x:v>
      </x:c>
      <x:c r="I46" s="21" t="n">
        <x:v>3</x:v>
      </x:c>
      <x:c r="J46" s="21" t="n">
        <x:v>3</x:v>
      </x:c>
      <x:c r="K46" s="14" t="n">
        <x:f>SUM(G46:I46)-J46</x:f>
        <x:v>8</x:v>
      </x:c>
      <x:c r="L46" s="21" t="inlineStr">
        <x:is>
          <x:t xml:space="preserve">Backlog</x:t>
        </x:is>
      </x:c>
      <x:c r="M46" s="5" t="inlineStr">
        <x:is>
          <x:t xml:space="preserve">Repeat if submissions are usable and safe.</x:t>
        </x:is>
      </x:c>
      <x:c r="N46" s="21" t="inlineStr">
        <x:is>
          <x:t xml:space="preserve">Founder</x:t>
        </x:is>
      </x:c>
    </x:row>
    <x:row r="47">
      <x:c r="A47" s="5" t="inlineStr">
        <x:is>
          <x:t xml:space="preserve">G43</x:t>
        </x:is>
      </x:c>
      <x:c r="B47" s="5" t="inlineStr">
        <x:is>
          <x:t xml:space="preserve">WhatsApp</x:t>
        </x:is>
      </x:c>
      <x:c r="C47" s="5" t="inlineStr">
        <x:is>
          <x:t xml:space="preserve">Route micro-community</x:t>
        </x:is>
      </x:c>
      <x:c r="D47" s="5" t="inlineStr">
        <x:is>
          <x:t xml:space="preserve">A small route-specific group can improve feedback and retention.</x:t>
        </x:is>
      </x:c>
      <x:c r="E47" s="5" t="inlineStr">
        <x:is>
          <x:t xml:space="preserve">Invite a few active users on one corridor; moderate tightly and avoid live enforcement-evasion reports.</x:t>
        </x:is>
      </x:c>
      <x:c r="F47" s="5" t="inlineStr">
        <x:is>
          <x:t xml:space="preserve">Free</x:t>
        </x:is>
      </x:c>
      <x:c r="G47" s="21" t="n">
        <x:v>2</x:v>
      </x:c>
      <x:c r="H47" s="21" t="n">
        <x:v>5</x:v>
      </x:c>
      <x:c r="I47" s="21" t="n">
        <x:v>3</x:v>
      </x:c>
      <x:c r="J47" s="21" t="n">
        <x:v>4</x:v>
      </x:c>
      <x:c r="K47" s="14" t="n">
        <x:f>SUM(G47:I47)-J47</x:f>
        <x:v>6</x:v>
      </x:c>
      <x:c r="L47" s="21" t="inlineStr">
        <x:is>
          <x:t xml:space="preserve">Backlog</x:t>
        </x:is>
      </x:c>
      <x:c r="M47" s="5" t="inlineStr">
        <x:is>
          <x:t xml:space="preserve">Keep only if signal exceeds moderation cost.</x:t>
        </x:is>
      </x:c>
      <x:c r="N47" s="21" t="inlineStr">
        <x:is>
          <x:t xml:space="preserve">Founder</x:t>
        </x:is>
      </x:c>
    </x:row>
    <x:row r="48">
      <x:c r="A48" s="5" t="inlineStr">
        <x:is>
          <x:t xml:space="preserve">G44</x:t>
        </x:is>
      </x:c>
      <x:c r="B48" s="5" t="inlineStr">
        <x:is>
          <x:t xml:space="preserve">Pricing</x:t>
        </x:is>
      </x:c>
      <x:c r="C48" s="5" t="inlineStr">
        <x:is>
          <x:t xml:space="preserve">Annual-plan interest check</x:t>
        </x:is>
      </x:c>
      <x:c r="D48" s="5" t="inlineStr">
        <x:is>
          <x:t xml:space="preserve">Some users prefer lower effective annual price and better retention.</x:t>
        </x:is>
      </x:c>
      <x:c r="E48" s="5" t="inlineStr">
        <x:is>
          <x:t xml:space="preserve">Ask current payers; do not build until interest and economics are clear.</x:t>
        </x:is>
      </x:c>
      <x:c r="F48" s="5" t="inlineStr">
        <x:is>
          <x:t xml:space="preserve">Free</x:t>
        </x:is>
      </x:c>
      <x:c r="G48" s="21" t="n">
        <x:v>2</x:v>
      </x:c>
      <x:c r="H48" s="21" t="n">
        <x:v>4</x:v>
      </x:c>
      <x:c r="I48" s="21" t="n">
        <x:v>2</x:v>
      </x:c>
      <x:c r="J48" s="21" t="n">
        <x:v>2</x:v>
      </x:c>
      <x:c r="K48" s="14" t="n">
        <x:f>SUM(G48:I48)-J48</x:f>
        <x:v>6</x:v>
      </x:c>
      <x:c r="L48" s="21" t="inlineStr">
        <x:is>
          <x:t xml:space="preserve">Backlog</x:t>
        </x:is>
      </x:c>
      <x:c r="M48" s="5" t="inlineStr">
        <x:is>
          <x:t xml:space="preserve">Proceed only with meaningful interest and store support.</x:t>
        </x:is>
      </x:c>
      <x:c r="N48" s="21" t="inlineStr">
        <x:is>
          <x:t xml:space="preserve">Founder</x:t>
        </x:is>
      </x:c>
    </x:row>
  </x:sheetData>
  <x:dataValidations count="2">
    <x:dataValidation type="list" allowBlank="1" showDropDown="0" showInputMessage="0" showErrorMessage="0" sqref="B5:B40">
      <x:formula1>=Lists!$F$5:$F$17</x:formula1>
    </x:dataValidation>
    <x:dataValidation type="list" allowBlank="1" showDropDown="0" showInputMessage="0" showErrorMessage="0" sqref="L5:L40">
      <x:formula1>=Lists!$G$5:$G$15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cdd13a7aa8406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12" customWidth="1"/>
    <x:col min="4" max="4" width="11" customWidth="1"/>
    <x:col min="5" max="5" width="20" customWidth="1"/>
    <x:col min="6" max="6" width="30" customWidth="1"/>
    <x:col min="7" max="7" width="35" customWidth="1"/>
    <x:col min="8" max="8" width="13" customWidth="1"/>
    <x:col min="9" max="9" width="12" customWidth="1"/>
    <x:col min="10" max="10" width="12" customWidth="1"/>
    <x:col min="11" max="11" width="10" customWidth="1"/>
    <x:col min="12" max="12" width="10" customWidth="1"/>
    <x:col min="13" max="13" width="11" customWidth="1"/>
    <x:col min="14" max="14" width="10" customWidth="1"/>
    <x:col min="15" max="15" width="12" customWidth="1"/>
    <x:col min="16" max="16" width="15" customWidth="1"/>
    <x:col min="17" max="17" width="13" customWidth="1"/>
    <x:col min="18" max="18" width="16" customWidth="1"/>
    <x:col min="19" max="19" width="15" customWidth="1"/>
    <x:col min="20" max="20" width="16" customWidth="1"/>
    <x:col min="21" max="21" width="38" customWidth="1"/>
    <x:col min="22" max="22" width="13" customWidth="1"/>
  </x:cols>
  <x:sheetData>
    <x:row r="1" ht="30" customHeight="1">
      <x:c r="A1" s="26" t="inlineStr">
        <x:is>
          <x:t xml:space="preserve">ADS TESTING — CONTROLLED ONLY</x:t>
        </x:is>
      </x:c>
    </x:row>
    <x:row r="2" ht="34" customHeight="1">
      <x:c r="A2" s="27" t="inlineStr">
        <x:is>
          <x:t xml:space="preserve">Do not use this as permission to advertise. Use it only after Growth Gates pass; one small test, one variable, and paid-subscriber economics.</x:t>
        </x:is>
      </x:c>
    </x:row>
    <x:row r="3"/>
    <x:row r="4" ht="38" customHeight="1">
      <x:c r="A4" s="97" t="inlineStr">
        <x:is>
          <x:t xml:space="preserve">Test ID</x:t>
        </x:is>
      </x:c>
      <x:c r="B4" s="97" t="inlineStr">
        <x:is>
          <x:t xml:space="preserve">Start Date</x:t>
        </x:is>
      </x:c>
      <x:c r="C4" s="97" t="inlineStr">
        <x:is>
          <x:t xml:space="preserve">End Date</x:t>
        </x:is>
      </x:c>
      <x:c r="D4" s="97" t="inlineStr">
        <x:is>
          <x:t xml:space="preserve">Platform</x:t>
        </x:is>
      </x:c>
      <x:c r="E4" s="97" t="inlineStr">
        <x:is>
          <x:t xml:space="preserve">Objective</x:t>
        </x:is>
      </x:c>
      <x:c r="F4" s="97" t="inlineStr">
        <x:is>
          <x:t xml:space="preserve">Audience</x:t>
        </x:is>
      </x:c>
      <x:c r="G4" s="97" t="inlineStr">
        <x:is>
          <x:t xml:space="preserve">Creative / Variable</x:t>
        </x:is>
      </x:c>
      <x:c r="H4" s="97" t="inlineStr">
        <x:is>
          <x:t xml:space="preserve">Budget KES</x:t>
        </x:is>
      </x:c>
      <x:c r="I4" s="97" t="inlineStr">
        <x:is>
          <x:t xml:space="preserve">Spend KES</x:t>
        </x:is>
      </x:c>
      <x:c r="J4" s="97" t="inlineStr">
        <x:is>
          <x:t xml:space="preserve">Impressions</x:t>
        </x:is>
      </x:c>
      <x:c r="K4" s="97" t="inlineStr">
        <x:is>
          <x:t xml:space="preserve">Clicks</x:t>
        </x:is>
      </x:c>
      <x:c r="L4" s="97" t="inlineStr">
        <x:is>
          <x:t xml:space="preserve">Installs</x:t>
        </x:is>
      </x:c>
      <x:c r="M4" s="97" t="inlineStr">
        <x:is>
          <x:t xml:space="preserve">Activated</x:t>
        </x:is>
      </x:c>
      <x:c r="N4" s="97" t="inlineStr">
        <x:is>
          <x:t xml:space="preserve">New Paid</x:t>
        </x:is>
      </x:c>
      <x:c r="O4" s="97" t="inlineStr">
        <x:is>
          <x:t xml:space="preserve">CPI</x:t>
        </x:is>
      </x:c>
      <x:c r="P4" s="97" t="inlineStr">
        <x:is>
          <x:t xml:space="preserve">Cost / Activated</x:t>
        </x:is>
      </x:c>
      <x:c r="Q4" s="97" t="inlineStr">
        <x:is>
          <x:t xml:space="preserve">CAC / Paid</x:t>
        </x:is>
      </x:c>
      <x:c r="R4" s="97" t="inlineStr">
        <x:is>
          <x:t xml:space="preserve">30-Day Net Revenue</x:t>
        </x:is>
      </x:c>
      <x:c r="S4" s="97" t="inlineStr">
        <x:is>
          <x:t xml:space="preserve">CAC Payback Months</x:t>
        </x:is>
      </x:c>
      <x:c r="T4" s="97" t="inlineStr">
        <x:is>
          <x:t xml:space="preserve">Decision</x:t>
        </x:is>
      </x:c>
      <x:c r="U4" s="97" t="inlineStr">
        <x:is>
          <x:t xml:space="preserve">Learning</x:t>
        </x:is>
      </x:c>
      <x:c r="V4" s="97" t="inlineStr">
        <x:is>
          <x:t xml:space="preserve">Status</x:t>
        </x:is>
      </x:c>
    </x:row>
    <x:row r="5">
      <x:c r="A5" s="31" t="inlineStr">
        <x:is>
          <x:t xml:space="preserve">A01</x:t>
        </x:is>
      </x:c>
      <x:c r="B5" s="80" t="inlineStr">
        <x:is>
          <x:t xml:space="preserve"/>
        </x:is>
      </x:c>
      <x:c r="C5" s="80" t="inlineStr">
        <x:is>
          <x:t xml:space="preserve"/>
        </x:is>
      </x:c>
      <x:c r="D5" s="31" t="inlineStr">
        <x:is>
          <x:t xml:space="preserve">Meta</x:t>
        </x:is>
      </x:c>
      <x:c r="E5" s="31" t="inlineStr">
        <x:is>
          <x:t xml:space="preserve">App acquisition</x:t>
        </x:is>
      </x:c>
      <x:c r="F5" s="31" t="inlineStr">
        <x:is>
          <x:t xml:space="preserve">Kenyan drivers on one defined corridor</x:t>
        </x:is>
      </x:c>
      <x:c r="G5" s="31" t="inlineStr">
        <x:is>
          <x:t xml:space="preserve">Proven organic problem → feature → outcome</x:t>
        </x:is>
      </x:c>
      <x:c r="H5" s="52" t="n">
        <x:v>0</x:v>
      </x:c>
      <x:c r="I5" s="52" t="n">
        <x:v>0</x:v>
      </x:c>
      <x:c r="J5" s="58" t="n">
        <x:v>0</x:v>
      </x:c>
      <x:c r="K5" s="58" t="n">
        <x:v>0</x:v>
      </x:c>
      <x:c r="L5" s="58" t="n">
        <x:v>0</x:v>
      </x:c>
      <x:c r="M5" s="58" t="n">
        <x:v>0</x:v>
      </x:c>
      <x:c r="N5" s="58" t="n">
        <x:v>0</x:v>
      </x:c>
      <x:c r="O5" s="47" t="n">
        <x:f>IF(L5=0,0,I5/L5)</x:f>
        <x:v>0</x:v>
      </x:c>
      <x:c r="P5" s="47" t="n">
        <x:f>IF(M5=0,0,I5/M5)</x:f>
        <x:v>0</x:v>
      </x:c>
      <x:c r="Q5" s="47" t="n">
        <x:f>IF(N5=0,0,I5/N5)</x:f>
        <x:v>0</x:v>
      </x:c>
      <x:c r="R5" s="52" t="n">
        <x:v>0</x:v>
      </x:c>
      <x:c r="S5" s="98" t="n">
        <x:f>IF(R5=0,0,I5/R5)</x:f>
        <x:v>0</x:v>
      </x:c>
      <x:c r="T5" s="75" t="inlineStr">
        <x:is>
          <x:t xml:space="preserve"/>
        </x:is>
      </x:c>
      <x:c r="U5" s="75" t="inlineStr">
        <x:is>
          <x:t xml:space="preserve"/>
        </x:is>
      </x:c>
      <x:c r="V5" s="75" t="inlineStr">
        <x:is>
          <x:t xml:space="preserve">Backlog</x:t>
        </x:is>
      </x:c>
    </x:row>
    <x:row r="6">
      <x:c r="A6" s="30" t="inlineStr">
        <x:is>
          <x:t xml:space="preserve">A02</x:t>
        </x:is>
      </x:c>
      <x:c r="B6" s="82" t="inlineStr">
        <x:is>
          <x:t xml:space="preserve"/>
        </x:is>
      </x:c>
      <x:c r="C6" s="82" t="inlineStr">
        <x:is>
          <x:t xml:space="preserve"/>
        </x:is>
      </x:c>
      <x:c r="D6" s="30" t="inlineStr">
        <x:is>
          <x:t xml:space="preserve">Meta</x:t>
        </x:is>
      </x:c>
      <x:c r="E6" s="30" t="inlineStr">
        <x:is>
          <x:t xml:space="preserve">App acquisition</x:t>
        </x:is>
      </x:c>
      <x:c r="F6" s="30" t="inlineStr">
        <x:is>
          <x:t xml:space="preserve">Kenyan drivers on one defined corridor</x:t>
        </x:is>
      </x:c>
      <x:c r="G6" s="30" t="inlineStr">
        <x:is>
          <x:t xml:space="preserve">Proven organic problem → feature → outcome</x:t>
        </x:is>
      </x:c>
      <x:c r="H6" s="52" t="n">
        <x:v>0</x:v>
      </x:c>
      <x:c r="I6" s="52" t="n">
        <x:v>0</x:v>
      </x:c>
      <x:c r="J6" s="58" t="n">
        <x:v>0</x:v>
      </x:c>
      <x:c r="K6" s="58" t="n">
        <x:v>0</x:v>
      </x:c>
      <x:c r="L6" s="58" t="n">
        <x:v>0</x:v>
      </x:c>
      <x:c r="M6" s="58" t="n">
        <x:v>0</x:v>
      </x:c>
      <x:c r="N6" s="58" t="n">
        <x:v>0</x:v>
      </x:c>
      <x:c r="O6" s="45" t="n">
        <x:f>IF(L6=0,0,I6/L6)</x:f>
        <x:v>0</x:v>
      </x:c>
      <x:c r="P6" s="45" t="n">
        <x:f>IF(M6=0,0,I6/M6)</x:f>
        <x:v>0</x:v>
      </x:c>
      <x:c r="Q6" s="45" t="n">
        <x:f>IF(N6=0,0,I6/N6)</x:f>
        <x:v>0</x:v>
      </x:c>
      <x:c r="R6" s="52" t="n">
        <x:v>0</x:v>
      </x:c>
      <x:c r="S6" s="99" t="n">
        <x:f>IF(R6=0,0,I6/R6)</x:f>
        <x:v>0</x:v>
      </x:c>
      <x:c r="T6" s="76" t="inlineStr">
        <x:is>
          <x:t xml:space="preserve"/>
        </x:is>
      </x:c>
      <x:c r="U6" s="76" t="inlineStr">
        <x:is>
          <x:t xml:space="preserve"/>
        </x:is>
      </x:c>
      <x:c r="V6" s="76" t="inlineStr">
        <x:is>
          <x:t xml:space="preserve">Backlog</x:t>
        </x:is>
      </x:c>
    </x:row>
    <x:row r="7">
      <x:c r="A7" s="31" t="inlineStr">
        <x:is>
          <x:t xml:space="preserve">A03</x:t>
        </x:is>
      </x:c>
      <x:c r="B7" s="80" t="inlineStr">
        <x:is>
          <x:t xml:space="preserve"/>
        </x:is>
      </x:c>
      <x:c r="C7" s="80" t="inlineStr">
        <x:is>
          <x:t xml:space="preserve"/>
        </x:is>
      </x:c>
      <x:c r="D7" s="31" t="inlineStr">
        <x:is>
          <x:t xml:space="preserve">Meta</x:t>
        </x:is>
      </x:c>
      <x:c r="E7" s="31" t="inlineStr">
        <x:is>
          <x:t xml:space="preserve">App acquisition</x:t>
        </x:is>
      </x:c>
      <x:c r="F7" s="31" t="inlineStr">
        <x:is>
          <x:t xml:space="preserve">Kenyan drivers on one defined corridor</x:t>
        </x:is>
      </x:c>
      <x:c r="G7" s="31" t="inlineStr">
        <x:is>
          <x:t xml:space="preserve">Proven organic problem → feature → outcome</x:t>
        </x:is>
      </x:c>
      <x:c r="H7" s="52" t="n">
        <x:v>0</x:v>
      </x:c>
      <x:c r="I7" s="52" t="n">
        <x:v>0</x:v>
      </x:c>
      <x:c r="J7" s="58" t="n">
        <x:v>0</x:v>
      </x:c>
      <x:c r="K7" s="58" t="n">
        <x:v>0</x:v>
      </x:c>
      <x:c r="L7" s="58" t="n">
        <x:v>0</x:v>
      </x:c>
      <x:c r="M7" s="58" t="n">
        <x:v>0</x:v>
      </x:c>
      <x:c r="N7" s="58" t="n">
        <x:v>0</x:v>
      </x:c>
      <x:c r="O7" s="47" t="n">
        <x:f>IF(L7=0,0,I7/L7)</x:f>
        <x:v>0</x:v>
      </x:c>
      <x:c r="P7" s="47" t="n">
        <x:f>IF(M7=0,0,I7/M7)</x:f>
        <x:v>0</x:v>
      </x:c>
      <x:c r="Q7" s="47" t="n">
        <x:f>IF(N7=0,0,I7/N7)</x:f>
        <x:v>0</x:v>
      </x:c>
      <x:c r="R7" s="52" t="n">
        <x:v>0</x:v>
      </x:c>
      <x:c r="S7" s="98" t="n">
        <x:f>IF(R7=0,0,I7/R7)</x:f>
        <x:v>0</x:v>
      </x:c>
      <x:c r="T7" s="75" t="inlineStr">
        <x:is>
          <x:t xml:space="preserve"/>
        </x:is>
      </x:c>
      <x:c r="U7" s="75" t="inlineStr">
        <x:is>
          <x:t xml:space="preserve"/>
        </x:is>
      </x:c>
      <x:c r="V7" s="75" t="inlineStr">
        <x:is>
          <x:t xml:space="preserve">Backlog</x:t>
        </x:is>
      </x:c>
    </x:row>
    <x:row r="8">
      <x:c r="A8" s="30" t="inlineStr">
        <x:is>
          <x:t xml:space="preserve">A04</x:t>
        </x:is>
      </x:c>
      <x:c r="B8" s="82" t="inlineStr">
        <x:is>
          <x:t xml:space="preserve"/>
        </x:is>
      </x:c>
      <x:c r="C8" s="82" t="inlineStr">
        <x:is>
          <x:t xml:space="preserve"/>
        </x:is>
      </x:c>
      <x:c r="D8" s="30" t="inlineStr">
        <x:is>
          <x:t xml:space="preserve">Meta</x:t>
        </x:is>
      </x:c>
      <x:c r="E8" s="30" t="inlineStr">
        <x:is>
          <x:t xml:space="preserve">App acquisition</x:t>
        </x:is>
      </x:c>
      <x:c r="F8" s="30" t="inlineStr">
        <x:is>
          <x:t xml:space="preserve">Kenyan drivers on one defined corridor</x:t>
        </x:is>
      </x:c>
      <x:c r="G8" s="30" t="inlineStr">
        <x:is>
          <x:t xml:space="preserve">Proven organic problem → feature → outcome</x:t>
        </x:is>
      </x:c>
      <x:c r="H8" s="52" t="n">
        <x:v>0</x:v>
      </x:c>
      <x:c r="I8" s="52" t="n">
        <x:v>0</x:v>
      </x:c>
      <x:c r="J8" s="58" t="n">
        <x:v>0</x:v>
      </x:c>
      <x:c r="K8" s="58" t="n">
        <x:v>0</x:v>
      </x:c>
      <x:c r="L8" s="58" t="n">
        <x:v>0</x:v>
      </x:c>
      <x:c r="M8" s="58" t="n">
        <x:v>0</x:v>
      </x:c>
      <x:c r="N8" s="58" t="n">
        <x:v>0</x:v>
      </x:c>
      <x:c r="O8" s="45" t="n">
        <x:f>IF(L8=0,0,I8/L8)</x:f>
        <x:v>0</x:v>
      </x:c>
      <x:c r="P8" s="45" t="n">
        <x:f>IF(M8=0,0,I8/M8)</x:f>
        <x:v>0</x:v>
      </x:c>
      <x:c r="Q8" s="45" t="n">
        <x:f>IF(N8=0,0,I8/N8)</x:f>
        <x:v>0</x:v>
      </x:c>
      <x:c r="R8" s="52" t="n">
        <x:v>0</x:v>
      </x:c>
      <x:c r="S8" s="99" t="n">
        <x:f>IF(R8=0,0,I8/R8)</x:f>
        <x:v>0</x:v>
      </x:c>
      <x:c r="T8" s="76" t="inlineStr">
        <x:is>
          <x:t xml:space="preserve"/>
        </x:is>
      </x:c>
      <x:c r="U8" s="76" t="inlineStr">
        <x:is>
          <x:t xml:space="preserve"/>
        </x:is>
      </x:c>
      <x:c r="V8" s="76" t="inlineStr">
        <x:is>
          <x:t xml:space="preserve">Backlog</x:t>
        </x:is>
      </x:c>
    </x:row>
    <x:row r="9">
      <x:c r="A9" s="31" t="inlineStr">
        <x:is>
          <x:t xml:space="preserve">A05</x:t>
        </x:is>
      </x:c>
      <x:c r="B9" s="80" t="inlineStr">
        <x:is>
          <x:t xml:space="preserve"/>
        </x:is>
      </x:c>
      <x:c r="C9" s="80" t="inlineStr">
        <x:is>
          <x:t xml:space="preserve"/>
        </x:is>
      </x:c>
      <x:c r="D9" s="31" t="inlineStr">
        <x:is>
          <x:t xml:space="preserve">Meta</x:t>
        </x:is>
      </x:c>
      <x:c r="E9" s="31" t="inlineStr">
        <x:is>
          <x:t xml:space="preserve">App acquisition</x:t>
        </x:is>
      </x:c>
      <x:c r="F9" s="31" t="inlineStr">
        <x:is>
          <x:t xml:space="preserve">Kenyan drivers on one defined corridor</x:t>
        </x:is>
      </x:c>
      <x:c r="G9" s="31" t="inlineStr">
        <x:is>
          <x:t xml:space="preserve">Proven organic problem → feature → outcome</x:t>
        </x:is>
      </x:c>
      <x:c r="H9" s="52" t="n">
        <x:v>0</x:v>
      </x:c>
      <x:c r="I9" s="52" t="n">
        <x:v>0</x:v>
      </x:c>
      <x:c r="J9" s="58" t="n">
        <x:v>0</x:v>
      </x:c>
      <x:c r="K9" s="58" t="n">
        <x:v>0</x:v>
      </x:c>
      <x:c r="L9" s="58" t="n">
        <x:v>0</x:v>
      </x:c>
      <x:c r="M9" s="58" t="n">
        <x:v>0</x:v>
      </x:c>
      <x:c r="N9" s="58" t="n">
        <x:v>0</x:v>
      </x:c>
      <x:c r="O9" s="47" t="n">
        <x:f>IF(L9=0,0,I9/L9)</x:f>
        <x:v>0</x:v>
      </x:c>
      <x:c r="P9" s="47" t="n">
        <x:f>IF(M9=0,0,I9/M9)</x:f>
        <x:v>0</x:v>
      </x:c>
      <x:c r="Q9" s="47" t="n">
        <x:f>IF(N9=0,0,I9/N9)</x:f>
        <x:v>0</x:v>
      </x:c>
      <x:c r="R9" s="52" t="n">
        <x:v>0</x:v>
      </x:c>
      <x:c r="S9" s="98" t="n">
        <x:f>IF(R9=0,0,I9/R9)</x:f>
        <x:v>0</x:v>
      </x:c>
      <x:c r="T9" s="75" t="inlineStr">
        <x:is>
          <x:t xml:space="preserve"/>
        </x:is>
      </x:c>
      <x:c r="U9" s="75" t="inlineStr">
        <x:is>
          <x:t xml:space="preserve"/>
        </x:is>
      </x:c>
      <x:c r="V9" s="75" t="inlineStr">
        <x:is>
          <x:t xml:space="preserve">Backlog</x:t>
        </x:is>
      </x:c>
    </x:row>
    <x:row r="10">
      <x:c r="A10" s="30" t="inlineStr">
        <x:is>
          <x:t xml:space="preserve">A06</x:t>
        </x:is>
      </x:c>
      <x:c r="B10" s="82" t="inlineStr">
        <x:is>
          <x:t xml:space="preserve"/>
        </x:is>
      </x:c>
      <x:c r="C10" s="82" t="inlineStr">
        <x:is>
          <x:t xml:space="preserve"/>
        </x:is>
      </x:c>
      <x:c r="D10" s="30" t="inlineStr">
        <x:is>
          <x:t xml:space="preserve">Meta</x:t>
        </x:is>
      </x:c>
      <x:c r="E10" s="30" t="inlineStr">
        <x:is>
          <x:t xml:space="preserve">App acquisition</x:t>
        </x:is>
      </x:c>
      <x:c r="F10" s="30" t="inlineStr">
        <x:is>
          <x:t xml:space="preserve">Kenyan drivers on one defined corridor</x:t>
        </x:is>
      </x:c>
      <x:c r="G10" s="30" t="inlineStr">
        <x:is>
          <x:t xml:space="preserve">Proven organic problem → feature → outcome</x:t>
        </x:is>
      </x:c>
      <x:c r="H10" s="52" t="n">
        <x:v>0</x:v>
      </x:c>
      <x:c r="I10" s="52" t="n">
        <x:v>0</x:v>
      </x:c>
      <x:c r="J10" s="58" t="n">
        <x:v>0</x:v>
      </x:c>
      <x:c r="K10" s="58" t="n">
        <x:v>0</x:v>
      </x:c>
      <x:c r="L10" s="58" t="n">
        <x:v>0</x:v>
      </x:c>
      <x:c r="M10" s="58" t="n">
        <x:v>0</x:v>
      </x:c>
      <x:c r="N10" s="58" t="n">
        <x:v>0</x:v>
      </x:c>
      <x:c r="O10" s="45" t="n">
        <x:f>IF(L10=0,0,I10/L10)</x:f>
        <x:v>0</x:v>
      </x:c>
      <x:c r="P10" s="45" t="n">
        <x:f>IF(M10=0,0,I10/M10)</x:f>
        <x:v>0</x:v>
      </x:c>
      <x:c r="Q10" s="45" t="n">
        <x:f>IF(N10=0,0,I10/N10)</x:f>
        <x:v>0</x:v>
      </x:c>
      <x:c r="R10" s="52" t="n">
        <x:v>0</x:v>
      </x:c>
      <x:c r="S10" s="99" t="n">
        <x:f>IF(R10=0,0,I10/R10)</x:f>
        <x:v>0</x:v>
      </x:c>
      <x:c r="T10" s="76" t="inlineStr">
        <x:is>
          <x:t xml:space="preserve"/>
        </x:is>
      </x:c>
      <x:c r="U10" s="76" t="inlineStr">
        <x:is>
          <x:t xml:space="preserve"/>
        </x:is>
      </x:c>
      <x:c r="V10" s="76" t="inlineStr">
        <x:is>
          <x:t xml:space="preserve">Backlog</x:t>
        </x:is>
      </x:c>
    </x:row>
    <x:row r="11">
      <x:c r="A11" s="31" t="inlineStr">
        <x:is>
          <x:t xml:space="preserve">A07</x:t>
        </x:is>
      </x:c>
      <x:c r="B11" s="80" t="inlineStr">
        <x:is>
          <x:t xml:space="preserve"/>
        </x:is>
      </x:c>
      <x:c r="C11" s="80" t="inlineStr">
        <x:is>
          <x:t xml:space="preserve"/>
        </x:is>
      </x:c>
      <x:c r="D11" s="31" t="inlineStr">
        <x:is>
          <x:t xml:space="preserve">Meta</x:t>
        </x:is>
      </x:c>
      <x:c r="E11" s="31" t="inlineStr">
        <x:is>
          <x:t xml:space="preserve">App acquisition</x:t>
        </x:is>
      </x:c>
      <x:c r="F11" s="31" t="inlineStr">
        <x:is>
          <x:t xml:space="preserve">Kenyan drivers on one defined corridor</x:t>
        </x:is>
      </x:c>
      <x:c r="G11" s="31" t="inlineStr">
        <x:is>
          <x:t xml:space="preserve">Proven organic problem → feature → outcome</x:t>
        </x:is>
      </x:c>
      <x:c r="H11" s="52" t="n">
        <x:v>0</x:v>
      </x:c>
      <x:c r="I11" s="52" t="n">
        <x:v>0</x:v>
      </x:c>
      <x:c r="J11" s="58" t="n">
        <x:v>0</x:v>
      </x:c>
      <x:c r="K11" s="58" t="n">
        <x:v>0</x:v>
      </x:c>
      <x:c r="L11" s="58" t="n">
        <x:v>0</x:v>
      </x:c>
      <x:c r="M11" s="58" t="n">
        <x:v>0</x:v>
      </x:c>
      <x:c r="N11" s="58" t="n">
        <x:v>0</x:v>
      </x:c>
      <x:c r="O11" s="47" t="n">
        <x:f>IF(L11=0,0,I11/L11)</x:f>
        <x:v>0</x:v>
      </x:c>
      <x:c r="P11" s="47" t="n">
        <x:f>IF(M11=0,0,I11/M11)</x:f>
        <x:v>0</x:v>
      </x:c>
      <x:c r="Q11" s="47" t="n">
        <x:f>IF(N11=0,0,I11/N11)</x:f>
        <x:v>0</x:v>
      </x:c>
      <x:c r="R11" s="52" t="n">
        <x:v>0</x:v>
      </x:c>
      <x:c r="S11" s="98" t="n">
        <x:f>IF(R11=0,0,I11/R11)</x:f>
        <x:v>0</x:v>
      </x:c>
      <x:c r="T11" s="75" t="inlineStr">
        <x:is>
          <x:t xml:space="preserve"/>
        </x:is>
      </x:c>
      <x:c r="U11" s="75" t="inlineStr">
        <x:is>
          <x:t xml:space="preserve"/>
        </x:is>
      </x:c>
      <x:c r="V11" s="75" t="inlineStr">
        <x:is>
          <x:t xml:space="preserve">Backlog</x:t>
        </x:is>
      </x:c>
    </x:row>
    <x:row r="12">
      <x:c r="A12" s="30" t="inlineStr">
        <x:is>
          <x:t xml:space="preserve">A08</x:t>
        </x:is>
      </x:c>
      <x:c r="B12" s="82" t="inlineStr">
        <x:is>
          <x:t xml:space="preserve"/>
        </x:is>
      </x:c>
      <x:c r="C12" s="82" t="inlineStr">
        <x:is>
          <x:t xml:space="preserve"/>
        </x:is>
      </x:c>
      <x:c r="D12" s="30" t="inlineStr">
        <x:is>
          <x:t xml:space="preserve">Meta</x:t>
        </x:is>
      </x:c>
      <x:c r="E12" s="30" t="inlineStr">
        <x:is>
          <x:t xml:space="preserve">App acquisition</x:t>
        </x:is>
      </x:c>
      <x:c r="F12" s="30" t="inlineStr">
        <x:is>
          <x:t xml:space="preserve">Kenyan drivers on one defined corridor</x:t>
        </x:is>
      </x:c>
      <x:c r="G12" s="30" t="inlineStr">
        <x:is>
          <x:t xml:space="preserve">Proven organic problem → feature → outcome</x:t>
        </x:is>
      </x:c>
      <x:c r="H12" s="52" t="n">
        <x:v>0</x:v>
      </x:c>
      <x:c r="I12" s="52" t="n">
        <x:v>0</x:v>
      </x:c>
      <x:c r="J12" s="58" t="n">
        <x:v>0</x:v>
      </x:c>
      <x:c r="K12" s="58" t="n">
        <x:v>0</x:v>
      </x:c>
      <x:c r="L12" s="58" t="n">
        <x:v>0</x:v>
      </x:c>
      <x:c r="M12" s="58" t="n">
        <x:v>0</x:v>
      </x:c>
      <x:c r="N12" s="58" t="n">
        <x:v>0</x:v>
      </x:c>
      <x:c r="O12" s="45" t="n">
        <x:f>IF(L12=0,0,I12/L12)</x:f>
        <x:v>0</x:v>
      </x:c>
      <x:c r="P12" s="45" t="n">
        <x:f>IF(M12=0,0,I12/M12)</x:f>
        <x:v>0</x:v>
      </x:c>
      <x:c r="Q12" s="45" t="n">
        <x:f>IF(N12=0,0,I12/N12)</x:f>
        <x:v>0</x:v>
      </x:c>
      <x:c r="R12" s="52" t="n">
        <x:v>0</x:v>
      </x:c>
      <x:c r="S12" s="99" t="n">
        <x:f>IF(R12=0,0,I12/R12)</x:f>
        <x:v>0</x:v>
      </x:c>
      <x:c r="T12" s="76" t="inlineStr">
        <x:is>
          <x:t xml:space="preserve"/>
        </x:is>
      </x:c>
      <x:c r="U12" s="76" t="inlineStr">
        <x:is>
          <x:t xml:space="preserve"/>
        </x:is>
      </x:c>
      <x:c r="V12" s="76" t="inlineStr">
        <x:is>
          <x:t xml:space="preserve">Backlog</x:t>
        </x:is>
      </x:c>
    </x:row>
    <x:row r="13">
      <x:c r="A13" s="31" t="inlineStr">
        <x:is>
          <x:t xml:space="preserve">A09</x:t>
        </x:is>
      </x:c>
      <x:c r="B13" s="80" t="inlineStr">
        <x:is>
          <x:t xml:space="preserve"/>
        </x:is>
      </x:c>
      <x:c r="C13" s="80" t="inlineStr">
        <x:is>
          <x:t xml:space="preserve"/>
        </x:is>
      </x:c>
      <x:c r="D13" s="31" t="inlineStr">
        <x:is>
          <x:t xml:space="preserve">Meta</x:t>
        </x:is>
      </x:c>
      <x:c r="E13" s="31" t="inlineStr">
        <x:is>
          <x:t xml:space="preserve">App acquisition</x:t>
        </x:is>
      </x:c>
      <x:c r="F13" s="31" t="inlineStr">
        <x:is>
          <x:t xml:space="preserve">Kenyan drivers on one defined corridor</x:t>
        </x:is>
      </x:c>
      <x:c r="G13" s="31" t="inlineStr">
        <x:is>
          <x:t xml:space="preserve">Proven organic problem → feature → outcome</x:t>
        </x:is>
      </x:c>
      <x:c r="H13" s="52" t="n">
        <x:v>0</x:v>
      </x:c>
      <x:c r="I13" s="52" t="n">
        <x:v>0</x:v>
      </x:c>
      <x:c r="J13" s="58" t="n">
        <x:v>0</x:v>
      </x:c>
      <x:c r="K13" s="58" t="n">
        <x:v>0</x:v>
      </x:c>
      <x:c r="L13" s="58" t="n">
        <x:v>0</x:v>
      </x:c>
      <x:c r="M13" s="58" t="n">
        <x:v>0</x:v>
      </x:c>
      <x:c r="N13" s="58" t="n">
        <x:v>0</x:v>
      </x:c>
      <x:c r="O13" s="47" t="n">
        <x:f>IF(L13=0,0,I13/L13)</x:f>
        <x:v>0</x:v>
      </x:c>
      <x:c r="P13" s="47" t="n">
        <x:f>IF(M13=0,0,I13/M13)</x:f>
        <x:v>0</x:v>
      </x:c>
      <x:c r="Q13" s="47" t="n">
        <x:f>IF(N13=0,0,I13/N13)</x:f>
        <x:v>0</x:v>
      </x:c>
      <x:c r="R13" s="52" t="n">
        <x:v>0</x:v>
      </x:c>
      <x:c r="S13" s="98" t="n">
        <x:f>IF(R13=0,0,I13/R13)</x:f>
        <x:v>0</x:v>
      </x:c>
      <x:c r="T13" s="75" t="inlineStr">
        <x:is>
          <x:t xml:space="preserve"/>
        </x:is>
      </x:c>
      <x:c r="U13" s="75" t="inlineStr">
        <x:is>
          <x:t xml:space="preserve"/>
        </x:is>
      </x:c>
      <x:c r="V13" s="75" t="inlineStr">
        <x:is>
          <x:t xml:space="preserve">Backlog</x:t>
        </x:is>
      </x:c>
    </x:row>
    <x:row r="14">
      <x:c r="A14" s="30" t="inlineStr">
        <x:is>
          <x:t xml:space="preserve">A10</x:t>
        </x:is>
      </x:c>
      <x:c r="B14" s="82" t="inlineStr">
        <x:is>
          <x:t xml:space="preserve"/>
        </x:is>
      </x:c>
      <x:c r="C14" s="82" t="inlineStr">
        <x:is>
          <x:t xml:space="preserve"/>
        </x:is>
      </x:c>
      <x:c r="D14" s="30" t="inlineStr">
        <x:is>
          <x:t xml:space="preserve">Meta</x:t>
        </x:is>
      </x:c>
      <x:c r="E14" s="30" t="inlineStr">
        <x:is>
          <x:t xml:space="preserve">App acquisition</x:t>
        </x:is>
      </x:c>
      <x:c r="F14" s="30" t="inlineStr">
        <x:is>
          <x:t xml:space="preserve">Kenyan drivers on one defined corridor</x:t>
        </x:is>
      </x:c>
      <x:c r="G14" s="30" t="inlineStr">
        <x:is>
          <x:t xml:space="preserve">Proven organic problem → feature → outcome</x:t>
        </x:is>
      </x:c>
      <x:c r="H14" s="52" t="n">
        <x:v>0</x:v>
      </x:c>
      <x:c r="I14" s="52" t="n">
        <x:v>0</x:v>
      </x:c>
      <x:c r="J14" s="58" t="n">
        <x:v>0</x:v>
      </x:c>
      <x:c r="K14" s="58" t="n">
        <x:v>0</x:v>
      </x:c>
      <x:c r="L14" s="58" t="n">
        <x:v>0</x:v>
      </x:c>
      <x:c r="M14" s="58" t="n">
        <x:v>0</x:v>
      </x:c>
      <x:c r="N14" s="58" t="n">
        <x:v>0</x:v>
      </x:c>
      <x:c r="O14" s="45" t="n">
        <x:f>IF(L14=0,0,I14/L14)</x:f>
        <x:v>0</x:v>
      </x:c>
      <x:c r="P14" s="45" t="n">
        <x:f>IF(M14=0,0,I14/M14)</x:f>
        <x:v>0</x:v>
      </x:c>
      <x:c r="Q14" s="45" t="n">
        <x:f>IF(N14=0,0,I14/N14)</x:f>
        <x:v>0</x:v>
      </x:c>
      <x:c r="R14" s="52" t="n">
        <x:v>0</x:v>
      </x:c>
      <x:c r="S14" s="99" t="n">
        <x:f>IF(R14=0,0,I14/R14)</x:f>
        <x:v>0</x:v>
      </x:c>
      <x:c r="T14" s="76" t="inlineStr">
        <x:is>
          <x:t xml:space="preserve"/>
        </x:is>
      </x:c>
      <x:c r="U14" s="76" t="inlineStr">
        <x:is>
          <x:t xml:space="preserve"/>
        </x:is>
      </x:c>
      <x:c r="V14" s="76" t="inlineStr">
        <x:is>
          <x:t xml:space="preserve">Backlog</x:t>
        </x:is>
      </x:c>
    </x:row>
    <x:row r="15">
      <x:c r="A15" s="31" t="inlineStr">
        <x:is>
          <x:t xml:space="preserve">A11</x:t>
        </x:is>
      </x:c>
      <x:c r="B15" s="80" t="inlineStr">
        <x:is>
          <x:t xml:space="preserve"/>
        </x:is>
      </x:c>
      <x:c r="C15" s="80" t="inlineStr">
        <x:is>
          <x:t xml:space="preserve"/>
        </x:is>
      </x:c>
      <x:c r="D15" s="31" t="inlineStr">
        <x:is>
          <x:t xml:space="preserve">Meta</x:t>
        </x:is>
      </x:c>
      <x:c r="E15" s="31" t="inlineStr">
        <x:is>
          <x:t xml:space="preserve">App acquisition</x:t>
        </x:is>
      </x:c>
      <x:c r="F15" s="31" t="inlineStr">
        <x:is>
          <x:t xml:space="preserve">Kenyan drivers on one defined corridor</x:t>
        </x:is>
      </x:c>
      <x:c r="G15" s="31" t="inlineStr">
        <x:is>
          <x:t xml:space="preserve">Proven organic problem → feature → outcome</x:t>
        </x:is>
      </x:c>
      <x:c r="H15" s="52" t="n">
        <x:v>0</x:v>
      </x:c>
      <x:c r="I15" s="52" t="n">
        <x:v>0</x:v>
      </x:c>
      <x:c r="J15" s="58" t="n">
        <x:v>0</x:v>
      </x:c>
      <x:c r="K15" s="58" t="n">
        <x:v>0</x:v>
      </x:c>
      <x:c r="L15" s="58" t="n">
        <x:v>0</x:v>
      </x:c>
      <x:c r="M15" s="58" t="n">
        <x:v>0</x:v>
      </x:c>
      <x:c r="N15" s="58" t="n">
        <x:v>0</x:v>
      </x:c>
      <x:c r="O15" s="47" t="n">
        <x:f>IF(L15=0,0,I15/L15)</x:f>
        <x:v>0</x:v>
      </x:c>
      <x:c r="P15" s="47" t="n">
        <x:f>IF(M15=0,0,I15/M15)</x:f>
        <x:v>0</x:v>
      </x:c>
      <x:c r="Q15" s="47" t="n">
        <x:f>IF(N15=0,0,I15/N15)</x:f>
        <x:v>0</x:v>
      </x:c>
      <x:c r="R15" s="52" t="n">
        <x:v>0</x:v>
      </x:c>
      <x:c r="S15" s="98" t="n">
        <x:f>IF(R15=0,0,I15/R15)</x:f>
        <x:v>0</x:v>
      </x:c>
      <x:c r="T15" s="75" t="inlineStr">
        <x:is>
          <x:t xml:space="preserve"/>
        </x:is>
      </x:c>
      <x:c r="U15" s="75" t="inlineStr">
        <x:is>
          <x:t xml:space="preserve"/>
        </x:is>
      </x:c>
      <x:c r="V15" s="75" t="inlineStr">
        <x:is>
          <x:t xml:space="preserve">Backlog</x:t>
        </x:is>
      </x:c>
    </x:row>
    <x:row r="16">
      <x:c r="A16" s="30" t="inlineStr">
        <x:is>
          <x:t xml:space="preserve">A12</x:t>
        </x:is>
      </x:c>
      <x:c r="B16" s="82" t="inlineStr">
        <x:is>
          <x:t xml:space="preserve"/>
        </x:is>
      </x:c>
      <x:c r="C16" s="82" t="inlineStr">
        <x:is>
          <x:t xml:space="preserve"/>
        </x:is>
      </x:c>
      <x:c r="D16" s="30" t="inlineStr">
        <x:is>
          <x:t xml:space="preserve">Meta</x:t>
        </x:is>
      </x:c>
      <x:c r="E16" s="30" t="inlineStr">
        <x:is>
          <x:t xml:space="preserve">App acquisition</x:t>
        </x:is>
      </x:c>
      <x:c r="F16" s="30" t="inlineStr">
        <x:is>
          <x:t xml:space="preserve">Kenyan drivers on one defined corridor</x:t>
        </x:is>
      </x:c>
      <x:c r="G16" s="30" t="inlineStr">
        <x:is>
          <x:t xml:space="preserve">Proven organic problem → feature → outcome</x:t>
        </x:is>
      </x:c>
      <x:c r="H16" s="52" t="n">
        <x:v>0</x:v>
      </x:c>
      <x:c r="I16" s="52" t="n">
        <x:v>0</x:v>
      </x:c>
      <x:c r="J16" s="58" t="n">
        <x:v>0</x:v>
      </x:c>
      <x:c r="K16" s="58" t="n">
        <x:v>0</x:v>
      </x:c>
      <x:c r="L16" s="58" t="n">
        <x:v>0</x:v>
      </x:c>
      <x:c r="M16" s="58" t="n">
        <x:v>0</x:v>
      </x:c>
      <x:c r="N16" s="58" t="n">
        <x:v>0</x:v>
      </x:c>
      <x:c r="O16" s="45" t="n">
        <x:f>IF(L16=0,0,I16/L16)</x:f>
        <x:v>0</x:v>
      </x:c>
      <x:c r="P16" s="45" t="n">
        <x:f>IF(M16=0,0,I16/M16)</x:f>
        <x:v>0</x:v>
      </x:c>
      <x:c r="Q16" s="45" t="n">
        <x:f>IF(N16=0,0,I16/N16)</x:f>
        <x:v>0</x:v>
      </x:c>
      <x:c r="R16" s="52" t="n">
        <x:v>0</x:v>
      </x:c>
      <x:c r="S16" s="99" t="n">
        <x:f>IF(R16=0,0,I16/R16)</x:f>
        <x:v>0</x:v>
      </x:c>
      <x:c r="T16" s="76" t="inlineStr">
        <x:is>
          <x:t xml:space="preserve"/>
        </x:is>
      </x:c>
      <x:c r="U16" s="76" t="inlineStr">
        <x:is>
          <x:t xml:space="preserve"/>
        </x:is>
      </x:c>
      <x:c r="V16" s="76" t="inlineStr">
        <x:is>
          <x:t xml:space="preserve">Backlog</x:t>
        </x:is>
      </x:c>
    </x:row>
    <x:row r="17">
      <x:c r="A17" s="31" t="inlineStr">
        <x:is>
          <x:t xml:space="preserve">A13</x:t>
        </x:is>
      </x:c>
      <x:c r="B17" s="80" t="inlineStr">
        <x:is>
          <x:t xml:space="preserve"/>
        </x:is>
      </x:c>
      <x:c r="C17" s="80" t="inlineStr">
        <x:is>
          <x:t xml:space="preserve"/>
        </x:is>
      </x:c>
      <x:c r="D17" s="31" t="inlineStr">
        <x:is>
          <x:t xml:space="preserve">Meta</x:t>
        </x:is>
      </x:c>
      <x:c r="E17" s="31" t="inlineStr">
        <x:is>
          <x:t xml:space="preserve">App acquisition</x:t>
        </x:is>
      </x:c>
      <x:c r="F17" s="31" t="inlineStr">
        <x:is>
          <x:t xml:space="preserve">Kenyan drivers on one defined corridor</x:t>
        </x:is>
      </x:c>
      <x:c r="G17" s="31" t="inlineStr">
        <x:is>
          <x:t xml:space="preserve">Proven organic problem → feature → outcome</x:t>
        </x:is>
      </x:c>
      <x:c r="H17" s="52" t="n">
        <x:v>0</x:v>
      </x:c>
      <x:c r="I17" s="52" t="n">
        <x:v>0</x:v>
      </x:c>
      <x:c r="J17" s="58" t="n">
        <x:v>0</x:v>
      </x:c>
      <x:c r="K17" s="58" t="n">
        <x:v>0</x:v>
      </x:c>
      <x:c r="L17" s="58" t="n">
        <x:v>0</x:v>
      </x:c>
      <x:c r="M17" s="58" t="n">
        <x:v>0</x:v>
      </x:c>
      <x:c r="N17" s="58" t="n">
        <x:v>0</x:v>
      </x:c>
      <x:c r="O17" s="47" t="n">
        <x:f>IF(L17=0,0,I17/L17)</x:f>
        <x:v>0</x:v>
      </x:c>
      <x:c r="P17" s="47" t="n">
        <x:f>IF(M17=0,0,I17/M17)</x:f>
        <x:v>0</x:v>
      </x:c>
      <x:c r="Q17" s="47" t="n">
        <x:f>IF(N17=0,0,I17/N17)</x:f>
        <x:v>0</x:v>
      </x:c>
      <x:c r="R17" s="52" t="n">
        <x:v>0</x:v>
      </x:c>
      <x:c r="S17" s="98" t="n">
        <x:f>IF(R17=0,0,I17/R17)</x:f>
        <x:v>0</x:v>
      </x:c>
      <x:c r="T17" s="75" t="inlineStr">
        <x:is>
          <x:t xml:space="preserve"/>
        </x:is>
      </x:c>
      <x:c r="U17" s="75" t="inlineStr">
        <x:is>
          <x:t xml:space="preserve"/>
        </x:is>
      </x:c>
      <x:c r="V17" s="75" t="inlineStr">
        <x:is>
          <x:t xml:space="preserve">Backlog</x:t>
        </x:is>
      </x:c>
    </x:row>
    <x:row r="18">
      <x:c r="A18" s="30" t="inlineStr">
        <x:is>
          <x:t xml:space="preserve">A14</x:t>
        </x:is>
      </x:c>
      <x:c r="B18" s="82" t="inlineStr">
        <x:is>
          <x:t xml:space="preserve"/>
        </x:is>
      </x:c>
      <x:c r="C18" s="82" t="inlineStr">
        <x:is>
          <x:t xml:space="preserve"/>
        </x:is>
      </x:c>
      <x:c r="D18" s="30" t="inlineStr">
        <x:is>
          <x:t xml:space="preserve">Meta</x:t>
        </x:is>
      </x:c>
      <x:c r="E18" s="30" t="inlineStr">
        <x:is>
          <x:t xml:space="preserve">App acquisition</x:t>
        </x:is>
      </x:c>
      <x:c r="F18" s="30" t="inlineStr">
        <x:is>
          <x:t xml:space="preserve">Kenyan drivers on one defined corridor</x:t>
        </x:is>
      </x:c>
      <x:c r="G18" s="30" t="inlineStr">
        <x:is>
          <x:t xml:space="preserve">Proven organic problem → feature → outcome</x:t>
        </x:is>
      </x:c>
      <x:c r="H18" s="52" t="n">
        <x:v>0</x:v>
      </x:c>
      <x:c r="I18" s="52" t="n">
        <x:v>0</x:v>
      </x:c>
      <x:c r="J18" s="58" t="n">
        <x:v>0</x:v>
      </x:c>
      <x:c r="K18" s="58" t="n">
        <x:v>0</x:v>
      </x:c>
      <x:c r="L18" s="58" t="n">
        <x:v>0</x:v>
      </x:c>
      <x:c r="M18" s="58" t="n">
        <x:v>0</x:v>
      </x:c>
      <x:c r="N18" s="58" t="n">
        <x:v>0</x:v>
      </x:c>
      <x:c r="O18" s="45" t="n">
        <x:f>IF(L18=0,0,I18/L18)</x:f>
        <x:v>0</x:v>
      </x:c>
      <x:c r="P18" s="45" t="n">
        <x:f>IF(M18=0,0,I18/M18)</x:f>
        <x:v>0</x:v>
      </x:c>
      <x:c r="Q18" s="45" t="n">
        <x:f>IF(N18=0,0,I18/N18)</x:f>
        <x:v>0</x:v>
      </x:c>
      <x:c r="R18" s="52" t="n">
        <x:v>0</x:v>
      </x:c>
      <x:c r="S18" s="99" t="n">
        <x:f>IF(R18=0,0,I18/R18)</x:f>
        <x:v>0</x:v>
      </x:c>
      <x:c r="T18" s="76" t="inlineStr">
        <x:is>
          <x:t xml:space="preserve"/>
        </x:is>
      </x:c>
      <x:c r="U18" s="76" t="inlineStr">
        <x:is>
          <x:t xml:space="preserve"/>
        </x:is>
      </x:c>
      <x:c r="V18" s="76" t="inlineStr">
        <x:is>
          <x:t xml:space="preserve">Backlog</x:t>
        </x:is>
      </x:c>
    </x:row>
    <x:row r="19">
      <x:c r="A19" s="31" t="inlineStr">
        <x:is>
          <x:t xml:space="preserve">A15</x:t>
        </x:is>
      </x:c>
      <x:c r="B19" s="80" t="inlineStr">
        <x:is>
          <x:t xml:space="preserve"/>
        </x:is>
      </x:c>
      <x:c r="C19" s="80" t="inlineStr">
        <x:is>
          <x:t xml:space="preserve"/>
        </x:is>
      </x:c>
      <x:c r="D19" s="31" t="inlineStr">
        <x:is>
          <x:t xml:space="preserve">Meta</x:t>
        </x:is>
      </x:c>
      <x:c r="E19" s="31" t="inlineStr">
        <x:is>
          <x:t xml:space="preserve">App acquisition</x:t>
        </x:is>
      </x:c>
      <x:c r="F19" s="31" t="inlineStr">
        <x:is>
          <x:t xml:space="preserve">Kenyan drivers on one defined corridor</x:t>
        </x:is>
      </x:c>
      <x:c r="G19" s="31" t="inlineStr">
        <x:is>
          <x:t xml:space="preserve">Proven organic problem → feature → outcome</x:t>
        </x:is>
      </x:c>
      <x:c r="H19" s="52" t="n">
        <x:v>0</x:v>
      </x:c>
      <x:c r="I19" s="52" t="n">
        <x:v>0</x:v>
      </x:c>
      <x:c r="J19" s="58" t="n">
        <x:v>0</x:v>
      </x:c>
      <x:c r="K19" s="58" t="n">
        <x:v>0</x:v>
      </x:c>
      <x:c r="L19" s="58" t="n">
        <x:v>0</x:v>
      </x:c>
      <x:c r="M19" s="58" t="n">
        <x:v>0</x:v>
      </x:c>
      <x:c r="N19" s="58" t="n">
        <x:v>0</x:v>
      </x:c>
      <x:c r="O19" s="47" t="n">
        <x:f>IF(L19=0,0,I19/L19)</x:f>
        <x:v>0</x:v>
      </x:c>
      <x:c r="P19" s="47" t="n">
        <x:f>IF(M19=0,0,I19/M19)</x:f>
        <x:v>0</x:v>
      </x:c>
      <x:c r="Q19" s="47" t="n">
        <x:f>IF(N19=0,0,I19/N19)</x:f>
        <x:v>0</x:v>
      </x:c>
      <x:c r="R19" s="52" t="n">
        <x:v>0</x:v>
      </x:c>
      <x:c r="S19" s="98" t="n">
        <x:f>IF(R19=0,0,I19/R19)</x:f>
        <x:v>0</x:v>
      </x:c>
      <x:c r="T19" s="75" t="inlineStr">
        <x:is>
          <x:t xml:space="preserve"/>
        </x:is>
      </x:c>
      <x:c r="U19" s="75" t="inlineStr">
        <x:is>
          <x:t xml:space="preserve"/>
        </x:is>
      </x:c>
      <x:c r="V19" s="75" t="inlineStr">
        <x:is>
          <x:t xml:space="preserve">Backlog</x:t>
        </x:is>
      </x:c>
    </x:row>
    <x:row r="20">
      <x:c r="A20" s="30" t="inlineStr">
        <x:is>
          <x:t xml:space="preserve">A16</x:t>
        </x:is>
      </x:c>
      <x:c r="B20" s="82" t="inlineStr">
        <x:is>
          <x:t xml:space="preserve"/>
        </x:is>
      </x:c>
      <x:c r="C20" s="82" t="inlineStr">
        <x:is>
          <x:t xml:space="preserve"/>
        </x:is>
      </x:c>
      <x:c r="D20" s="30" t="inlineStr">
        <x:is>
          <x:t xml:space="preserve">Meta</x:t>
        </x:is>
      </x:c>
      <x:c r="E20" s="30" t="inlineStr">
        <x:is>
          <x:t xml:space="preserve">App acquisition</x:t>
        </x:is>
      </x:c>
      <x:c r="F20" s="30" t="inlineStr">
        <x:is>
          <x:t xml:space="preserve">Kenyan drivers on one defined corridor</x:t>
        </x:is>
      </x:c>
      <x:c r="G20" s="30" t="inlineStr">
        <x:is>
          <x:t xml:space="preserve">Proven organic problem → feature → outcome</x:t>
        </x:is>
      </x:c>
      <x:c r="H20" s="52" t="n">
        <x:v>0</x:v>
      </x:c>
      <x:c r="I20" s="52" t="n">
        <x:v>0</x:v>
      </x:c>
      <x:c r="J20" s="58" t="n">
        <x:v>0</x:v>
      </x:c>
      <x:c r="K20" s="58" t="n">
        <x:v>0</x:v>
      </x:c>
      <x:c r="L20" s="58" t="n">
        <x:v>0</x:v>
      </x:c>
      <x:c r="M20" s="58" t="n">
        <x:v>0</x:v>
      </x:c>
      <x:c r="N20" s="58" t="n">
        <x:v>0</x:v>
      </x:c>
      <x:c r="O20" s="45" t="n">
        <x:f>IF(L20=0,0,I20/L20)</x:f>
        <x:v>0</x:v>
      </x:c>
      <x:c r="P20" s="45" t="n">
        <x:f>IF(M20=0,0,I20/M20)</x:f>
        <x:v>0</x:v>
      </x:c>
      <x:c r="Q20" s="45" t="n">
        <x:f>IF(N20=0,0,I20/N20)</x:f>
        <x:v>0</x:v>
      </x:c>
      <x:c r="R20" s="52" t="n">
        <x:v>0</x:v>
      </x:c>
      <x:c r="S20" s="99" t="n">
        <x:f>IF(R20=0,0,I20/R20)</x:f>
        <x:v>0</x:v>
      </x:c>
      <x:c r="T20" s="76" t="inlineStr">
        <x:is>
          <x:t xml:space="preserve"/>
        </x:is>
      </x:c>
      <x:c r="U20" s="76" t="inlineStr">
        <x:is>
          <x:t xml:space="preserve"/>
        </x:is>
      </x:c>
      <x:c r="V20" s="76" t="inlineStr">
        <x:is>
          <x:t xml:space="preserve">Backlog</x:t>
        </x:is>
      </x:c>
    </x:row>
    <x:row r="21">
      <x:c r="A21" s="31" t="inlineStr">
        <x:is>
          <x:t xml:space="preserve">A17</x:t>
        </x:is>
      </x:c>
      <x:c r="B21" s="80" t="inlineStr">
        <x:is>
          <x:t xml:space="preserve"/>
        </x:is>
      </x:c>
      <x:c r="C21" s="80" t="inlineStr">
        <x:is>
          <x:t xml:space="preserve"/>
        </x:is>
      </x:c>
      <x:c r="D21" s="31" t="inlineStr">
        <x:is>
          <x:t xml:space="preserve">Meta</x:t>
        </x:is>
      </x:c>
      <x:c r="E21" s="31" t="inlineStr">
        <x:is>
          <x:t xml:space="preserve">App acquisition</x:t>
        </x:is>
      </x:c>
      <x:c r="F21" s="31" t="inlineStr">
        <x:is>
          <x:t xml:space="preserve">Kenyan drivers on one defined corridor</x:t>
        </x:is>
      </x:c>
      <x:c r="G21" s="31" t="inlineStr">
        <x:is>
          <x:t xml:space="preserve">Proven organic problem → feature → outcome</x:t>
        </x:is>
      </x:c>
      <x:c r="H21" s="52" t="n">
        <x:v>0</x:v>
      </x:c>
      <x:c r="I21" s="52" t="n">
        <x:v>0</x:v>
      </x:c>
      <x:c r="J21" s="58" t="n">
        <x:v>0</x:v>
      </x:c>
      <x:c r="K21" s="58" t="n">
        <x:v>0</x:v>
      </x:c>
      <x:c r="L21" s="58" t="n">
        <x:v>0</x:v>
      </x:c>
      <x:c r="M21" s="58" t="n">
        <x:v>0</x:v>
      </x:c>
      <x:c r="N21" s="58" t="n">
        <x:v>0</x:v>
      </x:c>
      <x:c r="O21" s="47" t="n">
        <x:f>IF(L21=0,0,I21/L21)</x:f>
        <x:v>0</x:v>
      </x:c>
      <x:c r="P21" s="47" t="n">
        <x:f>IF(M21=0,0,I21/M21)</x:f>
        <x:v>0</x:v>
      </x:c>
      <x:c r="Q21" s="47" t="n">
        <x:f>IF(N21=0,0,I21/N21)</x:f>
        <x:v>0</x:v>
      </x:c>
      <x:c r="R21" s="52" t="n">
        <x:v>0</x:v>
      </x:c>
      <x:c r="S21" s="98" t="n">
        <x:f>IF(R21=0,0,I21/R21)</x:f>
        <x:v>0</x:v>
      </x:c>
      <x:c r="T21" s="75" t="inlineStr">
        <x:is>
          <x:t xml:space="preserve"/>
        </x:is>
      </x:c>
      <x:c r="U21" s="75" t="inlineStr">
        <x:is>
          <x:t xml:space="preserve"/>
        </x:is>
      </x:c>
      <x:c r="V21" s="75" t="inlineStr">
        <x:is>
          <x:t xml:space="preserve">Backlog</x:t>
        </x:is>
      </x:c>
    </x:row>
    <x:row r="22">
      <x:c r="A22" s="30" t="inlineStr">
        <x:is>
          <x:t xml:space="preserve">A18</x:t>
        </x:is>
      </x:c>
      <x:c r="B22" s="82" t="inlineStr">
        <x:is>
          <x:t xml:space="preserve"/>
        </x:is>
      </x:c>
      <x:c r="C22" s="82" t="inlineStr">
        <x:is>
          <x:t xml:space="preserve"/>
        </x:is>
      </x:c>
      <x:c r="D22" s="30" t="inlineStr">
        <x:is>
          <x:t xml:space="preserve">Meta</x:t>
        </x:is>
      </x:c>
      <x:c r="E22" s="30" t="inlineStr">
        <x:is>
          <x:t xml:space="preserve">App acquisition</x:t>
        </x:is>
      </x:c>
      <x:c r="F22" s="30" t="inlineStr">
        <x:is>
          <x:t xml:space="preserve">Kenyan drivers on one defined corridor</x:t>
        </x:is>
      </x:c>
      <x:c r="G22" s="30" t="inlineStr">
        <x:is>
          <x:t xml:space="preserve">Proven organic problem → feature → outcome</x:t>
        </x:is>
      </x:c>
      <x:c r="H22" s="52" t="n">
        <x:v>0</x:v>
      </x:c>
      <x:c r="I22" s="52" t="n">
        <x:v>0</x:v>
      </x:c>
      <x:c r="J22" s="58" t="n">
        <x:v>0</x:v>
      </x:c>
      <x:c r="K22" s="58" t="n">
        <x:v>0</x:v>
      </x:c>
      <x:c r="L22" s="58" t="n">
        <x:v>0</x:v>
      </x:c>
      <x:c r="M22" s="58" t="n">
        <x:v>0</x:v>
      </x:c>
      <x:c r="N22" s="58" t="n">
        <x:v>0</x:v>
      </x:c>
      <x:c r="O22" s="45" t="n">
        <x:f>IF(L22=0,0,I22/L22)</x:f>
        <x:v>0</x:v>
      </x:c>
      <x:c r="P22" s="45" t="n">
        <x:f>IF(M22=0,0,I22/M22)</x:f>
        <x:v>0</x:v>
      </x:c>
      <x:c r="Q22" s="45" t="n">
        <x:f>IF(N22=0,0,I22/N22)</x:f>
        <x:v>0</x:v>
      </x:c>
      <x:c r="R22" s="52" t="n">
        <x:v>0</x:v>
      </x:c>
      <x:c r="S22" s="99" t="n">
        <x:f>IF(R22=0,0,I22/R22)</x:f>
        <x:v>0</x:v>
      </x:c>
      <x:c r="T22" s="76" t="inlineStr">
        <x:is>
          <x:t xml:space="preserve"/>
        </x:is>
      </x:c>
      <x:c r="U22" s="76" t="inlineStr">
        <x:is>
          <x:t xml:space="preserve"/>
        </x:is>
      </x:c>
      <x:c r="V22" s="76" t="inlineStr">
        <x:is>
          <x:t xml:space="preserve">Backlog</x:t>
        </x:is>
      </x:c>
    </x:row>
    <x:row r="23">
      <x:c r="A23" s="31" t="inlineStr">
        <x:is>
          <x:t xml:space="preserve">A19</x:t>
        </x:is>
      </x:c>
      <x:c r="B23" s="80" t="inlineStr">
        <x:is>
          <x:t xml:space="preserve"/>
        </x:is>
      </x:c>
      <x:c r="C23" s="80" t="inlineStr">
        <x:is>
          <x:t xml:space="preserve"/>
        </x:is>
      </x:c>
      <x:c r="D23" s="31" t="inlineStr">
        <x:is>
          <x:t xml:space="preserve">Meta</x:t>
        </x:is>
      </x:c>
      <x:c r="E23" s="31" t="inlineStr">
        <x:is>
          <x:t xml:space="preserve">App acquisition</x:t>
        </x:is>
      </x:c>
      <x:c r="F23" s="31" t="inlineStr">
        <x:is>
          <x:t xml:space="preserve">Kenyan drivers on one defined corridor</x:t>
        </x:is>
      </x:c>
      <x:c r="G23" s="31" t="inlineStr">
        <x:is>
          <x:t xml:space="preserve">Proven organic problem → feature → outcome</x:t>
        </x:is>
      </x:c>
      <x:c r="H23" s="52" t="n">
        <x:v>0</x:v>
      </x:c>
      <x:c r="I23" s="52" t="n">
        <x:v>0</x:v>
      </x:c>
      <x:c r="J23" s="58" t="n">
        <x:v>0</x:v>
      </x:c>
      <x:c r="K23" s="58" t="n">
        <x:v>0</x:v>
      </x:c>
      <x:c r="L23" s="58" t="n">
        <x:v>0</x:v>
      </x:c>
      <x:c r="M23" s="58" t="n">
        <x:v>0</x:v>
      </x:c>
      <x:c r="N23" s="58" t="n">
        <x:v>0</x:v>
      </x:c>
      <x:c r="O23" s="47" t="n">
        <x:f>IF(L23=0,0,I23/L23)</x:f>
        <x:v>0</x:v>
      </x:c>
      <x:c r="P23" s="47" t="n">
        <x:f>IF(M23=0,0,I23/M23)</x:f>
        <x:v>0</x:v>
      </x:c>
      <x:c r="Q23" s="47" t="n">
        <x:f>IF(N23=0,0,I23/N23)</x:f>
        <x:v>0</x:v>
      </x:c>
      <x:c r="R23" s="52" t="n">
        <x:v>0</x:v>
      </x:c>
      <x:c r="S23" s="98" t="n">
        <x:f>IF(R23=0,0,I23/R23)</x:f>
        <x:v>0</x:v>
      </x:c>
      <x:c r="T23" s="75" t="inlineStr">
        <x:is>
          <x:t xml:space="preserve"/>
        </x:is>
      </x:c>
      <x:c r="U23" s="75" t="inlineStr">
        <x:is>
          <x:t xml:space="preserve"/>
        </x:is>
      </x:c>
      <x:c r="V23" s="75" t="inlineStr">
        <x:is>
          <x:t xml:space="preserve">Backlog</x:t>
        </x:is>
      </x:c>
    </x:row>
    <x:row r="24">
      <x:c r="A24" s="30" t="inlineStr">
        <x:is>
          <x:t xml:space="preserve">A20</x:t>
        </x:is>
      </x:c>
      <x:c r="B24" s="82" t="inlineStr">
        <x:is>
          <x:t xml:space="preserve"/>
        </x:is>
      </x:c>
      <x:c r="C24" s="82" t="inlineStr">
        <x:is>
          <x:t xml:space="preserve"/>
        </x:is>
      </x:c>
      <x:c r="D24" s="30" t="inlineStr">
        <x:is>
          <x:t xml:space="preserve">Meta</x:t>
        </x:is>
      </x:c>
      <x:c r="E24" s="30" t="inlineStr">
        <x:is>
          <x:t xml:space="preserve">App acquisition</x:t>
        </x:is>
      </x:c>
      <x:c r="F24" s="30" t="inlineStr">
        <x:is>
          <x:t xml:space="preserve">Kenyan drivers on one defined corridor</x:t>
        </x:is>
      </x:c>
      <x:c r="G24" s="30" t="inlineStr">
        <x:is>
          <x:t xml:space="preserve">Proven organic problem → feature → outcome</x:t>
        </x:is>
      </x:c>
      <x:c r="H24" s="52" t="n">
        <x:v>0</x:v>
      </x:c>
      <x:c r="I24" s="52" t="n">
        <x:v>0</x:v>
      </x:c>
      <x:c r="J24" s="58" t="n">
        <x:v>0</x:v>
      </x:c>
      <x:c r="K24" s="58" t="n">
        <x:v>0</x:v>
      </x:c>
      <x:c r="L24" s="58" t="n">
        <x:v>0</x:v>
      </x:c>
      <x:c r="M24" s="58" t="n">
        <x:v>0</x:v>
      </x:c>
      <x:c r="N24" s="58" t="n">
        <x:v>0</x:v>
      </x:c>
      <x:c r="O24" s="45" t="n">
        <x:f>IF(L24=0,0,I24/L24)</x:f>
        <x:v>0</x:v>
      </x:c>
      <x:c r="P24" s="45" t="n">
        <x:f>IF(M24=0,0,I24/M24)</x:f>
        <x:v>0</x:v>
      </x:c>
      <x:c r="Q24" s="45" t="n">
        <x:f>IF(N24=0,0,I24/N24)</x:f>
        <x:v>0</x:v>
      </x:c>
      <x:c r="R24" s="52" t="n">
        <x:v>0</x:v>
      </x:c>
      <x:c r="S24" s="99" t="n">
        <x:f>IF(R24=0,0,I24/R24)</x:f>
        <x:v>0</x:v>
      </x:c>
      <x:c r="T24" s="76" t="inlineStr">
        <x:is>
          <x:t xml:space="preserve"/>
        </x:is>
      </x:c>
      <x:c r="U24" s="76" t="inlineStr">
        <x:is>
          <x:t xml:space="preserve"/>
        </x:is>
      </x:c>
      <x:c r="V24" s="76" t="inlineStr">
        <x:is>
          <x:t xml:space="preserve">Backlog</x:t>
        </x:is>
      </x:c>
    </x:row>
  </x:sheetData>
  <x:mergeCells>
    <x:mergeCell ref="A2:V2"/>
    <x:mergeCell ref="A1:V1"/>
  </x:mergeCells>
  <x:dataValidations count="3">
    <x:dataValidation type="list" allowBlank="1" showDropDown="0" showInputMessage="0" showErrorMessage="0" errorTitle="Invalid value" error="Choose a value from the dropdown." sqref="D5:D24">
      <x:formula1>"Meta,TikTok,Google,Other"</x:formula1>
    </x:dataValidation>
    <x:dataValidation type="list" allowBlank="1" showDropDown="0" showInputMessage="0" showErrorMessage="0" errorTitle="Invalid value" error="Choose a value from the dropdown." sqref="T5:T24">
      <x:formula1>"Kill,Revise,Repeat,Scale Carefully,Waiting"</x:formula1>
    </x:dataValidation>
    <x:dataValidation type="list" allowBlank="1" showDropDown="0" showInputMessage="0" showErrorMessage="0" errorTitle="Invalid value" error="Choose a value from the dropdown." sqref="V5:V24">
      <x:formula1>"Backlog,Approved,Running,Completed,Paused"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ee17517372423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22" customWidth="1"/>
    <x:col min="3" max="3" width="12" customWidth="1"/>
    <x:col min="4" max="4" width="24" customWidth="1"/>
    <x:col min="5" max="5" width="28" customWidth="1"/>
    <x:col min="6" max="6" width="30" customWidth="1"/>
    <x:col min="7" max="7" width="12" customWidth="1"/>
    <x:col min="8" max="8" width="24" customWidth="1"/>
    <x:col min="9" max="9" width="12" customWidth="1"/>
    <x:col min="10" max="10" width="11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8" customWidth="1"/>
    <x:col min="16" max="16" width="13" customWidth="1"/>
    <x:col min="17" max="17" width="13" customWidth="1"/>
    <x:col min="18" max="18" width="16" customWidth="1"/>
    <x:col min="19" max="19" width="34" customWidth="1"/>
    <x:col min="20" max="20" width="16" customWidth="1"/>
    <x:col min="21" max="21" width="14" customWidth="1"/>
    <x:col min="22" max="22" width="34" customWidth="1"/>
  </x:cols>
  <x:sheetData>
    <x:row r="1" ht="30" customHeight="1">
      <x:c r="A1" s="26" t="inlineStr">
        <x:is>
          <x:t xml:space="preserve">MICRO-CREATOR TRACKER</x:t>
        </x:is>
      </x:c>
    </x:row>
    <x:row r="2" ht="34" customHeight="1">
      <x:c r="A2" s="27" t="inlineStr">
        <x:is>
          <x:t xml:space="preserve">Pay for measured outcomes, not follower counts. Every creator test needs a unique code/link, approved safety claims and paid-subscriber attribution.</x:t>
        </x:is>
      </x:c>
    </x:row>
    <x:row r="3"/>
    <x:row r="4" ht="38" customHeight="1">
      <x:c r="A4" s="100" t="inlineStr">
        <x:is>
          <x:t xml:space="preserve">Creator ID</x:t>
        </x:is>
      </x:c>
      <x:c r="B4" s="100" t="inlineStr">
        <x:is>
          <x:t xml:space="preserve">Creator Name</x:t>
        </x:is>
      </x:c>
      <x:c r="C4" s="100" t="inlineStr">
        <x:is>
          <x:t xml:space="preserve">Platform</x:t>
        </x:is>
      </x:c>
      <x:c r="D4" s="100" t="inlineStr">
        <x:is>
          <x:t xml:space="preserve">Niche / Corridor</x:t>
        </x:is>
      </x:c>
      <x:c r="E4" s="100" t="inlineStr">
        <x:is>
          <x:t xml:space="preserve">Audience Fit</x:t>
        </x:is>
      </x:c>
      <x:c r="F4" s="100" t="inlineStr">
        <x:is>
          <x:t xml:space="preserve">Deliverable</x:t>
        </x:is>
      </x:c>
      <x:c r="G4" s="100" t="inlineStr">
        <x:is>
          <x:t xml:space="preserve">Fee KES</x:t>
        </x:is>
      </x:c>
      <x:c r="H4" s="100" t="inlineStr">
        <x:is>
          <x:t xml:space="preserve">Referral Code / Link</x:t>
        </x:is>
      </x:c>
      <x:c r="I4" s="100" t="inlineStr">
        <x:is>
          <x:t xml:space="preserve">Post Date</x:t>
        </x:is>
      </x:c>
      <x:c r="J4" s="100" t="inlineStr">
        <x:is>
          <x:t xml:space="preserve">Views</x:t>
        </x:is>
      </x:c>
      <x:c r="K4" s="100" t="inlineStr">
        <x:is>
          <x:t xml:space="preserve">Clicks</x:t>
        </x:is>
      </x:c>
      <x:c r="L4" s="100" t="inlineStr">
        <x:is>
          <x:t xml:space="preserve">Installs</x:t>
        </x:is>
      </x:c>
      <x:c r="M4" s="100" t="inlineStr">
        <x:is>
          <x:t xml:space="preserve">Activated</x:t>
        </x:is>
      </x:c>
      <x:c r="N4" s="100" t="inlineStr">
        <x:is>
          <x:t xml:space="preserve">New Paid</x:t>
        </x:is>
      </x:c>
      <x:c r="O4" s="100" t="inlineStr">
        <x:is>
          <x:t xml:space="preserve">Net Subscription Revenue</x:t>
        </x:is>
      </x:c>
      <x:c r="P4" s="100" t="inlineStr">
        <x:is>
          <x:t xml:space="preserve">Cost / Install</x:t>
        </x:is>
      </x:c>
      <x:c r="Q4" s="100" t="inlineStr">
        <x:is>
          <x:t xml:space="preserve">Cost / Paid</x:t>
        </x:is>
      </x:c>
      <x:c r="R4" s="100" t="inlineStr">
        <x:is>
          <x:t xml:space="preserve">30-Day Payback %</x:t>
        </x:is>
      </x:c>
      <x:c r="S4" s="100" t="inlineStr">
        <x:is>
          <x:t xml:space="preserve">Quality Notes</x:t>
        </x:is>
      </x:c>
      <x:c r="T4" s="100" t="inlineStr">
        <x:is>
          <x:t xml:space="preserve">Decision</x:t>
        </x:is>
      </x:c>
      <x:c r="U4" s="100" t="inlineStr">
        <x:is>
          <x:t xml:space="preserve">Status</x:t>
        </x:is>
      </x:c>
      <x:c r="V4" s="100" t="inlineStr">
        <x:is>
          <x:t xml:space="preserve">Next Action</x:t>
        </x:is>
      </x:c>
    </x:row>
    <x:row r="5">
      <x:c r="A5" s="31" t="inlineStr">
        <x:is>
          <x:t xml:space="preserve">C01</x:t>
        </x:is>
      </x:c>
      <x:c r="B5" s="75" t="inlineStr">
        <x:is>
          <x:t xml:space="preserve"/>
        </x:is>
      </x:c>
      <x:c r="C5" s="31" t="inlineStr">
        <x:is>
          <x:t xml:space="preserve">TikTok</x:t>
        </x:is>
      </x:c>
      <x:c r="D5" s="75" t="inlineStr">
        <x:is>
          <x:t xml:space="preserve"/>
        </x:is>
      </x:c>
      <x:c r="E5" s="75" t="inlineStr">
        <x:is>
          <x:t xml:space="preserve"/>
        </x:is>
      </x:c>
      <x:c r="F5" s="31" t="inlineStr">
        <x:is>
          <x:t xml:space="preserve">1 useful short video + repost</x:t>
        </x:is>
      </x:c>
      <x:c r="G5" s="52" t="n">
        <x:v>0</x:v>
      </x:c>
      <x:c r="H5" s="75" t="inlineStr">
        <x:is>
          <x:t xml:space="preserve"/>
        </x:is>
      </x:c>
      <x:c r="I5" s="80" t="inlineStr">
        <x:is>
          <x:t xml:space="preserve"/>
        </x:is>
      </x:c>
      <x:c r="J5" s="58" t="n">
        <x:v>0</x:v>
      </x:c>
      <x:c r="K5" s="58" t="n">
        <x:v>0</x:v>
      </x:c>
      <x:c r="L5" s="58" t="n">
        <x:v>0</x:v>
      </x:c>
      <x:c r="M5" s="58" t="n">
        <x:v>0</x:v>
      </x:c>
      <x:c r="N5" s="58" t="n">
        <x:v>0</x:v>
      </x:c>
      <x:c r="O5" s="52" t="n">
        <x:v>0</x:v>
      </x:c>
      <x:c r="P5" s="47" t="n">
        <x:f>IF(L5=0,0,G5/L5)</x:f>
        <x:v>0</x:v>
      </x:c>
      <x:c r="Q5" s="47" t="n">
        <x:f>IF(N5=0,0,G5/N5)</x:f>
        <x:v>0</x:v>
      </x:c>
      <x:c r="R5" s="86" t="n">
        <x:f>IF(G5=0,0,O5/G5)</x:f>
        <x:v>0</x:v>
      </x:c>
      <x:c r="S5" s="75" t="inlineStr">
        <x:is>
          <x:t xml:space="preserve"/>
        </x:is>
      </x:c>
      <x:c r="T5" s="75" t="inlineStr">
        <x:is>
          <x:t xml:space="preserve"/>
        </x:is>
      </x:c>
      <x:c r="U5" s="75" t="inlineStr">
        <x:is>
          <x:t xml:space="preserve">Backlog</x:t>
        </x:is>
      </x:c>
      <x:c r="V5" s="75" t="inlineStr">
        <x:is>
          <x:t xml:space="preserve"/>
        </x:is>
      </x:c>
    </x:row>
    <x:row r="6">
      <x:c r="A6" s="30" t="inlineStr">
        <x:is>
          <x:t xml:space="preserve">C02</x:t>
        </x:is>
      </x:c>
      <x:c r="B6" s="76" t="inlineStr">
        <x:is>
          <x:t xml:space="preserve"/>
        </x:is>
      </x:c>
      <x:c r="C6" s="30" t="inlineStr">
        <x:is>
          <x:t xml:space="preserve">TikTok</x:t>
        </x:is>
      </x:c>
      <x:c r="D6" s="76" t="inlineStr">
        <x:is>
          <x:t xml:space="preserve"/>
        </x:is>
      </x:c>
      <x:c r="E6" s="76" t="inlineStr">
        <x:is>
          <x:t xml:space="preserve"/>
        </x:is>
      </x:c>
      <x:c r="F6" s="30" t="inlineStr">
        <x:is>
          <x:t xml:space="preserve">1 useful short video + repost</x:t>
        </x:is>
      </x:c>
      <x:c r="G6" s="52" t="n">
        <x:v>0</x:v>
      </x:c>
      <x:c r="H6" s="76" t="inlineStr">
        <x:is>
          <x:t xml:space="preserve"/>
        </x:is>
      </x:c>
      <x:c r="I6" s="82" t="inlineStr">
        <x:is>
          <x:t xml:space="preserve"/>
        </x:is>
      </x:c>
      <x:c r="J6" s="58" t="n">
        <x:v>0</x:v>
      </x:c>
      <x:c r="K6" s="58" t="n">
        <x:v>0</x:v>
      </x:c>
      <x:c r="L6" s="58" t="n">
        <x:v>0</x:v>
      </x:c>
      <x:c r="M6" s="58" t="n">
        <x:v>0</x:v>
      </x:c>
      <x:c r="N6" s="58" t="n">
        <x:v>0</x:v>
      </x:c>
      <x:c r="O6" s="52" t="n">
        <x:v>0</x:v>
      </x:c>
      <x:c r="P6" s="45" t="n">
        <x:f>IF(L6=0,0,G6/L6)</x:f>
        <x:v>0</x:v>
      </x:c>
      <x:c r="Q6" s="45" t="n">
        <x:f>IF(N6=0,0,G6/N6)</x:f>
        <x:v>0</x:v>
      </x:c>
      <x:c r="R6" s="88" t="n">
        <x:f>IF(G6=0,0,O6/G6)</x:f>
        <x:v>0</x:v>
      </x:c>
      <x:c r="S6" s="76" t="inlineStr">
        <x:is>
          <x:t xml:space="preserve"/>
        </x:is>
      </x:c>
      <x:c r="T6" s="76" t="inlineStr">
        <x:is>
          <x:t xml:space="preserve"/>
        </x:is>
      </x:c>
      <x:c r="U6" s="76" t="inlineStr">
        <x:is>
          <x:t xml:space="preserve">Backlog</x:t>
        </x:is>
      </x:c>
      <x:c r="V6" s="76" t="inlineStr">
        <x:is>
          <x:t xml:space="preserve"/>
        </x:is>
      </x:c>
    </x:row>
    <x:row r="7">
      <x:c r="A7" s="31" t="inlineStr">
        <x:is>
          <x:t xml:space="preserve">C03</x:t>
        </x:is>
      </x:c>
      <x:c r="B7" s="75" t="inlineStr">
        <x:is>
          <x:t xml:space="preserve"/>
        </x:is>
      </x:c>
      <x:c r="C7" s="31" t="inlineStr">
        <x:is>
          <x:t xml:space="preserve">TikTok</x:t>
        </x:is>
      </x:c>
      <x:c r="D7" s="75" t="inlineStr">
        <x:is>
          <x:t xml:space="preserve"/>
        </x:is>
      </x:c>
      <x:c r="E7" s="75" t="inlineStr">
        <x:is>
          <x:t xml:space="preserve"/>
        </x:is>
      </x:c>
      <x:c r="F7" s="31" t="inlineStr">
        <x:is>
          <x:t xml:space="preserve">1 useful short video + repost</x:t>
        </x:is>
      </x:c>
      <x:c r="G7" s="52" t="n">
        <x:v>0</x:v>
      </x:c>
      <x:c r="H7" s="75" t="inlineStr">
        <x:is>
          <x:t xml:space="preserve"/>
        </x:is>
      </x:c>
      <x:c r="I7" s="80" t="inlineStr">
        <x:is>
          <x:t xml:space="preserve"/>
        </x:is>
      </x:c>
      <x:c r="J7" s="58" t="n">
        <x:v>0</x:v>
      </x:c>
      <x:c r="K7" s="58" t="n">
        <x:v>0</x:v>
      </x:c>
      <x:c r="L7" s="58" t="n">
        <x:v>0</x:v>
      </x:c>
      <x:c r="M7" s="58" t="n">
        <x:v>0</x:v>
      </x:c>
      <x:c r="N7" s="58" t="n">
        <x:v>0</x:v>
      </x:c>
      <x:c r="O7" s="52" t="n">
        <x:v>0</x:v>
      </x:c>
      <x:c r="P7" s="47" t="n">
        <x:f>IF(L7=0,0,G7/L7)</x:f>
        <x:v>0</x:v>
      </x:c>
      <x:c r="Q7" s="47" t="n">
        <x:f>IF(N7=0,0,G7/N7)</x:f>
        <x:v>0</x:v>
      </x:c>
      <x:c r="R7" s="86" t="n">
        <x:f>IF(G7=0,0,O7/G7)</x:f>
        <x:v>0</x:v>
      </x:c>
      <x:c r="S7" s="75" t="inlineStr">
        <x:is>
          <x:t xml:space="preserve"/>
        </x:is>
      </x:c>
      <x:c r="T7" s="75" t="inlineStr">
        <x:is>
          <x:t xml:space="preserve"/>
        </x:is>
      </x:c>
      <x:c r="U7" s="75" t="inlineStr">
        <x:is>
          <x:t xml:space="preserve">Backlog</x:t>
        </x:is>
      </x:c>
      <x:c r="V7" s="75" t="inlineStr">
        <x:is>
          <x:t xml:space="preserve"/>
        </x:is>
      </x:c>
    </x:row>
    <x:row r="8">
      <x:c r="A8" s="30" t="inlineStr">
        <x:is>
          <x:t xml:space="preserve">C04</x:t>
        </x:is>
      </x:c>
      <x:c r="B8" s="76" t="inlineStr">
        <x:is>
          <x:t xml:space="preserve"/>
        </x:is>
      </x:c>
      <x:c r="C8" s="30" t="inlineStr">
        <x:is>
          <x:t xml:space="preserve">TikTok</x:t>
        </x:is>
      </x:c>
      <x:c r="D8" s="76" t="inlineStr">
        <x:is>
          <x:t xml:space="preserve"/>
        </x:is>
      </x:c>
      <x:c r="E8" s="76" t="inlineStr">
        <x:is>
          <x:t xml:space="preserve"/>
        </x:is>
      </x:c>
      <x:c r="F8" s="30" t="inlineStr">
        <x:is>
          <x:t xml:space="preserve">1 useful short video + repost</x:t>
        </x:is>
      </x:c>
      <x:c r="G8" s="52" t="n">
        <x:v>0</x:v>
      </x:c>
      <x:c r="H8" s="76" t="inlineStr">
        <x:is>
          <x:t xml:space="preserve"/>
        </x:is>
      </x:c>
      <x:c r="I8" s="82" t="inlineStr">
        <x:is>
          <x:t xml:space="preserve"/>
        </x:is>
      </x:c>
      <x:c r="J8" s="58" t="n">
        <x:v>0</x:v>
      </x:c>
      <x:c r="K8" s="58" t="n">
        <x:v>0</x:v>
      </x:c>
      <x:c r="L8" s="58" t="n">
        <x:v>0</x:v>
      </x:c>
      <x:c r="M8" s="58" t="n">
        <x:v>0</x:v>
      </x:c>
      <x:c r="N8" s="58" t="n">
        <x:v>0</x:v>
      </x:c>
      <x:c r="O8" s="52" t="n">
        <x:v>0</x:v>
      </x:c>
      <x:c r="P8" s="45" t="n">
        <x:f>IF(L8=0,0,G8/L8)</x:f>
        <x:v>0</x:v>
      </x:c>
      <x:c r="Q8" s="45" t="n">
        <x:f>IF(N8=0,0,G8/N8)</x:f>
        <x:v>0</x:v>
      </x:c>
      <x:c r="R8" s="88" t="n">
        <x:f>IF(G8=0,0,O8/G8)</x:f>
        <x:v>0</x:v>
      </x:c>
      <x:c r="S8" s="76" t="inlineStr">
        <x:is>
          <x:t xml:space="preserve"/>
        </x:is>
      </x:c>
      <x:c r="T8" s="76" t="inlineStr">
        <x:is>
          <x:t xml:space="preserve"/>
        </x:is>
      </x:c>
      <x:c r="U8" s="76" t="inlineStr">
        <x:is>
          <x:t xml:space="preserve">Backlog</x:t>
        </x:is>
      </x:c>
      <x:c r="V8" s="76" t="inlineStr">
        <x:is>
          <x:t xml:space="preserve"/>
        </x:is>
      </x:c>
    </x:row>
    <x:row r="9">
      <x:c r="A9" s="31" t="inlineStr">
        <x:is>
          <x:t xml:space="preserve">C05</x:t>
        </x:is>
      </x:c>
      <x:c r="B9" s="75" t="inlineStr">
        <x:is>
          <x:t xml:space="preserve"/>
        </x:is>
      </x:c>
      <x:c r="C9" s="31" t="inlineStr">
        <x:is>
          <x:t xml:space="preserve">TikTok</x:t>
        </x:is>
      </x:c>
      <x:c r="D9" s="75" t="inlineStr">
        <x:is>
          <x:t xml:space="preserve"/>
        </x:is>
      </x:c>
      <x:c r="E9" s="75" t="inlineStr">
        <x:is>
          <x:t xml:space="preserve"/>
        </x:is>
      </x:c>
      <x:c r="F9" s="31" t="inlineStr">
        <x:is>
          <x:t xml:space="preserve">1 useful short video + repost</x:t>
        </x:is>
      </x:c>
      <x:c r="G9" s="52" t="n">
        <x:v>0</x:v>
      </x:c>
      <x:c r="H9" s="75" t="inlineStr">
        <x:is>
          <x:t xml:space="preserve"/>
        </x:is>
      </x:c>
      <x:c r="I9" s="80" t="inlineStr">
        <x:is>
          <x:t xml:space="preserve"/>
        </x:is>
      </x:c>
      <x:c r="J9" s="58" t="n">
        <x:v>0</x:v>
      </x:c>
      <x:c r="K9" s="58" t="n">
        <x:v>0</x:v>
      </x:c>
      <x:c r="L9" s="58" t="n">
        <x:v>0</x:v>
      </x:c>
      <x:c r="M9" s="58" t="n">
        <x:v>0</x:v>
      </x:c>
      <x:c r="N9" s="58" t="n">
        <x:v>0</x:v>
      </x:c>
      <x:c r="O9" s="52" t="n">
        <x:v>0</x:v>
      </x:c>
      <x:c r="P9" s="47" t="n">
        <x:f>IF(L9=0,0,G9/L9)</x:f>
        <x:v>0</x:v>
      </x:c>
      <x:c r="Q9" s="47" t="n">
        <x:f>IF(N9=0,0,G9/N9)</x:f>
        <x:v>0</x:v>
      </x:c>
      <x:c r="R9" s="86" t="n">
        <x:f>IF(G9=0,0,O9/G9)</x:f>
        <x:v>0</x:v>
      </x:c>
      <x:c r="S9" s="75" t="inlineStr">
        <x:is>
          <x:t xml:space="preserve"/>
        </x:is>
      </x:c>
      <x:c r="T9" s="75" t="inlineStr">
        <x:is>
          <x:t xml:space="preserve"/>
        </x:is>
      </x:c>
      <x:c r="U9" s="75" t="inlineStr">
        <x:is>
          <x:t xml:space="preserve">Backlog</x:t>
        </x:is>
      </x:c>
      <x:c r="V9" s="75" t="inlineStr">
        <x:is>
          <x:t xml:space="preserve"/>
        </x:is>
      </x:c>
    </x:row>
    <x:row r="10">
      <x:c r="A10" s="30" t="inlineStr">
        <x:is>
          <x:t xml:space="preserve">C06</x:t>
        </x:is>
      </x:c>
      <x:c r="B10" s="76" t="inlineStr">
        <x:is>
          <x:t xml:space="preserve"/>
        </x:is>
      </x:c>
      <x:c r="C10" s="30" t="inlineStr">
        <x:is>
          <x:t xml:space="preserve">TikTok</x:t>
        </x:is>
      </x:c>
      <x:c r="D10" s="76" t="inlineStr">
        <x:is>
          <x:t xml:space="preserve"/>
        </x:is>
      </x:c>
      <x:c r="E10" s="76" t="inlineStr">
        <x:is>
          <x:t xml:space="preserve"/>
        </x:is>
      </x:c>
      <x:c r="F10" s="30" t="inlineStr">
        <x:is>
          <x:t xml:space="preserve">1 useful short video + repost</x:t>
        </x:is>
      </x:c>
      <x:c r="G10" s="52" t="n">
        <x:v>0</x:v>
      </x:c>
      <x:c r="H10" s="76" t="inlineStr">
        <x:is>
          <x:t xml:space="preserve"/>
        </x:is>
      </x:c>
      <x:c r="I10" s="82" t="inlineStr">
        <x:is>
          <x:t xml:space="preserve"/>
        </x:is>
      </x:c>
      <x:c r="J10" s="58" t="n">
        <x:v>0</x:v>
      </x:c>
      <x:c r="K10" s="58" t="n">
        <x:v>0</x:v>
      </x:c>
      <x:c r="L10" s="58" t="n">
        <x:v>0</x:v>
      </x:c>
      <x:c r="M10" s="58" t="n">
        <x:v>0</x:v>
      </x:c>
      <x:c r="N10" s="58" t="n">
        <x:v>0</x:v>
      </x:c>
      <x:c r="O10" s="52" t="n">
        <x:v>0</x:v>
      </x:c>
      <x:c r="P10" s="45" t="n">
        <x:f>IF(L10=0,0,G10/L10)</x:f>
        <x:v>0</x:v>
      </x:c>
      <x:c r="Q10" s="45" t="n">
        <x:f>IF(N10=0,0,G10/N10)</x:f>
        <x:v>0</x:v>
      </x:c>
      <x:c r="R10" s="88" t="n">
        <x:f>IF(G10=0,0,O10/G10)</x:f>
        <x:v>0</x:v>
      </x:c>
      <x:c r="S10" s="76" t="inlineStr">
        <x:is>
          <x:t xml:space="preserve"/>
        </x:is>
      </x:c>
      <x:c r="T10" s="76" t="inlineStr">
        <x:is>
          <x:t xml:space="preserve"/>
        </x:is>
      </x:c>
      <x:c r="U10" s="76" t="inlineStr">
        <x:is>
          <x:t xml:space="preserve">Backlog</x:t>
        </x:is>
      </x:c>
      <x:c r="V10" s="76" t="inlineStr">
        <x:is>
          <x:t xml:space="preserve"/>
        </x:is>
      </x:c>
    </x:row>
    <x:row r="11">
      <x:c r="A11" s="31" t="inlineStr">
        <x:is>
          <x:t xml:space="preserve">C07</x:t>
        </x:is>
      </x:c>
      <x:c r="B11" s="75" t="inlineStr">
        <x:is>
          <x:t xml:space="preserve"/>
        </x:is>
      </x:c>
      <x:c r="C11" s="31" t="inlineStr">
        <x:is>
          <x:t xml:space="preserve">TikTok</x:t>
        </x:is>
      </x:c>
      <x:c r="D11" s="75" t="inlineStr">
        <x:is>
          <x:t xml:space="preserve"/>
        </x:is>
      </x:c>
      <x:c r="E11" s="75" t="inlineStr">
        <x:is>
          <x:t xml:space="preserve"/>
        </x:is>
      </x:c>
      <x:c r="F11" s="31" t="inlineStr">
        <x:is>
          <x:t xml:space="preserve">1 useful short video + repost</x:t>
        </x:is>
      </x:c>
      <x:c r="G11" s="52" t="n">
        <x:v>0</x:v>
      </x:c>
      <x:c r="H11" s="75" t="inlineStr">
        <x:is>
          <x:t xml:space="preserve"/>
        </x:is>
      </x:c>
      <x:c r="I11" s="80" t="inlineStr">
        <x:is>
          <x:t xml:space="preserve"/>
        </x:is>
      </x:c>
      <x:c r="J11" s="58" t="n">
        <x:v>0</x:v>
      </x:c>
      <x:c r="K11" s="58" t="n">
        <x:v>0</x:v>
      </x:c>
      <x:c r="L11" s="58" t="n">
        <x:v>0</x:v>
      </x:c>
      <x:c r="M11" s="58" t="n">
        <x:v>0</x:v>
      </x:c>
      <x:c r="N11" s="58" t="n">
        <x:v>0</x:v>
      </x:c>
      <x:c r="O11" s="52" t="n">
        <x:v>0</x:v>
      </x:c>
      <x:c r="P11" s="47" t="n">
        <x:f>IF(L11=0,0,G11/L11)</x:f>
        <x:v>0</x:v>
      </x:c>
      <x:c r="Q11" s="47" t="n">
        <x:f>IF(N11=0,0,G11/N11)</x:f>
        <x:v>0</x:v>
      </x:c>
      <x:c r="R11" s="86" t="n">
        <x:f>IF(G11=0,0,O11/G11)</x:f>
        <x:v>0</x:v>
      </x:c>
      <x:c r="S11" s="75" t="inlineStr">
        <x:is>
          <x:t xml:space="preserve"/>
        </x:is>
      </x:c>
      <x:c r="T11" s="75" t="inlineStr">
        <x:is>
          <x:t xml:space="preserve"/>
        </x:is>
      </x:c>
      <x:c r="U11" s="75" t="inlineStr">
        <x:is>
          <x:t xml:space="preserve">Backlog</x:t>
        </x:is>
      </x:c>
      <x:c r="V11" s="75" t="inlineStr">
        <x:is>
          <x:t xml:space="preserve"/>
        </x:is>
      </x:c>
    </x:row>
    <x:row r="12">
      <x:c r="A12" s="30" t="inlineStr">
        <x:is>
          <x:t xml:space="preserve">C08</x:t>
        </x:is>
      </x:c>
      <x:c r="B12" s="76" t="inlineStr">
        <x:is>
          <x:t xml:space="preserve"/>
        </x:is>
      </x:c>
      <x:c r="C12" s="30" t="inlineStr">
        <x:is>
          <x:t xml:space="preserve">TikTok</x:t>
        </x:is>
      </x:c>
      <x:c r="D12" s="76" t="inlineStr">
        <x:is>
          <x:t xml:space="preserve"/>
        </x:is>
      </x:c>
      <x:c r="E12" s="76" t="inlineStr">
        <x:is>
          <x:t xml:space="preserve"/>
        </x:is>
      </x:c>
      <x:c r="F12" s="30" t="inlineStr">
        <x:is>
          <x:t xml:space="preserve">1 useful short video + repost</x:t>
        </x:is>
      </x:c>
      <x:c r="G12" s="52" t="n">
        <x:v>0</x:v>
      </x:c>
      <x:c r="H12" s="76" t="inlineStr">
        <x:is>
          <x:t xml:space="preserve"/>
        </x:is>
      </x:c>
      <x:c r="I12" s="82" t="inlineStr">
        <x:is>
          <x:t xml:space="preserve"/>
        </x:is>
      </x:c>
      <x:c r="J12" s="58" t="n">
        <x:v>0</x:v>
      </x:c>
      <x:c r="K12" s="58" t="n">
        <x:v>0</x:v>
      </x:c>
      <x:c r="L12" s="58" t="n">
        <x:v>0</x:v>
      </x:c>
      <x:c r="M12" s="58" t="n">
        <x:v>0</x:v>
      </x:c>
      <x:c r="N12" s="58" t="n">
        <x:v>0</x:v>
      </x:c>
      <x:c r="O12" s="52" t="n">
        <x:v>0</x:v>
      </x:c>
      <x:c r="P12" s="45" t="n">
        <x:f>IF(L12=0,0,G12/L12)</x:f>
        <x:v>0</x:v>
      </x:c>
      <x:c r="Q12" s="45" t="n">
        <x:f>IF(N12=0,0,G12/N12)</x:f>
        <x:v>0</x:v>
      </x:c>
      <x:c r="R12" s="88" t="n">
        <x:f>IF(G12=0,0,O12/G12)</x:f>
        <x:v>0</x:v>
      </x:c>
      <x:c r="S12" s="76" t="inlineStr">
        <x:is>
          <x:t xml:space="preserve"/>
        </x:is>
      </x:c>
      <x:c r="T12" s="76" t="inlineStr">
        <x:is>
          <x:t xml:space="preserve"/>
        </x:is>
      </x:c>
      <x:c r="U12" s="76" t="inlineStr">
        <x:is>
          <x:t xml:space="preserve">Backlog</x:t>
        </x:is>
      </x:c>
      <x:c r="V12" s="76" t="inlineStr">
        <x:is>
          <x:t xml:space="preserve"/>
        </x:is>
      </x:c>
    </x:row>
    <x:row r="13">
      <x:c r="A13" s="31" t="inlineStr">
        <x:is>
          <x:t xml:space="preserve">C09</x:t>
        </x:is>
      </x:c>
      <x:c r="B13" s="75" t="inlineStr">
        <x:is>
          <x:t xml:space="preserve"/>
        </x:is>
      </x:c>
      <x:c r="C13" s="31" t="inlineStr">
        <x:is>
          <x:t xml:space="preserve">TikTok</x:t>
        </x:is>
      </x:c>
      <x:c r="D13" s="75" t="inlineStr">
        <x:is>
          <x:t xml:space="preserve"/>
        </x:is>
      </x:c>
      <x:c r="E13" s="75" t="inlineStr">
        <x:is>
          <x:t xml:space="preserve"/>
        </x:is>
      </x:c>
      <x:c r="F13" s="31" t="inlineStr">
        <x:is>
          <x:t xml:space="preserve">1 useful short video + repost</x:t>
        </x:is>
      </x:c>
      <x:c r="G13" s="52" t="n">
        <x:v>0</x:v>
      </x:c>
      <x:c r="H13" s="75" t="inlineStr">
        <x:is>
          <x:t xml:space="preserve"/>
        </x:is>
      </x:c>
      <x:c r="I13" s="80" t="inlineStr">
        <x:is>
          <x:t xml:space="preserve"/>
        </x:is>
      </x:c>
      <x:c r="J13" s="58" t="n">
        <x:v>0</x:v>
      </x:c>
      <x:c r="K13" s="58" t="n">
        <x:v>0</x:v>
      </x:c>
      <x:c r="L13" s="58" t="n">
        <x:v>0</x:v>
      </x:c>
      <x:c r="M13" s="58" t="n">
        <x:v>0</x:v>
      </x:c>
      <x:c r="N13" s="58" t="n">
        <x:v>0</x:v>
      </x:c>
      <x:c r="O13" s="52" t="n">
        <x:v>0</x:v>
      </x:c>
      <x:c r="P13" s="47" t="n">
        <x:f>IF(L13=0,0,G13/L13)</x:f>
        <x:v>0</x:v>
      </x:c>
      <x:c r="Q13" s="47" t="n">
        <x:f>IF(N13=0,0,G13/N13)</x:f>
        <x:v>0</x:v>
      </x:c>
      <x:c r="R13" s="86" t="n">
        <x:f>IF(G13=0,0,O13/G13)</x:f>
        <x:v>0</x:v>
      </x:c>
      <x:c r="S13" s="75" t="inlineStr">
        <x:is>
          <x:t xml:space="preserve"/>
        </x:is>
      </x:c>
      <x:c r="T13" s="75" t="inlineStr">
        <x:is>
          <x:t xml:space="preserve"/>
        </x:is>
      </x:c>
      <x:c r="U13" s="75" t="inlineStr">
        <x:is>
          <x:t xml:space="preserve">Backlog</x:t>
        </x:is>
      </x:c>
      <x:c r="V13" s="75" t="inlineStr">
        <x:is>
          <x:t xml:space="preserve"/>
        </x:is>
      </x:c>
    </x:row>
    <x:row r="14">
      <x:c r="A14" s="30" t="inlineStr">
        <x:is>
          <x:t xml:space="preserve">C10</x:t>
        </x:is>
      </x:c>
      <x:c r="B14" s="76" t="inlineStr">
        <x:is>
          <x:t xml:space="preserve"/>
        </x:is>
      </x:c>
      <x:c r="C14" s="30" t="inlineStr">
        <x:is>
          <x:t xml:space="preserve">TikTok</x:t>
        </x:is>
      </x:c>
      <x:c r="D14" s="76" t="inlineStr">
        <x:is>
          <x:t xml:space="preserve"/>
        </x:is>
      </x:c>
      <x:c r="E14" s="76" t="inlineStr">
        <x:is>
          <x:t xml:space="preserve"/>
        </x:is>
      </x:c>
      <x:c r="F14" s="30" t="inlineStr">
        <x:is>
          <x:t xml:space="preserve">1 useful short video + repost</x:t>
        </x:is>
      </x:c>
      <x:c r="G14" s="52" t="n">
        <x:v>0</x:v>
      </x:c>
      <x:c r="H14" s="76" t="inlineStr">
        <x:is>
          <x:t xml:space="preserve"/>
        </x:is>
      </x:c>
      <x:c r="I14" s="82" t="inlineStr">
        <x:is>
          <x:t xml:space="preserve"/>
        </x:is>
      </x:c>
      <x:c r="J14" s="58" t="n">
        <x:v>0</x:v>
      </x:c>
      <x:c r="K14" s="58" t="n">
        <x:v>0</x:v>
      </x:c>
      <x:c r="L14" s="58" t="n">
        <x:v>0</x:v>
      </x:c>
      <x:c r="M14" s="58" t="n">
        <x:v>0</x:v>
      </x:c>
      <x:c r="N14" s="58" t="n">
        <x:v>0</x:v>
      </x:c>
      <x:c r="O14" s="52" t="n">
        <x:v>0</x:v>
      </x:c>
      <x:c r="P14" s="45" t="n">
        <x:f>IF(L14=0,0,G14/L14)</x:f>
        <x:v>0</x:v>
      </x:c>
      <x:c r="Q14" s="45" t="n">
        <x:f>IF(N14=0,0,G14/N14)</x:f>
        <x:v>0</x:v>
      </x:c>
      <x:c r="R14" s="88" t="n">
        <x:f>IF(G14=0,0,O14/G14)</x:f>
        <x:v>0</x:v>
      </x:c>
      <x:c r="S14" s="76" t="inlineStr">
        <x:is>
          <x:t xml:space="preserve"/>
        </x:is>
      </x:c>
      <x:c r="T14" s="76" t="inlineStr">
        <x:is>
          <x:t xml:space="preserve"/>
        </x:is>
      </x:c>
      <x:c r="U14" s="76" t="inlineStr">
        <x:is>
          <x:t xml:space="preserve">Backlog</x:t>
        </x:is>
      </x:c>
      <x:c r="V14" s="76" t="inlineStr">
        <x:is>
          <x:t xml:space="preserve"/>
        </x:is>
      </x:c>
    </x:row>
    <x:row r="15">
      <x:c r="A15" s="31" t="inlineStr">
        <x:is>
          <x:t xml:space="preserve">C11</x:t>
        </x:is>
      </x:c>
      <x:c r="B15" s="75" t="inlineStr">
        <x:is>
          <x:t xml:space="preserve"/>
        </x:is>
      </x:c>
      <x:c r="C15" s="31" t="inlineStr">
        <x:is>
          <x:t xml:space="preserve">TikTok</x:t>
        </x:is>
      </x:c>
      <x:c r="D15" s="75" t="inlineStr">
        <x:is>
          <x:t xml:space="preserve"/>
        </x:is>
      </x:c>
      <x:c r="E15" s="75" t="inlineStr">
        <x:is>
          <x:t xml:space="preserve"/>
        </x:is>
      </x:c>
      <x:c r="F15" s="31" t="inlineStr">
        <x:is>
          <x:t xml:space="preserve">1 useful short video + repost</x:t>
        </x:is>
      </x:c>
      <x:c r="G15" s="52" t="n">
        <x:v>0</x:v>
      </x:c>
      <x:c r="H15" s="75" t="inlineStr">
        <x:is>
          <x:t xml:space="preserve"/>
        </x:is>
      </x:c>
      <x:c r="I15" s="80" t="inlineStr">
        <x:is>
          <x:t xml:space="preserve"/>
        </x:is>
      </x:c>
      <x:c r="J15" s="58" t="n">
        <x:v>0</x:v>
      </x:c>
      <x:c r="K15" s="58" t="n">
        <x:v>0</x:v>
      </x:c>
      <x:c r="L15" s="58" t="n">
        <x:v>0</x:v>
      </x:c>
      <x:c r="M15" s="58" t="n">
        <x:v>0</x:v>
      </x:c>
      <x:c r="N15" s="58" t="n">
        <x:v>0</x:v>
      </x:c>
      <x:c r="O15" s="52" t="n">
        <x:v>0</x:v>
      </x:c>
      <x:c r="P15" s="47" t="n">
        <x:f>IF(L15=0,0,G15/L15)</x:f>
        <x:v>0</x:v>
      </x:c>
      <x:c r="Q15" s="47" t="n">
        <x:f>IF(N15=0,0,G15/N15)</x:f>
        <x:v>0</x:v>
      </x:c>
      <x:c r="R15" s="86" t="n">
        <x:f>IF(G15=0,0,O15/G15)</x:f>
        <x:v>0</x:v>
      </x:c>
      <x:c r="S15" s="75" t="inlineStr">
        <x:is>
          <x:t xml:space="preserve"/>
        </x:is>
      </x:c>
      <x:c r="T15" s="75" t="inlineStr">
        <x:is>
          <x:t xml:space="preserve"/>
        </x:is>
      </x:c>
      <x:c r="U15" s="75" t="inlineStr">
        <x:is>
          <x:t xml:space="preserve">Backlog</x:t>
        </x:is>
      </x:c>
      <x:c r="V15" s="75" t="inlineStr">
        <x:is>
          <x:t xml:space="preserve"/>
        </x:is>
      </x:c>
    </x:row>
    <x:row r="16">
      <x:c r="A16" s="30" t="inlineStr">
        <x:is>
          <x:t xml:space="preserve">C12</x:t>
        </x:is>
      </x:c>
      <x:c r="B16" s="76" t="inlineStr">
        <x:is>
          <x:t xml:space="preserve"/>
        </x:is>
      </x:c>
      <x:c r="C16" s="30" t="inlineStr">
        <x:is>
          <x:t xml:space="preserve">TikTok</x:t>
        </x:is>
      </x:c>
      <x:c r="D16" s="76" t="inlineStr">
        <x:is>
          <x:t xml:space="preserve"/>
        </x:is>
      </x:c>
      <x:c r="E16" s="76" t="inlineStr">
        <x:is>
          <x:t xml:space="preserve"/>
        </x:is>
      </x:c>
      <x:c r="F16" s="30" t="inlineStr">
        <x:is>
          <x:t xml:space="preserve">1 useful short video + repost</x:t>
        </x:is>
      </x:c>
      <x:c r="G16" s="52" t="n">
        <x:v>0</x:v>
      </x:c>
      <x:c r="H16" s="76" t="inlineStr">
        <x:is>
          <x:t xml:space="preserve"/>
        </x:is>
      </x:c>
      <x:c r="I16" s="82" t="inlineStr">
        <x:is>
          <x:t xml:space="preserve"/>
        </x:is>
      </x:c>
      <x:c r="J16" s="58" t="n">
        <x:v>0</x:v>
      </x:c>
      <x:c r="K16" s="58" t="n">
        <x:v>0</x:v>
      </x:c>
      <x:c r="L16" s="58" t="n">
        <x:v>0</x:v>
      </x:c>
      <x:c r="M16" s="58" t="n">
        <x:v>0</x:v>
      </x:c>
      <x:c r="N16" s="58" t="n">
        <x:v>0</x:v>
      </x:c>
      <x:c r="O16" s="52" t="n">
        <x:v>0</x:v>
      </x:c>
      <x:c r="P16" s="45" t="n">
        <x:f>IF(L16=0,0,G16/L16)</x:f>
        <x:v>0</x:v>
      </x:c>
      <x:c r="Q16" s="45" t="n">
        <x:f>IF(N16=0,0,G16/N16)</x:f>
        <x:v>0</x:v>
      </x:c>
      <x:c r="R16" s="88" t="n">
        <x:f>IF(G16=0,0,O16/G16)</x:f>
        <x:v>0</x:v>
      </x:c>
      <x:c r="S16" s="76" t="inlineStr">
        <x:is>
          <x:t xml:space="preserve"/>
        </x:is>
      </x:c>
      <x:c r="T16" s="76" t="inlineStr">
        <x:is>
          <x:t xml:space="preserve"/>
        </x:is>
      </x:c>
      <x:c r="U16" s="76" t="inlineStr">
        <x:is>
          <x:t xml:space="preserve">Backlog</x:t>
        </x:is>
      </x:c>
      <x:c r="V16" s="76" t="inlineStr">
        <x:is>
          <x:t xml:space="preserve"/>
        </x:is>
      </x:c>
    </x:row>
    <x:row r="17">
      <x:c r="A17" s="31" t="inlineStr">
        <x:is>
          <x:t xml:space="preserve">C13</x:t>
        </x:is>
      </x:c>
      <x:c r="B17" s="75" t="inlineStr">
        <x:is>
          <x:t xml:space="preserve"/>
        </x:is>
      </x:c>
      <x:c r="C17" s="31" t="inlineStr">
        <x:is>
          <x:t xml:space="preserve">TikTok</x:t>
        </x:is>
      </x:c>
      <x:c r="D17" s="75" t="inlineStr">
        <x:is>
          <x:t xml:space="preserve"/>
        </x:is>
      </x:c>
      <x:c r="E17" s="75" t="inlineStr">
        <x:is>
          <x:t xml:space="preserve"/>
        </x:is>
      </x:c>
      <x:c r="F17" s="31" t="inlineStr">
        <x:is>
          <x:t xml:space="preserve">1 useful short video + repost</x:t>
        </x:is>
      </x:c>
      <x:c r="G17" s="52" t="n">
        <x:v>0</x:v>
      </x:c>
      <x:c r="H17" s="75" t="inlineStr">
        <x:is>
          <x:t xml:space="preserve"/>
        </x:is>
      </x:c>
      <x:c r="I17" s="80" t="inlineStr">
        <x:is>
          <x:t xml:space="preserve"/>
        </x:is>
      </x:c>
      <x:c r="J17" s="58" t="n">
        <x:v>0</x:v>
      </x:c>
      <x:c r="K17" s="58" t="n">
        <x:v>0</x:v>
      </x:c>
      <x:c r="L17" s="58" t="n">
        <x:v>0</x:v>
      </x:c>
      <x:c r="M17" s="58" t="n">
        <x:v>0</x:v>
      </x:c>
      <x:c r="N17" s="58" t="n">
        <x:v>0</x:v>
      </x:c>
      <x:c r="O17" s="52" t="n">
        <x:v>0</x:v>
      </x:c>
      <x:c r="P17" s="47" t="n">
        <x:f>IF(L17=0,0,G17/L17)</x:f>
        <x:v>0</x:v>
      </x:c>
      <x:c r="Q17" s="47" t="n">
        <x:f>IF(N17=0,0,G17/N17)</x:f>
        <x:v>0</x:v>
      </x:c>
      <x:c r="R17" s="86" t="n">
        <x:f>IF(G17=0,0,O17/G17)</x:f>
        <x:v>0</x:v>
      </x:c>
      <x:c r="S17" s="75" t="inlineStr">
        <x:is>
          <x:t xml:space="preserve"/>
        </x:is>
      </x:c>
      <x:c r="T17" s="75" t="inlineStr">
        <x:is>
          <x:t xml:space="preserve"/>
        </x:is>
      </x:c>
      <x:c r="U17" s="75" t="inlineStr">
        <x:is>
          <x:t xml:space="preserve">Backlog</x:t>
        </x:is>
      </x:c>
      <x:c r="V17" s="75" t="inlineStr">
        <x:is>
          <x:t xml:space="preserve"/>
        </x:is>
      </x:c>
    </x:row>
    <x:row r="18">
      <x:c r="A18" s="30" t="inlineStr">
        <x:is>
          <x:t xml:space="preserve">C14</x:t>
        </x:is>
      </x:c>
      <x:c r="B18" s="76" t="inlineStr">
        <x:is>
          <x:t xml:space="preserve"/>
        </x:is>
      </x:c>
      <x:c r="C18" s="30" t="inlineStr">
        <x:is>
          <x:t xml:space="preserve">TikTok</x:t>
        </x:is>
      </x:c>
      <x:c r="D18" s="76" t="inlineStr">
        <x:is>
          <x:t xml:space="preserve"/>
        </x:is>
      </x:c>
      <x:c r="E18" s="76" t="inlineStr">
        <x:is>
          <x:t xml:space="preserve"/>
        </x:is>
      </x:c>
      <x:c r="F18" s="30" t="inlineStr">
        <x:is>
          <x:t xml:space="preserve">1 useful short video + repost</x:t>
        </x:is>
      </x:c>
      <x:c r="G18" s="52" t="n">
        <x:v>0</x:v>
      </x:c>
      <x:c r="H18" s="76" t="inlineStr">
        <x:is>
          <x:t xml:space="preserve"/>
        </x:is>
      </x:c>
      <x:c r="I18" s="82" t="inlineStr">
        <x:is>
          <x:t xml:space="preserve"/>
        </x:is>
      </x:c>
      <x:c r="J18" s="58" t="n">
        <x:v>0</x:v>
      </x:c>
      <x:c r="K18" s="58" t="n">
        <x:v>0</x:v>
      </x:c>
      <x:c r="L18" s="58" t="n">
        <x:v>0</x:v>
      </x:c>
      <x:c r="M18" s="58" t="n">
        <x:v>0</x:v>
      </x:c>
      <x:c r="N18" s="58" t="n">
        <x:v>0</x:v>
      </x:c>
      <x:c r="O18" s="52" t="n">
        <x:v>0</x:v>
      </x:c>
      <x:c r="P18" s="45" t="n">
        <x:f>IF(L18=0,0,G18/L18)</x:f>
        <x:v>0</x:v>
      </x:c>
      <x:c r="Q18" s="45" t="n">
        <x:f>IF(N18=0,0,G18/N18)</x:f>
        <x:v>0</x:v>
      </x:c>
      <x:c r="R18" s="88" t="n">
        <x:f>IF(G18=0,0,O18/G18)</x:f>
        <x:v>0</x:v>
      </x:c>
      <x:c r="S18" s="76" t="inlineStr">
        <x:is>
          <x:t xml:space="preserve"/>
        </x:is>
      </x:c>
      <x:c r="T18" s="76" t="inlineStr">
        <x:is>
          <x:t xml:space="preserve"/>
        </x:is>
      </x:c>
      <x:c r="U18" s="76" t="inlineStr">
        <x:is>
          <x:t xml:space="preserve">Backlog</x:t>
        </x:is>
      </x:c>
      <x:c r="V18" s="76" t="inlineStr">
        <x:is>
          <x:t xml:space="preserve"/>
        </x:is>
      </x:c>
    </x:row>
    <x:row r="19">
      <x:c r="A19" s="31" t="inlineStr">
        <x:is>
          <x:t xml:space="preserve">C15</x:t>
        </x:is>
      </x:c>
      <x:c r="B19" s="75" t="inlineStr">
        <x:is>
          <x:t xml:space="preserve"/>
        </x:is>
      </x:c>
      <x:c r="C19" s="31" t="inlineStr">
        <x:is>
          <x:t xml:space="preserve">TikTok</x:t>
        </x:is>
      </x:c>
      <x:c r="D19" s="75" t="inlineStr">
        <x:is>
          <x:t xml:space="preserve"/>
        </x:is>
      </x:c>
      <x:c r="E19" s="75" t="inlineStr">
        <x:is>
          <x:t xml:space="preserve"/>
        </x:is>
      </x:c>
      <x:c r="F19" s="31" t="inlineStr">
        <x:is>
          <x:t xml:space="preserve">1 useful short video + repost</x:t>
        </x:is>
      </x:c>
      <x:c r="G19" s="52" t="n">
        <x:v>0</x:v>
      </x:c>
      <x:c r="H19" s="75" t="inlineStr">
        <x:is>
          <x:t xml:space="preserve"/>
        </x:is>
      </x:c>
      <x:c r="I19" s="80" t="inlineStr">
        <x:is>
          <x:t xml:space="preserve"/>
        </x:is>
      </x:c>
      <x:c r="J19" s="58" t="n">
        <x:v>0</x:v>
      </x:c>
      <x:c r="K19" s="58" t="n">
        <x:v>0</x:v>
      </x:c>
      <x:c r="L19" s="58" t="n">
        <x:v>0</x:v>
      </x:c>
      <x:c r="M19" s="58" t="n">
        <x:v>0</x:v>
      </x:c>
      <x:c r="N19" s="58" t="n">
        <x:v>0</x:v>
      </x:c>
      <x:c r="O19" s="52" t="n">
        <x:v>0</x:v>
      </x:c>
      <x:c r="P19" s="47" t="n">
        <x:f>IF(L19=0,0,G19/L19)</x:f>
        <x:v>0</x:v>
      </x:c>
      <x:c r="Q19" s="47" t="n">
        <x:f>IF(N19=0,0,G19/N19)</x:f>
        <x:v>0</x:v>
      </x:c>
      <x:c r="R19" s="86" t="n">
        <x:f>IF(G19=0,0,O19/G19)</x:f>
        <x:v>0</x:v>
      </x:c>
      <x:c r="S19" s="75" t="inlineStr">
        <x:is>
          <x:t xml:space="preserve"/>
        </x:is>
      </x:c>
      <x:c r="T19" s="75" t="inlineStr">
        <x:is>
          <x:t xml:space="preserve"/>
        </x:is>
      </x:c>
      <x:c r="U19" s="75" t="inlineStr">
        <x:is>
          <x:t xml:space="preserve">Backlog</x:t>
        </x:is>
      </x:c>
      <x:c r="V19" s="75" t="inlineStr">
        <x:is>
          <x:t xml:space="preserve"/>
        </x:is>
      </x:c>
    </x:row>
    <x:row r="20">
      <x:c r="A20" s="30" t="inlineStr">
        <x:is>
          <x:t xml:space="preserve">C16</x:t>
        </x:is>
      </x:c>
      <x:c r="B20" s="76" t="inlineStr">
        <x:is>
          <x:t xml:space="preserve"/>
        </x:is>
      </x:c>
      <x:c r="C20" s="30" t="inlineStr">
        <x:is>
          <x:t xml:space="preserve">TikTok</x:t>
        </x:is>
      </x:c>
      <x:c r="D20" s="76" t="inlineStr">
        <x:is>
          <x:t xml:space="preserve"/>
        </x:is>
      </x:c>
      <x:c r="E20" s="76" t="inlineStr">
        <x:is>
          <x:t xml:space="preserve"/>
        </x:is>
      </x:c>
      <x:c r="F20" s="30" t="inlineStr">
        <x:is>
          <x:t xml:space="preserve">1 useful short video + repost</x:t>
        </x:is>
      </x:c>
      <x:c r="G20" s="52" t="n">
        <x:v>0</x:v>
      </x:c>
      <x:c r="H20" s="76" t="inlineStr">
        <x:is>
          <x:t xml:space="preserve"/>
        </x:is>
      </x:c>
      <x:c r="I20" s="82" t="inlineStr">
        <x:is>
          <x:t xml:space="preserve"/>
        </x:is>
      </x:c>
      <x:c r="J20" s="58" t="n">
        <x:v>0</x:v>
      </x:c>
      <x:c r="K20" s="58" t="n">
        <x:v>0</x:v>
      </x:c>
      <x:c r="L20" s="58" t="n">
        <x:v>0</x:v>
      </x:c>
      <x:c r="M20" s="58" t="n">
        <x:v>0</x:v>
      </x:c>
      <x:c r="N20" s="58" t="n">
        <x:v>0</x:v>
      </x:c>
      <x:c r="O20" s="52" t="n">
        <x:v>0</x:v>
      </x:c>
      <x:c r="P20" s="45" t="n">
        <x:f>IF(L20=0,0,G20/L20)</x:f>
        <x:v>0</x:v>
      </x:c>
      <x:c r="Q20" s="45" t="n">
        <x:f>IF(N20=0,0,G20/N20)</x:f>
        <x:v>0</x:v>
      </x:c>
      <x:c r="R20" s="88" t="n">
        <x:f>IF(G20=0,0,O20/G20)</x:f>
        <x:v>0</x:v>
      </x:c>
      <x:c r="S20" s="76" t="inlineStr">
        <x:is>
          <x:t xml:space="preserve"/>
        </x:is>
      </x:c>
      <x:c r="T20" s="76" t="inlineStr">
        <x:is>
          <x:t xml:space="preserve"/>
        </x:is>
      </x:c>
      <x:c r="U20" s="76" t="inlineStr">
        <x:is>
          <x:t xml:space="preserve">Backlog</x:t>
        </x:is>
      </x:c>
      <x:c r="V20" s="76" t="inlineStr">
        <x:is>
          <x:t xml:space="preserve"/>
        </x:is>
      </x:c>
    </x:row>
    <x:row r="21">
      <x:c r="A21" s="31" t="inlineStr">
        <x:is>
          <x:t xml:space="preserve">C17</x:t>
        </x:is>
      </x:c>
      <x:c r="B21" s="75" t="inlineStr">
        <x:is>
          <x:t xml:space="preserve"/>
        </x:is>
      </x:c>
      <x:c r="C21" s="31" t="inlineStr">
        <x:is>
          <x:t xml:space="preserve">TikTok</x:t>
        </x:is>
      </x:c>
      <x:c r="D21" s="75" t="inlineStr">
        <x:is>
          <x:t xml:space="preserve"/>
        </x:is>
      </x:c>
      <x:c r="E21" s="75" t="inlineStr">
        <x:is>
          <x:t xml:space="preserve"/>
        </x:is>
      </x:c>
      <x:c r="F21" s="31" t="inlineStr">
        <x:is>
          <x:t xml:space="preserve">1 useful short video + repost</x:t>
        </x:is>
      </x:c>
      <x:c r="G21" s="52" t="n">
        <x:v>0</x:v>
      </x:c>
      <x:c r="H21" s="75" t="inlineStr">
        <x:is>
          <x:t xml:space="preserve"/>
        </x:is>
      </x:c>
      <x:c r="I21" s="80" t="inlineStr">
        <x:is>
          <x:t xml:space="preserve"/>
        </x:is>
      </x:c>
      <x:c r="J21" s="58" t="n">
        <x:v>0</x:v>
      </x:c>
      <x:c r="K21" s="58" t="n">
        <x:v>0</x:v>
      </x:c>
      <x:c r="L21" s="58" t="n">
        <x:v>0</x:v>
      </x:c>
      <x:c r="M21" s="58" t="n">
        <x:v>0</x:v>
      </x:c>
      <x:c r="N21" s="58" t="n">
        <x:v>0</x:v>
      </x:c>
      <x:c r="O21" s="52" t="n">
        <x:v>0</x:v>
      </x:c>
      <x:c r="P21" s="47" t="n">
        <x:f>IF(L21=0,0,G21/L21)</x:f>
        <x:v>0</x:v>
      </x:c>
      <x:c r="Q21" s="47" t="n">
        <x:f>IF(N21=0,0,G21/N21)</x:f>
        <x:v>0</x:v>
      </x:c>
      <x:c r="R21" s="86" t="n">
        <x:f>IF(G21=0,0,O21/G21)</x:f>
        <x:v>0</x:v>
      </x:c>
      <x:c r="S21" s="75" t="inlineStr">
        <x:is>
          <x:t xml:space="preserve"/>
        </x:is>
      </x:c>
      <x:c r="T21" s="75" t="inlineStr">
        <x:is>
          <x:t xml:space="preserve"/>
        </x:is>
      </x:c>
      <x:c r="U21" s="75" t="inlineStr">
        <x:is>
          <x:t xml:space="preserve">Backlog</x:t>
        </x:is>
      </x:c>
      <x:c r="V21" s="75" t="inlineStr">
        <x:is>
          <x:t xml:space="preserve"/>
        </x:is>
      </x:c>
    </x:row>
    <x:row r="22">
      <x:c r="A22" s="30" t="inlineStr">
        <x:is>
          <x:t xml:space="preserve">C18</x:t>
        </x:is>
      </x:c>
      <x:c r="B22" s="76" t="inlineStr">
        <x:is>
          <x:t xml:space="preserve"/>
        </x:is>
      </x:c>
      <x:c r="C22" s="30" t="inlineStr">
        <x:is>
          <x:t xml:space="preserve">TikTok</x:t>
        </x:is>
      </x:c>
      <x:c r="D22" s="76" t="inlineStr">
        <x:is>
          <x:t xml:space="preserve"/>
        </x:is>
      </x:c>
      <x:c r="E22" s="76" t="inlineStr">
        <x:is>
          <x:t xml:space="preserve"/>
        </x:is>
      </x:c>
      <x:c r="F22" s="30" t="inlineStr">
        <x:is>
          <x:t xml:space="preserve">1 useful short video + repost</x:t>
        </x:is>
      </x:c>
      <x:c r="G22" s="52" t="n">
        <x:v>0</x:v>
      </x:c>
      <x:c r="H22" s="76" t="inlineStr">
        <x:is>
          <x:t xml:space="preserve"/>
        </x:is>
      </x:c>
      <x:c r="I22" s="82" t="inlineStr">
        <x:is>
          <x:t xml:space="preserve"/>
        </x:is>
      </x:c>
      <x:c r="J22" s="58" t="n">
        <x:v>0</x:v>
      </x:c>
      <x:c r="K22" s="58" t="n">
        <x:v>0</x:v>
      </x:c>
      <x:c r="L22" s="58" t="n">
        <x:v>0</x:v>
      </x:c>
      <x:c r="M22" s="58" t="n">
        <x:v>0</x:v>
      </x:c>
      <x:c r="N22" s="58" t="n">
        <x:v>0</x:v>
      </x:c>
      <x:c r="O22" s="52" t="n">
        <x:v>0</x:v>
      </x:c>
      <x:c r="P22" s="45" t="n">
        <x:f>IF(L22=0,0,G22/L22)</x:f>
        <x:v>0</x:v>
      </x:c>
      <x:c r="Q22" s="45" t="n">
        <x:f>IF(N22=0,0,G22/N22)</x:f>
        <x:v>0</x:v>
      </x:c>
      <x:c r="R22" s="88" t="n">
        <x:f>IF(G22=0,0,O22/G22)</x:f>
        <x:v>0</x:v>
      </x:c>
      <x:c r="S22" s="76" t="inlineStr">
        <x:is>
          <x:t xml:space="preserve"/>
        </x:is>
      </x:c>
      <x:c r="T22" s="76" t="inlineStr">
        <x:is>
          <x:t xml:space="preserve"/>
        </x:is>
      </x:c>
      <x:c r="U22" s="76" t="inlineStr">
        <x:is>
          <x:t xml:space="preserve">Backlog</x:t>
        </x:is>
      </x:c>
      <x:c r="V22" s="76" t="inlineStr">
        <x:is>
          <x:t xml:space="preserve"/>
        </x:is>
      </x:c>
    </x:row>
    <x:row r="23">
      <x:c r="A23" s="31" t="inlineStr">
        <x:is>
          <x:t xml:space="preserve">C19</x:t>
        </x:is>
      </x:c>
      <x:c r="B23" s="75" t="inlineStr">
        <x:is>
          <x:t xml:space="preserve"/>
        </x:is>
      </x:c>
      <x:c r="C23" s="31" t="inlineStr">
        <x:is>
          <x:t xml:space="preserve">TikTok</x:t>
        </x:is>
      </x:c>
      <x:c r="D23" s="75" t="inlineStr">
        <x:is>
          <x:t xml:space="preserve"/>
        </x:is>
      </x:c>
      <x:c r="E23" s="75" t="inlineStr">
        <x:is>
          <x:t xml:space="preserve"/>
        </x:is>
      </x:c>
      <x:c r="F23" s="31" t="inlineStr">
        <x:is>
          <x:t xml:space="preserve">1 useful short video + repost</x:t>
        </x:is>
      </x:c>
      <x:c r="G23" s="52" t="n">
        <x:v>0</x:v>
      </x:c>
      <x:c r="H23" s="75" t="inlineStr">
        <x:is>
          <x:t xml:space="preserve"/>
        </x:is>
      </x:c>
      <x:c r="I23" s="80" t="inlineStr">
        <x:is>
          <x:t xml:space="preserve"/>
        </x:is>
      </x:c>
      <x:c r="J23" s="58" t="n">
        <x:v>0</x:v>
      </x:c>
      <x:c r="K23" s="58" t="n">
        <x:v>0</x:v>
      </x:c>
      <x:c r="L23" s="58" t="n">
        <x:v>0</x:v>
      </x:c>
      <x:c r="M23" s="58" t="n">
        <x:v>0</x:v>
      </x:c>
      <x:c r="N23" s="58" t="n">
        <x:v>0</x:v>
      </x:c>
      <x:c r="O23" s="52" t="n">
        <x:v>0</x:v>
      </x:c>
      <x:c r="P23" s="47" t="n">
        <x:f>IF(L23=0,0,G23/L23)</x:f>
        <x:v>0</x:v>
      </x:c>
      <x:c r="Q23" s="47" t="n">
        <x:f>IF(N23=0,0,G23/N23)</x:f>
        <x:v>0</x:v>
      </x:c>
      <x:c r="R23" s="86" t="n">
        <x:f>IF(G23=0,0,O23/G23)</x:f>
        <x:v>0</x:v>
      </x:c>
      <x:c r="S23" s="75" t="inlineStr">
        <x:is>
          <x:t xml:space="preserve"/>
        </x:is>
      </x:c>
      <x:c r="T23" s="75" t="inlineStr">
        <x:is>
          <x:t xml:space="preserve"/>
        </x:is>
      </x:c>
      <x:c r="U23" s="75" t="inlineStr">
        <x:is>
          <x:t xml:space="preserve">Backlog</x:t>
        </x:is>
      </x:c>
      <x:c r="V23" s="75" t="inlineStr">
        <x:is>
          <x:t xml:space="preserve"/>
        </x:is>
      </x:c>
    </x:row>
    <x:row r="24">
      <x:c r="A24" s="30" t="inlineStr">
        <x:is>
          <x:t xml:space="preserve">C20</x:t>
        </x:is>
      </x:c>
      <x:c r="B24" s="76" t="inlineStr">
        <x:is>
          <x:t xml:space="preserve"/>
        </x:is>
      </x:c>
      <x:c r="C24" s="30" t="inlineStr">
        <x:is>
          <x:t xml:space="preserve">TikTok</x:t>
        </x:is>
      </x:c>
      <x:c r="D24" s="76" t="inlineStr">
        <x:is>
          <x:t xml:space="preserve"/>
        </x:is>
      </x:c>
      <x:c r="E24" s="76" t="inlineStr">
        <x:is>
          <x:t xml:space="preserve"/>
        </x:is>
      </x:c>
      <x:c r="F24" s="30" t="inlineStr">
        <x:is>
          <x:t xml:space="preserve">1 useful short video + repost</x:t>
        </x:is>
      </x:c>
      <x:c r="G24" s="52" t="n">
        <x:v>0</x:v>
      </x:c>
      <x:c r="H24" s="76" t="inlineStr">
        <x:is>
          <x:t xml:space="preserve"/>
        </x:is>
      </x:c>
      <x:c r="I24" s="82" t="inlineStr">
        <x:is>
          <x:t xml:space="preserve"/>
        </x:is>
      </x:c>
      <x:c r="J24" s="58" t="n">
        <x:v>0</x:v>
      </x:c>
      <x:c r="K24" s="58" t="n">
        <x:v>0</x:v>
      </x:c>
      <x:c r="L24" s="58" t="n">
        <x:v>0</x:v>
      </x:c>
      <x:c r="M24" s="58" t="n">
        <x:v>0</x:v>
      </x:c>
      <x:c r="N24" s="58" t="n">
        <x:v>0</x:v>
      </x:c>
      <x:c r="O24" s="52" t="n">
        <x:v>0</x:v>
      </x:c>
      <x:c r="P24" s="45" t="n">
        <x:f>IF(L24=0,0,G24/L24)</x:f>
        <x:v>0</x:v>
      </x:c>
      <x:c r="Q24" s="45" t="n">
        <x:f>IF(N24=0,0,G24/N24)</x:f>
        <x:v>0</x:v>
      </x:c>
      <x:c r="R24" s="88" t="n">
        <x:f>IF(G24=0,0,O24/G24)</x:f>
        <x:v>0</x:v>
      </x:c>
      <x:c r="S24" s="76" t="inlineStr">
        <x:is>
          <x:t xml:space="preserve"/>
        </x:is>
      </x:c>
      <x:c r="T24" s="76" t="inlineStr">
        <x:is>
          <x:t xml:space="preserve"/>
        </x:is>
      </x:c>
      <x:c r="U24" s="76" t="inlineStr">
        <x:is>
          <x:t xml:space="preserve">Backlog</x:t>
        </x:is>
      </x:c>
      <x:c r="V24" s="76" t="inlineStr">
        <x:is>
          <x:t xml:space="preserve"/>
        </x:is>
      </x:c>
    </x:row>
    <x:row r="25">
      <x:c r="A25" s="31" t="inlineStr">
        <x:is>
          <x:t xml:space="preserve">C21</x:t>
        </x:is>
      </x:c>
      <x:c r="B25" s="75" t="inlineStr">
        <x:is>
          <x:t xml:space="preserve"/>
        </x:is>
      </x:c>
      <x:c r="C25" s="31" t="inlineStr">
        <x:is>
          <x:t xml:space="preserve">TikTok</x:t>
        </x:is>
      </x:c>
      <x:c r="D25" s="75" t="inlineStr">
        <x:is>
          <x:t xml:space="preserve"/>
        </x:is>
      </x:c>
      <x:c r="E25" s="75" t="inlineStr">
        <x:is>
          <x:t xml:space="preserve"/>
        </x:is>
      </x:c>
      <x:c r="F25" s="31" t="inlineStr">
        <x:is>
          <x:t xml:space="preserve">1 useful short video + repost</x:t>
        </x:is>
      </x:c>
      <x:c r="G25" s="52" t="n">
        <x:v>0</x:v>
      </x:c>
      <x:c r="H25" s="75" t="inlineStr">
        <x:is>
          <x:t xml:space="preserve"/>
        </x:is>
      </x:c>
      <x:c r="I25" s="80" t="inlineStr">
        <x:is>
          <x:t xml:space="preserve"/>
        </x:is>
      </x:c>
      <x:c r="J25" s="58" t="n">
        <x:v>0</x:v>
      </x:c>
      <x:c r="K25" s="58" t="n">
        <x:v>0</x:v>
      </x:c>
      <x:c r="L25" s="58" t="n">
        <x:v>0</x:v>
      </x:c>
      <x:c r="M25" s="58" t="n">
        <x:v>0</x:v>
      </x:c>
      <x:c r="N25" s="58" t="n">
        <x:v>0</x:v>
      </x:c>
      <x:c r="O25" s="52" t="n">
        <x:v>0</x:v>
      </x:c>
      <x:c r="P25" s="47" t="n">
        <x:f>IF(L25=0,0,G25/L25)</x:f>
        <x:v>0</x:v>
      </x:c>
      <x:c r="Q25" s="47" t="n">
        <x:f>IF(N25=0,0,G25/N25)</x:f>
        <x:v>0</x:v>
      </x:c>
      <x:c r="R25" s="86" t="n">
        <x:f>IF(G25=0,0,O25/G25)</x:f>
        <x:v>0</x:v>
      </x:c>
      <x:c r="S25" s="75" t="inlineStr">
        <x:is>
          <x:t xml:space="preserve"/>
        </x:is>
      </x:c>
      <x:c r="T25" s="75" t="inlineStr">
        <x:is>
          <x:t xml:space="preserve"/>
        </x:is>
      </x:c>
      <x:c r="U25" s="75" t="inlineStr">
        <x:is>
          <x:t xml:space="preserve">Backlog</x:t>
        </x:is>
      </x:c>
      <x:c r="V25" s="75" t="inlineStr">
        <x:is>
          <x:t xml:space="preserve"/>
        </x:is>
      </x:c>
    </x:row>
    <x:row r="26">
      <x:c r="A26" s="30" t="inlineStr">
        <x:is>
          <x:t xml:space="preserve">C22</x:t>
        </x:is>
      </x:c>
      <x:c r="B26" s="76" t="inlineStr">
        <x:is>
          <x:t xml:space="preserve"/>
        </x:is>
      </x:c>
      <x:c r="C26" s="30" t="inlineStr">
        <x:is>
          <x:t xml:space="preserve">TikTok</x:t>
        </x:is>
      </x:c>
      <x:c r="D26" s="76" t="inlineStr">
        <x:is>
          <x:t xml:space="preserve"/>
        </x:is>
      </x:c>
      <x:c r="E26" s="76" t="inlineStr">
        <x:is>
          <x:t xml:space="preserve"/>
        </x:is>
      </x:c>
      <x:c r="F26" s="30" t="inlineStr">
        <x:is>
          <x:t xml:space="preserve">1 useful short video + repost</x:t>
        </x:is>
      </x:c>
      <x:c r="G26" s="52" t="n">
        <x:v>0</x:v>
      </x:c>
      <x:c r="H26" s="76" t="inlineStr">
        <x:is>
          <x:t xml:space="preserve"/>
        </x:is>
      </x:c>
      <x:c r="I26" s="82" t="inlineStr">
        <x:is>
          <x:t xml:space="preserve"/>
        </x:is>
      </x:c>
      <x:c r="J26" s="58" t="n">
        <x:v>0</x:v>
      </x:c>
      <x:c r="K26" s="58" t="n">
        <x:v>0</x:v>
      </x:c>
      <x:c r="L26" s="58" t="n">
        <x:v>0</x:v>
      </x:c>
      <x:c r="M26" s="58" t="n">
        <x:v>0</x:v>
      </x:c>
      <x:c r="N26" s="58" t="n">
        <x:v>0</x:v>
      </x:c>
      <x:c r="O26" s="52" t="n">
        <x:v>0</x:v>
      </x:c>
      <x:c r="P26" s="45" t="n">
        <x:f>IF(L26=0,0,G26/L26)</x:f>
        <x:v>0</x:v>
      </x:c>
      <x:c r="Q26" s="45" t="n">
        <x:f>IF(N26=0,0,G26/N26)</x:f>
        <x:v>0</x:v>
      </x:c>
      <x:c r="R26" s="88" t="n">
        <x:f>IF(G26=0,0,O26/G26)</x:f>
        <x:v>0</x:v>
      </x:c>
      <x:c r="S26" s="76" t="inlineStr">
        <x:is>
          <x:t xml:space="preserve"/>
        </x:is>
      </x:c>
      <x:c r="T26" s="76" t="inlineStr">
        <x:is>
          <x:t xml:space="preserve"/>
        </x:is>
      </x:c>
      <x:c r="U26" s="76" t="inlineStr">
        <x:is>
          <x:t xml:space="preserve">Backlog</x:t>
        </x:is>
      </x:c>
      <x:c r="V26" s="76" t="inlineStr">
        <x:is>
          <x:t xml:space="preserve"/>
        </x:is>
      </x:c>
    </x:row>
    <x:row r="27">
      <x:c r="A27" s="31" t="inlineStr">
        <x:is>
          <x:t xml:space="preserve">C23</x:t>
        </x:is>
      </x:c>
      <x:c r="B27" s="75" t="inlineStr">
        <x:is>
          <x:t xml:space="preserve"/>
        </x:is>
      </x:c>
      <x:c r="C27" s="31" t="inlineStr">
        <x:is>
          <x:t xml:space="preserve">TikTok</x:t>
        </x:is>
      </x:c>
      <x:c r="D27" s="75" t="inlineStr">
        <x:is>
          <x:t xml:space="preserve"/>
        </x:is>
      </x:c>
      <x:c r="E27" s="75" t="inlineStr">
        <x:is>
          <x:t xml:space="preserve"/>
        </x:is>
      </x:c>
      <x:c r="F27" s="31" t="inlineStr">
        <x:is>
          <x:t xml:space="preserve">1 useful short video + repost</x:t>
        </x:is>
      </x:c>
      <x:c r="G27" s="52" t="n">
        <x:v>0</x:v>
      </x:c>
      <x:c r="H27" s="75" t="inlineStr">
        <x:is>
          <x:t xml:space="preserve"/>
        </x:is>
      </x:c>
      <x:c r="I27" s="80" t="inlineStr">
        <x:is>
          <x:t xml:space="preserve"/>
        </x:is>
      </x:c>
      <x:c r="J27" s="58" t="n">
        <x:v>0</x:v>
      </x:c>
      <x:c r="K27" s="58" t="n">
        <x:v>0</x:v>
      </x:c>
      <x:c r="L27" s="58" t="n">
        <x:v>0</x:v>
      </x:c>
      <x:c r="M27" s="58" t="n">
        <x:v>0</x:v>
      </x:c>
      <x:c r="N27" s="58" t="n">
        <x:v>0</x:v>
      </x:c>
      <x:c r="O27" s="52" t="n">
        <x:v>0</x:v>
      </x:c>
      <x:c r="P27" s="47" t="n">
        <x:f>IF(L27=0,0,G27/L27)</x:f>
        <x:v>0</x:v>
      </x:c>
      <x:c r="Q27" s="47" t="n">
        <x:f>IF(N27=0,0,G27/N27)</x:f>
        <x:v>0</x:v>
      </x:c>
      <x:c r="R27" s="86" t="n">
        <x:f>IF(G27=0,0,O27/G27)</x:f>
        <x:v>0</x:v>
      </x:c>
      <x:c r="S27" s="75" t="inlineStr">
        <x:is>
          <x:t xml:space="preserve"/>
        </x:is>
      </x:c>
      <x:c r="T27" s="75" t="inlineStr">
        <x:is>
          <x:t xml:space="preserve"/>
        </x:is>
      </x:c>
      <x:c r="U27" s="75" t="inlineStr">
        <x:is>
          <x:t xml:space="preserve">Backlog</x:t>
        </x:is>
      </x:c>
      <x:c r="V27" s="75" t="inlineStr">
        <x:is>
          <x:t xml:space="preserve"/>
        </x:is>
      </x:c>
    </x:row>
    <x:row r="28">
      <x:c r="A28" s="30" t="inlineStr">
        <x:is>
          <x:t xml:space="preserve">C24</x:t>
        </x:is>
      </x:c>
      <x:c r="B28" s="76" t="inlineStr">
        <x:is>
          <x:t xml:space="preserve"/>
        </x:is>
      </x:c>
      <x:c r="C28" s="30" t="inlineStr">
        <x:is>
          <x:t xml:space="preserve">TikTok</x:t>
        </x:is>
      </x:c>
      <x:c r="D28" s="76" t="inlineStr">
        <x:is>
          <x:t xml:space="preserve"/>
        </x:is>
      </x:c>
      <x:c r="E28" s="76" t="inlineStr">
        <x:is>
          <x:t xml:space="preserve"/>
        </x:is>
      </x:c>
      <x:c r="F28" s="30" t="inlineStr">
        <x:is>
          <x:t xml:space="preserve">1 useful short video + repost</x:t>
        </x:is>
      </x:c>
      <x:c r="G28" s="52" t="n">
        <x:v>0</x:v>
      </x:c>
      <x:c r="H28" s="76" t="inlineStr">
        <x:is>
          <x:t xml:space="preserve"/>
        </x:is>
      </x:c>
      <x:c r="I28" s="82" t="inlineStr">
        <x:is>
          <x:t xml:space="preserve"/>
        </x:is>
      </x:c>
      <x:c r="J28" s="58" t="n">
        <x:v>0</x:v>
      </x:c>
      <x:c r="K28" s="58" t="n">
        <x:v>0</x:v>
      </x:c>
      <x:c r="L28" s="58" t="n">
        <x:v>0</x:v>
      </x:c>
      <x:c r="M28" s="58" t="n">
        <x:v>0</x:v>
      </x:c>
      <x:c r="N28" s="58" t="n">
        <x:v>0</x:v>
      </x:c>
      <x:c r="O28" s="52" t="n">
        <x:v>0</x:v>
      </x:c>
      <x:c r="P28" s="45" t="n">
        <x:f>IF(L28=0,0,G28/L28)</x:f>
        <x:v>0</x:v>
      </x:c>
      <x:c r="Q28" s="45" t="n">
        <x:f>IF(N28=0,0,G28/N28)</x:f>
        <x:v>0</x:v>
      </x:c>
      <x:c r="R28" s="88" t="n">
        <x:f>IF(G28=0,0,O28/G28)</x:f>
        <x:v>0</x:v>
      </x:c>
      <x:c r="S28" s="76" t="inlineStr">
        <x:is>
          <x:t xml:space="preserve"/>
        </x:is>
      </x:c>
      <x:c r="T28" s="76" t="inlineStr">
        <x:is>
          <x:t xml:space="preserve"/>
        </x:is>
      </x:c>
      <x:c r="U28" s="76" t="inlineStr">
        <x:is>
          <x:t xml:space="preserve">Backlog</x:t>
        </x:is>
      </x:c>
      <x:c r="V28" s="76" t="inlineStr">
        <x:is>
          <x:t xml:space="preserve"/>
        </x:is>
      </x:c>
    </x:row>
    <x:row r="29">
      <x:c r="A29" s="31" t="inlineStr">
        <x:is>
          <x:t xml:space="preserve">C25</x:t>
        </x:is>
      </x:c>
      <x:c r="B29" s="75" t="inlineStr">
        <x:is>
          <x:t xml:space="preserve"/>
        </x:is>
      </x:c>
      <x:c r="C29" s="31" t="inlineStr">
        <x:is>
          <x:t xml:space="preserve">TikTok</x:t>
        </x:is>
      </x:c>
      <x:c r="D29" s="75" t="inlineStr">
        <x:is>
          <x:t xml:space="preserve"/>
        </x:is>
      </x:c>
      <x:c r="E29" s="75" t="inlineStr">
        <x:is>
          <x:t xml:space="preserve"/>
        </x:is>
      </x:c>
      <x:c r="F29" s="31" t="inlineStr">
        <x:is>
          <x:t xml:space="preserve">1 useful short video + repost</x:t>
        </x:is>
      </x:c>
      <x:c r="G29" s="52" t="n">
        <x:v>0</x:v>
      </x:c>
      <x:c r="H29" s="75" t="inlineStr">
        <x:is>
          <x:t xml:space="preserve"/>
        </x:is>
      </x:c>
      <x:c r="I29" s="80" t="inlineStr">
        <x:is>
          <x:t xml:space="preserve"/>
        </x:is>
      </x:c>
      <x:c r="J29" s="58" t="n">
        <x:v>0</x:v>
      </x:c>
      <x:c r="K29" s="58" t="n">
        <x:v>0</x:v>
      </x:c>
      <x:c r="L29" s="58" t="n">
        <x:v>0</x:v>
      </x:c>
      <x:c r="M29" s="58" t="n">
        <x:v>0</x:v>
      </x:c>
      <x:c r="N29" s="58" t="n">
        <x:v>0</x:v>
      </x:c>
      <x:c r="O29" s="52" t="n">
        <x:v>0</x:v>
      </x:c>
      <x:c r="P29" s="47" t="n">
        <x:f>IF(L29=0,0,G29/L29)</x:f>
        <x:v>0</x:v>
      </x:c>
      <x:c r="Q29" s="47" t="n">
        <x:f>IF(N29=0,0,G29/N29)</x:f>
        <x:v>0</x:v>
      </x:c>
      <x:c r="R29" s="86" t="n">
        <x:f>IF(G29=0,0,O29/G29)</x:f>
        <x:v>0</x:v>
      </x:c>
      <x:c r="S29" s="75" t="inlineStr">
        <x:is>
          <x:t xml:space="preserve"/>
        </x:is>
      </x:c>
      <x:c r="T29" s="75" t="inlineStr">
        <x:is>
          <x:t xml:space="preserve"/>
        </x:is>
      </x:c>
      <x:c r="U29" s="75" t="inlineStr">
        <x:is>
          <x:t xml:space="preserve">Backlog</x:t>
        </x:is>
      </x:c>
      <x:c r="V29" s="75" t="inlineStr">
        <x:is>
          <x:t xml:space="preserve"/>
        </x:is>
      </x:c>
    </x:row>
    <x:row r="30">
      <x:c r="A30" s="30" t="inlineStr">
        <x:is>
          <x:t xml:space="preserve">C26</x:t>
        </x:is>
      </x:c>
      <x:c r="B30" s="76" t="inlineStr">
        <x:is>
          <x:t xml:space="preserve"/>
        </x:is>
      </x:c>
      <x:c r="C30" s="30" t="inlineStr">
        <x:is>
          <x:t xml:space="preserve">TikTok</x:t>
        </x:is>
      </x:c>
      <x:c r="D30" s="76" t="inlineStr">
        <x:is>
          <x:t xml:space="preserve"/>
        </x:is>
      </x:c>
      <x:c r="E30" s="76" t="inlineStr">
        <x:is>
          <x:t xml:space="preserve"/>
        </x:is>
      </x:c>
      <x:c r="F30" s="30" t="inlineStr">
        <x:is>
          <x:t xml:space="preserve">1 useful short video + repost</x:t>
        </x:is>
      </x:c>
      <x:c r="G30" s="52" t="n">
        <x:v>0</x:v>
      </x:c>
      <x:c r="H30" s="76" t="inlineStr">
        <x:is>
          <x:t xml:space="preserve"/>
        </x:is>
      </x:c>
      <x:c r="I30" s="82" t="inlineStr">
        <x:is>
          <x:t xml:space="preserve"/>
        </x:is>
      </x:c>
      <x:c r="J30" s="58" t="n">
        <x:v>0</x:v>
      </x:c>
      <x:c r="K30" s="58" t="n">
        <x:v>0</x:v>
      </x:c>
      <x:c r="L30" s="58" t="n">
        <x:v>0</x:v>
      </x:c>
      <x:c r="M30" s="58" t="n">
        <x:v>0</x:v>
      </x:c>
      <x:c r="N30" s="58" t="n">
        <x:v>0</x:v>
      </x:c>
      <x:c r="O30" s="52" t="n">
        <x:v>0</x:v>
      </x:c>
      <x:c r="P30" s="45" t="n">
        <x:f>IF(L30=0,0,G30/L30)</x:f>
        <x:v>0</x:v>
      </x:c>
      <x:c r="Q30" s="45" t="n">
        <x:f>IF(N30=0,0,G30/N30)</x:f>
        <x:v>0</x:v>
      </x:c>
      <x:c r="R30" s="88" t="n">
        <x:f>IF(G30=0,0,O30/G30)</x:f>
        <x:v>0</x:v>
      </x:c>
      <x:c r="S30" s="76" t="inlineStr">
        <x:is>
          <x:t xml:space="preserve"/>
        </x:is>
      </x:c>
      <x:c r="T30" s="76" t="inlineStr">
        <x:is>
          <x:t xml:space="preserve"/>
        </x:is>
      </x:c>
      <x:c r="U30" s="76" t="inlineStr">
        <x:is>
          <x:t xml:space="preserve">Backlog</x:t>
        </x:is>
      </x:c>
      <x:c r="V30" s="76" t="inlineStr">
        <x:is>
          <x:t xml:space="preserve"/>
        </x:is>
      </x:c>
    </x:row>
    <x:row r="31">
      <x:c r="A31" s="31" t="inlineStr">
        <x:is>
          <x:t xml:space="preserve">C27</x:t>
        </x:is>
      </x:c>
      <x:c r="B31" s="75" t="inlineStr">
        <x:is>
          <x:t xml:space="preserve"/>
        </x:is>
      </x:c>
      <x:c r="C31" s="31" t="inlineStr">
        <x:is>
          <x:t xml:space="preserve">TikTok</x:t>
        </x:is>
      </x:c>
      <x:c r="D31" s="75" t="inlineStr">
        <x:is>
          <x:t xml:space="preserve"/>
        </x:is>
      </x:c>
      <x:c r="E31" s="75" t="inlineStr">
        <x:is>
          <x:t xml:space="preserve"/>
        </x:is>
      </x:c>
      <x:c r="F31" s="31" t="inlineStr">
        <x:is>
          <x:t xml:space="preserve">1 useful short video + repost</x:t>
        </x:is>
      </x:c>
      <x:c r="G31" s="52" t="n">
        <x:v>0</x:v>
      </x:c>
      <x:c r="H31" s="75" t="inlineStr">
        <x:is>
          <x:t xml:space="preserve"/>
        </x:is>
      </x:c>
      <x:c r="I31" s="80" t="inlineStr">
        <x:is>
          <x:t xml:space="preserve"/>
        </x:is>
      </x:c>
      <x:c r="J31" s="58" t="n">
        <x:v>0</x:v>
      </x:c>
      <x:c r="K31" s="58" t="n">
        <x:v>0</x:v>
      </x:c>
      <x:c r="L31" s="58" t="n">
        <x:v>0</x:v>
      </x:c>
      <x:c r="M31" s="58" t="n">
        <x:v>0</x:v>
      </x:c>
      <x:c r="N31" s="58" t="n">
        <x:v>0</x:v>
      </x:c>
      <x:c r="O31" s="52" t="n">
        <x:v>0</x:v>
      </x:c>
      <x:c r="P31" s="47" t="n">
        <x:f>IF(L31=0,0,G31/L31)</x:f>
        <x:v>0</x:v>
      </x:c>
      <x:c r="Q31" s="47" t="n">
        <x:f>IF(N31=0,0,G31/N31)</x:f>
        <x:v>0</x:v>
      </x:c>
      <x:c r="R31" s="86" t="n">
        <x:f>IF(G31=0,0,O31/G31)</x:f>
        <x:v>0</x:v>
      </x:c>
      <x:c r="S31" s="75" t="inlineStr">
        <x:is>
          <x:t xml:space="preserve"/>
        </x:is>
      </x:c>
      <x:c r="T31" s="75" t="inlineStr">
        <x:is>
          <x:t xml:space="preserve"/>
        </x:is>
      </x:c>
      <x:c r="U31" s="75" t="inlineStr">
        <x:is>
          <x:t xml:space="preserve">Backlog</x:t>
        </x:is>
      </x:c>
      <x:c r="V31" s="75" t="inlineStr">
        <x:is>
          <x:t xml:space="preserve"/>
        </x:is>
      </x:c>
    </x:row>
    <x:row r="32">
      <x:c r="A32" s="30" t="inlineStr">
        <x:is>
          <x:t xml:space="preserve">C28</x:t>
        </x:is>
      </x:c>
      <x:c r="B32" s="76" t="inlineStr">
        <x:is>
          <x:t xml:space="preserve"/>
        </x:is>
      </x:c>
      <x:c r="C32" s="30" t="inlineStr">
        <x:is>
          <x:t xml:space="preserve">TikTok</x:t>
        </x:is>
      </x:c>
      <x:c r="D32" s="76" t="inlineStr">
        <x:is>
          <x:t xml:space="preserve"/>
        </x:is>
      </x:c>
      <x:c r="E32" s="76" t="inlineStr">
        <x:is>
          <x:t xml:space="preserve"/>
        </x:is>
      </x:c>
      <x:c r="F32" s="30" t="inlineStr">
        <x:is>
          <x:t xml:space="preserve">1 useful short video + repost</x:t>
        </x:is>
      </x:c>
      <x:c r="G32" s="52" t="n">
        <x:v>0</x:v>
      </x:c>
      <x:c r="H32" s="76" t="inlineStr">
        <x:is>
          <x:t xml:space="preserve"/>
        </x:is>
      </x:c>
      <x:c r="I32" s="82" t="inlineStr">
        <x:is>
          <x:t xml:space="preserve"/>
        </x:is>
      </x:c>
      <x:c r="J32" s="58" t="n">
        <x:v>0</x:v>
      </x:c>
      <x:c r="K32" s="58" t="n">
        <x:v>0</x:v>
      </x:c>
      <x:c r="L32" s="58" t="n">
        <x:v>0</x:v>
      </x:c>
      <x:c r="M32" s="58" t="n">
        <x:v>0</x:v>
      </x:c>
      <x:c r="N32" s="58" t="n">
        <x:v>0</x:v>
      </x:c>
      <x:c r="O32" s="52" t="n">
        <x:v>0</x:v>
      </x:c>
      <x:c r="P32" s="45" t="n">
        <x:f>IF(L32=0,0,G32/L32)</x:f>
        <x:v>0</x:v>
      </x:c>
      <x:c r="Q32" s="45" t="n">
        <x:f>IF(N32=0,0,G32/N32)</x:f>
        <x:v>0</x:v>
      </x:c>
      <x:c r="R32" s="88" t="n">
        <x:f>IF(G32=0,0,O32/G32)</x:f>
        <x:v>0</x:v>
      </x:c>
      <x:c r="S32" s="76" t="inlineStr">
        <x:is>
          <x:t xml:space="preserve"/>
        </x:is>
      </x:c>
      <x:c r="T32" s="76" t="inlineStr">
        <x:is>
          <x:t xml:space="preserve"/>
        </x:is>
      </x:c>
      <x:c r="U32" s="76" t="inlineStr">
        <x:is>
          <x:t xml:space="preserve">Backlog</x:t>
        </x:is>
      </x:c>
      <x:c r="V32" s="76" t="inlineStr">
        <x:is>
          <x:t xml:space="preserve"/>
        </x:is>
      </x:c>
    </x:row>
    <x:row r="33">
      <x:c r="A33" s="31" t="inlineStr">
        <x:is>
          <x:t xml:space="preserve">C29</x:t>
        </x:is>
      </x:c>
      <x:c r="B33" s="75" t="inlineStr">
        <x:is>
          <x:t xml:space="preserve"/>
        </x:is>
      </x:c>
      <x:c r="C33" s="31" t="inlineStr">
        <x:is>
          <x:t xml:space="preserve">TikTok</x:t>
        </x:is>
      </x:c>
      <x:c r="D33" s="75" t="inlineStr">
        <x:is>
          <x:t xml:space="preserve"/>
        </x:is>
      </x:c>
      <x:c r="E33" s="75" t="inlineStr">
        <x:is>
          <x:t xml:space="preserve"/>
        </x:is>
      </x:c>
      <x:c r="F33" s="31" t="inlineStr">
        <x:is>
          <x:t xml:space="preserve">1 useful short video + repost</x:t>
        </x:is>
      </x:c>
      <x:c r="G33" s="52" t="n">
        <x:v>0</x:v>
      </x:c>
      <x:c r="H33" s="75" t="inlineStr">
        <x:is>
          <x:t xml:space="preserve"/>
        </x:is>
      </x:c>
      <x:c r="I33" s="80" t="inlineStr">
        <x:is>
          <x:t xml:space="preserve"/>
        </x:is>
      </x:c>
      <x:c r="J33" s="58" t="n">
        <x:v>0</x:v>
      </x:c>
      <x:c r="K33" s="58" t="n">
        <x:v>0</x:v>
      </x:c>
      <x:c r="L33" s="58" t="n">
        <x:v>0</x:v>
      </x:c>
      <x:c r="M33" s="58" t="n">
        <x:v>0</x:v>
      </x:c>
      <x:c r="N33" s="58" t="n">
        <x:v>0</x:v>
      </x:c>
      <x:c r="O33" s="52" t="n">
        <x:v>0</x:v>
      </x:c>
      <x:c r="P33" s="47" t="n">
        <x:f>IF(L33=0,0,G33/L33)</x:f>
        <x:v>0</x:v>
      </x:c>
      <x:c r="Q33" s="47" t="n">
        <x:f>IF(N33=0,0,G33/N33)</x:f>
        <x:v>0</x:v>
      </x:c>
      <x:c r="R33" s="86" t="n">
        <x:f>IF(G33=0,0,O33/G33)</x:f>
        <x:v>0</x:v>
      </x:c>
      <x:c r="S33" s="75" t="inlineStr">
        <x:is>
          <x:t xml:space="preserve"/>
        </x:is>
      </x:c>
      <x:c r="T33" s="75" t="inlineStr">
        <x:is>
          <x:t xml:space="preserve"/>
        </x:is>
      </x:c>
      <x:c r="U33" s="75" t="inlineStr">
        <x:is>
          <x:t xml:space="preserve">Backlog</x:t>
        </x:is>
      </x:c>
      <x:c r="V33" s="75" t="inlineStr">
        <x:is>
          <x:t xml:space="preserve"/>
        </x:is>
      </x:c>
    </x:row>
    <x:row r="34">
      <x:c r="A34" s="30" t="inlineStr">
        <x:is>
          <x:t xml:space="preserve">C30</x:t>
        </x:is>
      </x:c>
      <x:c r="B34" s="76" t="inlineStr">
        <x:is>
          <x:t xml:space="preserve"/>
        </x:is>
      </x:c>
      <x:c r="C34" s="30" t="inlineStr">
        <x:is>
          <x:t xml:space="preserve">TikTok</x:t>
        </x:is>
      </x:c>
      <x:c r="D34" s="76" t="inlineStr">
        <x:is>
          <x:t xml:space="preserve"/>
        </x:is>
      </x:c>
      <x:c r="E34" s="76" t="inlineStr">
        <x:is>
          <x:t xml:space="preserve"/>
        </x:is>
      </x:c>
      <x:c r="F34" s="30" t="inlineStr">
        <x:is>
          <x:t xml:space="preserve">1 useful short video + repost</x:t>
        </x:is>
      </x:c>
      <x:c r="G34" s="52" t="n">
        <x:v>0</x:v>
      </x:c>
      <x:c r="H34" s="76" t="inlineStr">
        <x:is>
          <x:t xml:space="preserve"/>
        </x:is>
      </x:c>
      <x:c r="I34" s="82" t="inlineStr">
        <x:is>
          <x:t xml:space="preserve"/>
        </x:is>
      </x:c>
      <x:c r="J34" s="58" t="n">
        <x:v>0</x:v>
      </x:c>
      <x:c r="K34" s="58" t="n">
        <x:v>0</x:v>
      </x:c>
      <x:c r="L34" s="58" t="n">
        <x:v>0</x:v>
      </x:c>
      <x:c r="M34" s="58" t="n">
        <x:v>0</x:v>
      </x:c>
      <x:c r="N34" s="58" t="n">
        <x:v>0</x:v>
      </x:c>
      <x:c r="O34" s="52" t="n">
        <x:v>0</x:v>
      </x:c>
      <x:c r="P34" s="45" t="n">
        <x:f>IF(L34=0,0,G34/L34)</x:f>
        <x:v>0</x:v>
      </x:c>
      <x:c r="Q34" s="45" t="n">
        <x:f>IF(N34=0,0,G34/N34)</x:f>
        <x:v>0</x:v>
      </x:c>
      <x:c r="R34" s="88" t="n">
        <x:f>IF(G34=0,0,O34/G34)</x:f>
        <x:v>0</x:v>
      </x:c>
      <x:c r="S34" s="76" t="inlineStr">
        <x:is>
          <x:t xml:space="preserve"/>
        </x:is>
      </x:c>
      <x:c r="T34" s="76" t="inlineStr">
        <x:is>
          <x:t xml:space="preserve"/>
        </x:is>
      </x:c>
      <x:c r="U34" s="76" t="inlineStr">
        <x:is>
          <x:t xml:space="preserve">Backlog</x:t>
        </x:is>
      </x:c>
      <x:c r="V34" s="76" t="inlineStr">
        <x:is>
          <x:t xml:space="preserve"/>
        </x:is>
      </x:c>
    </x:row>
  </x:sheetData>
  <x:mergeCells>
    <x:mergeCell ref="A2:V2"/>
    <x:mergeCell ref="A1:V1"/>
  </x:mergeCells>
  <x:dataValidations count="3">
    <x:dataValidation type="list" allowBlank="1" showDropDown="0" showInputMessage="0" showErrorMessage="0" errorTitle="Invalid value" error="Choose a value from the dropdown." sqref="C5:C34">
      <x:formula1>"TikTok,Instagram,YouTube,Facebook,Other"</x:formula1>
    </x:dataValidation>
    <x:dataValidation type="list" allowBlank="1" showDropDown="0" showInputMessage="0" showErrorMessage="0" errorTitle="Invalid value" error="Choose a value from the dropdown." sqref="T5:T34">
      <x:formula1>"Do Not Use,Wait,Repeat,Scale Carefully"</x:formula1>
    </x:dataValidation>
    <x:dataValidation type="list" allowBlank="1" showDropDown="0" showInputMessage="0" showErrorMessage="0" errorTitle="Invalid value" error="Choose a value from the dropdown." sqref="U5:U34">
      <x:formula1>"Backlog,Contacted,Negotiating,Approved,Posted,Measured,Closed"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1b36229242460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5" customWidth="1"/>
    <x:col min="3" max="3" width="18" customWidth="1"/>
    <x:col min="4" max="4" width="22" customWidth="1"/>
    <x:col min="5" max="5" width="22" customWidth="1"/>
    <x:col min="6" max="6" width="24" customWidth="1"/>
    <x:col min="7" max="7" width="18" customWidth="1"/>
    <x:col min="8" max="8" width="34" customWidth="1"/>
    <x:col min="9" max="9" width="34" customWidth="1"/>
    <x:col min="10" max="10" width="34" customWidth="1"/>
    <x:col min="11" max="11" width="14" customWidth="1"/>
    <x:col min="12" max="12" width="14" customWidth="1"/>
    <x:col min="13" max="13" width="18" customWidth="1"/>
    <x:col min="14" max="14" width="24" customWidth="1"/>
    <x:col min="15" max="15" width="16" customWidth="1"/>
    <x:col min="16" max="16" width="18" customWidth="1"/>
    <x:col min="17" max="17" width="36" customWidth="1"/>
    <x:col min="18" max="18" width="17" customWidth="1"/>
    <x:col min="19" max="19" width="19" customWidth="1"/>
  </x:cols>
  <x:sheetData>
    <x:row r="1" ht="30" customHeight="1">
      <x:c r="A1" s="1" t="n"/>
      <x:c r="B1" s="1" t="inlineStr">
        <x:is>
          <x:t xml:space="preserve">User Research CRM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2" ht="34" customHeight="1">
      <x:c r="A2" s="2" t="n"/>
      <x:c r="B2" s="2" t="inlineStr">
        <x:is>
          <x:t xml:space="preserve">Talk to users every week. This is cheaper and more useful than guessing with ads.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/>
    <x:row r="4" ht="32" customHeight="1">
      <x:c r="A4" s="10" t="inlineStr">
        <x:is>
          <x:t xml:space="preserve">User ID</x:t>
        </x:is>
      </x:c>
      <x:c r="B4" s="10" t="inlineStr">
        <x:is>
          <x:t xml:space="preserve">Date</x:t>
        </x:is>
      </x:c>
      <x:c r="C4" s="10" t="inlineStr">
        <x:is>
          <x:t xml:space="preserve">Segment</x:t>
        </x:is>
      </x:c>
      <x:c r="D4" s="10" t="inlineStr">
        <x:is>
          <x:t xml:space="preserve">Name/Code</x:t>
        </x:is>
      </x:c>
      <x:c r="E4" s="10" t="inlineStr">
        <x:is>
          <x:t xml:space="preserve">Contact</x:t>
        </x:is>
      </x:c>
      <x:c r="F4" s="10" t="inlineStr">
        <x:is>
          <x:t xml:space="preserve">Usual Route</x:t>
        </x:is>
      </x:c>
      <x:c r="G4" s="10" t="inlineStr">
        <x:is>
          <x:t xml:space="preserve">Device</x:t>
        </x:is>
      </x:c>
      <x:c r="H4" s="10" t="inlineStr">
        <x:is>
          <x:t xml:space="preserve">Problem Quote</x:t>
        </x:is>
      </x:c>
      <x:c r="I4" s="10" t="inlineStr">
        <x:is>
          <x:t xml:space="preserve">Trust Objection</x:t>
        </x:is>
      </x:c>
      <x:c r="J4" s="10" t="inlineStr">
        <x:is>
          <x:t xml:space="preserve">Feature Request</x:t>
        </x:is>
      </x:c>
      <x:c r="K4" s="10" t="inlineStr">
        <x:is>
          <x:t xml:space="preserve">Installed?</x:t>
        </x:is>
      </x:c>
      <x:c r="L4" s="10" t="inlineStr">
        <x:is>
          <x:t xml:space="preserve">Activated?</x:t>
        </x:is>
      </x:c>
      <x:c r="M4" s="10" t="inlineStr">
        <x:is>
          <x:t xml:space="preserve">Follow-up Date</x:t>
        </x:is>
      </x:c>
      <x:c r="N4" s="10" t="inlineStr">
        <x:is>
          <x:t xml:space="preserve">Notes</x:t>
        </x:is>
      </x:c>
      <x:c r="O4" s="10" t="inlineStr">
        <x:is>
          <x:t xml:space="preserve">Paid Subscriber?</x:t>
        </x:is>
      </x:c>
      <x:c r="P4" s="10" t="inlineStr">
        <x:is>
          <x:t xml:space="preserve">Subscription State</x:t>
        </x:is>
      </x:c>
      <x:c r="Q4" s="10" t="inlineStr">
        <x:is>
          <x:t xml:space="preserve">Reason to Pay / Not Pay</x:t>
        </x:is>
      </x:c>
      <x:c r="R4" s="10" t="inlineStr">
        <x:is>
          <x:t xml:space="preserve">Cancellation Risk</x:t>
        </x:is>
      </x:c>
      <x:c r="S4" s="10" t="inlineStr">
        <x:is>
          <x:t xml:space="preserve">Permission to Quote?</x:t>
        </x:is>
      </x:c>
    </x:row>
    <x:row r="5" ht="44" customHeight="1">
      <x:c r="A5" s="7" t="inlineStr">
        <x:is>
          <x:t xml:space="preserve">U001</x:t>
        </x:is>
      </x:c>
      <x:c r="B5" s="21" t="inlineStr">
        <x:is>
          <x:t xml:space="preserve"/>
        </x:is>
      </x:c>
      <x:c r="C5" s="21" t="inlineStr">
        <x:is>
          <x:t xml:space="preserve"/>
        </x:is>
      </x:c>
      <x:c r="D5" s="21" t="inlineStr">
        <x:is>
          <x:t xml:space="preserve"/>
        </x:is>
      </x:c>
      <x:c r="E5" s="21" t="inlineStr">
        <x:is>
          <x:t xml:space="preserve"/>
        </x:is>
      </x:c>
      <x:c r="F5" s="21" t="inlineStr">
        <x:is>
          <x:t xml:space="preserve"/>
        </x:is>
      </x:c>
      <x:c r="G5" s="21" t="inlineStr">
        <x:is>
          <x:t xml:space="preserve"/>
        </x:is>
      </x:c>
      <x:c r="H5" s="21" t="inlineStr">
        <x:is>
          <x:t xml:space="preserve"/>
        </x:is>
      </x:c>
      <x:c r="I5" s="21" t="inlineStr">
        <x:is>
          <x:t xml:space="preserve"/>
        </x:is>
      </x:c>
      <x:c r="J5" s="21" t="inlineStr">
        <x:is>
          <x:t xml:space="preserve"/>
        </x:is>
      </x:c>
      <x:c r="K5" s="21" t="inlineStr">
        <x:is>
          <x:t xml:space="preserve">No</x:t>
        </x:is>
      </x:c>
      <x:c r="L5" s="21" t="inlineStr">
        <x:is>
          <x:t xml:space="preserve">No</x:t>
        </x:is>
      </x:c>
      <x:c r="M5" s="21" t="inlineStr">
        <x:is>
          <x:t xml:space="preserve"/>
        </x:is>
      </x:c>
      <x:c r="N5" s="21" t="inlineStr">
        <x:is>
          <x:t xml:space="preserve"/>
        </x:is>
      </x:c>
      <x:c r="O5" s="21" t="inlineStr">
        <x:is>
          <x:t xml:space="preserve">No</x:t>
        </x:is>
      </x:c>
      <x:c r="P5" s="21" t="inlineStr">
        <x:is>
          <x:t xml:space="preserve">Unknown</x:t>
        </x:is>
      </x:c>
      <x:c r="Q5" s="21" t="inlineStr">
        <x:is>
          <x:t xml:space="preserve"/>
        </x:is>
      </x:c>
      <x:c r="R5" s="21" t="inlineStr">
        <x:is>
          <x:t xml:space="preserve">Unknown</x:t>
        </x:is>
      </x:c>
      <x:c r="S5" s="21" t="inlineStr">
        <x:is>
          <x:t xml:space="preserve">No</x:t>
        </x:is>
      </x:c>
    </x:row>
    <x:row r="6" ht="44" customHeight="1">
      <x:c r="A6" s="5" t="inlineStr">
        <x:is>
          <x:t xml:space="preserve">U002</x:t>
        </x:is>
      </x:c>
      <x:c r="B6" s="21" t="inlineStr">
        <x:is>
          <x:t xml:space="preserve"/>
        </x:is>
      </x:c>
      <x:c r="C6" s="21" t="inlineStr">
        <x:is>
          <x:t xml:space="preserve"/>
        </x:is>
      </x:c>
      <x:c r="D6" s="21" t="inlineStr">
        <x:is>
          <x:t xml:space="preserve"/>
        </x:is>
      </x:c>
      <x:c r="E6" s="21" t="inlineStr">
        <x:is>
          <x:t xml:space="preserve"/>
        </x:is>
      </x:c>
      <x:c r="F6" s="21" t="inlineStr">
        <x:is>
          <x:t xml:space="preserve"/>
        </x:is>
      </x:c>
      <x:c r="G6" s="21" t="inlineStr">
        <x:is>
          <x:t xml:space="preserve"/>
        </x:is>
      </x:c>
      <x:c r="H6" s="21" t="inlineStr">
        <x:is>
          <x:t xml:space="preserve"/>
        </x:is>
      </x:c>
      <x:c r="I6" s="21" t="inlineStr">
        <x:is>
          <x:t xml:space="preserve"/>
        </x:is>
      </x:c>
      <x:c r="J6" s="21" t="inlineStr">
        <x:is>
          <x:t xml:space="preserve"/>
        </x:is>
      </x:c>
      <x:c r="K6" s="21" t="inlineStr">
        <x:is>
          <x:t xml:space="preserve">No</x:t>
        </x:is>
      </x:c>
      <x:c r="L6" s="21" t="inlineStr">
        <x:is>
          <x:t xml:space="preserve">No</x:t>
        </x:is>
      </x:c>
      <x:c r="M6" s="21" t="inlineStr">
        <x:is>
          <x:t xml:space="preserve"/>
        </x:is>
      </x:c>
      <x:c r="N6" s="21" t="inlineStr">
        <x:is>
          <x:t xml:space="preserve"/>
        </x:is>
      </x:c>
      <x:c r="O6" s="21" t="inlineStr">
        <x:is>
          <x:t xml:space="preserve">No</x:t>
        </x:is>
      </x:c>
      <x:c r="P6" s="21" t="inlineStr">
        <x:is>
          <x:t xml:space="preserve">Unknown</x:t>
        </x:is>
      </x:c>
      <x:c r="Q6" s="21" t="inlineStr">
        <x:is>
          <x:t xml:space="preserve"/>
        </x:is>
      </x:c>
      <x:c r="R6" s="21" t="inlineStr">
        <x:is>
          <x:t xml:space="preserve">Unknown</x:t>
        </x:is>
      </x:c>
      <x:c r="S6" s="21" t="inlineStr">
        <x:is>
          <x:t xml:space="preserve">No</x:t>
        </x:is>
      </x:c>
    </x:row>
    <x:row r="7" ht="44" customHeight="1">
      <x:c r="A7" s="7" t="inlineStr">
        <x:is>
          <x:t xml:space="preserve">U003</x:t>
        </x:is>
      </x:c>
      <x:c r="B7" s="21" t="inlineStr">
        <x:is>
          <x:t xml:space="preserve"/>
        </x:is>
      </x:c>
      <x:c r="C7" s="21" t="inlineStr">
        <x:is>
          <x:t xml:space="preserve"/>
        </x:is>
      </x:c>
      <x:c r="D7" s="21" t="inlineStr">
        <x:is>
          <x:t xml:space="preserve"/>
        </x:is>
      </x:c>
      <x:c r="E7" s="21" t="inlineStr">
        <x:is>
          <x:t xml:space="preserve"/>
        </x:is>
      </x:c>
      <x:c r="F7" s="21" t="inlineStr">
        <x:is>
          <x:t xml:space="preserve"/>
        </x:is>
      </x:c>
      <x:c r="G7" s="21" t="inlineStr">
        <x:is>
          <x:t xml:space="preserve"/>
        </x:is>
      </x:c>
      <x:c r="H7" s="21" t="inlineStr">
        <x:is>
          <x:t xml:space="preserve"/>
        </x:is>
      </x:c>
      <x:c r="I7" s="21" t="inlineStr">
        <x:is>
          <x:t xml:space="preserve"/>
        </x:is>
      </x:c>
      <x:c r="J7" s="21" t="inlineStr">
        <x:is>
          <x:t xml:space="preserve"/>
        </x:is>
      </x:c>
      <x:c r="K7" s="21" t="inlineStr">
        <x:is>
          <x:t xml:space="preserve">No</x:t>
        </x:is>
      </x:c>
      <x:c r="L7" s="21" t="inlineStr">
        <x:is>
          <x:t xml:space="preserve">No</x:t>
        </x:is>
      </x:c>
      <x:c r="M7" s="21" t="inlineStr">
        <x:is>
          <x:t xml:space="preserve"/>
        </x:is>
      </x:c>
      <x:c r="N7" s="21" t="inlineStr">
        <x:is>
          <x:t xml:space="preserve"/>
        </x:is>
      </x:c>
      <x:c r="O7" s="21" t="inlineStr">
        <x:is>
          <x:t xml:space="preserve">No</x:t>
        </x:is>
      </x:c>
      <x:c r="P7" s="21" t="inlineStr">
        <x:is>
          <x:t xml:space="preserve">Unknown</x:t>
        </x:is>
      </x:c>
      <x:c r="Q7" s="21" t="inlineStr">
        <x:is>
          <x:t xml:space="preserve"/>
        </x:is>
      </x:c>
      <x:c r="R7" s="21" t="inlineStr">
        <x:is>
          <x:t xml:space="preserve">Unknown</x:t>
        </x:is>
      </x:c>
      <x:c r="S7" s="21" t="inlineStr">
        <x:is>
          <x:t xml:space="preserve">No</x:t>
        </x:is>
      </x:c>
    </x:row>
    <x:row r="8" ht="44" customHeight="1">
      <x:c r="A8" s="5" t="inlineStr">
        <x:is>
          <x:t xml:space="preserve">U004</x:t>
        </x:is>
      </x:c>
      <x:c r="B8" s="21" t="inlineStr">
        <x:is>
          <x:t xml:space="preserve"/>
        </x:is>
      </x:c>
      <x:c r="C8" s="21" t="inlineStr">
        <x:is>
          <x:t xml:space="preserve"/>
        </x:is>
      </x:c>
      <x:c r="D8" s="21" t="inlineStr">
        <x:is>
          <x:t xml:space="preserve"/>
        </x:is>
      </x:c>
      <x:c r="E8" s="21" t="inlineStr">
        <x:is>
          <x:t xml:space="preserve"/>
        </x:is>
      </x:c>
      <x:c r="F8" s="21" t="inlineStr">
        <x:is>
          <x:t xml:space="preserve"/>
        </x:is>
      </x:c>
      <x:c r="G8" s="21" t="inlineStr">
        <x:is>
          <x:t xml:space="preserve"/>
        </x:is>
      </x:c>
      <x:c r="H8" s="21" t="inlineStr">
        <x:is>
          <x:t xml:space="preserve"/>
        </x:is>
      </x:c>
      <x:c r="I8" s="21" t="inlineStr">
        <x:is>
          <x:t xml:space="preserve"/>
        </x:is>
      </x:c>
      <x:c r="J8" s="21" t="inlineStr">
        <x:is>
          <x:t xml:space="preserve"/>
        </x:is>
      </x:c>
      <x:c r="K8" s="21" t="inlineStr">
        <x:is>
          <x:t xml:space="preserve">No</x:t>
        </x:is>
      </x:c>
      <x:c r="L8" s="21" t="inlineStr">
        <x:is>
          <x:t xml:space="preserve">No</x:t>
        </x:is>
      </x:c>
      <x:c r="M8" s="21" t="inlineStr">
        <x:is>
          <x:t xml:space="preserve"/>
        </x:is>
      </x:c>
      <x:c r="N8" s="21" t="inlineStr">
        <x:is>
          <x:t xml:space="preserve"/>
        </x:is>
      </x:c>
      <x:c r="O8" s="21" t="inlineStr">
        <x:is>
          <x:t xml:space="preserve">No</x:t>
        </x:is>
      </x:c>
      <x:c r="P8" s="21" t="inlineStr">
        <x:is>
          <x:t xml:space="preserve">Unknown</x:t>
        </x:is>
      </x:c>
      <x:c r="Q8" s="21" t="inlineStr">
        <x:is>
          <x:t xml:space="preserve"/>
        </x:is>
      </x:c>
      <x:c r="R8" s="21" t="inlineStr">
        <x:is>
          <x:t xml:space="preserve">Unknown</x:t>
        </x:is>
      </x:c>
      <x:c r="S8" s="21" t="inlineStr">
        <x:is>
          <x:t xml:space="preserve">No</x:t>
        </x:is>
      </x:c>
    </x:row>
    <x:row r="9" ht="44" customHeight="1">
      <x:c r="A9" s="7" t="inlineStr">
        <x:is>
          <x:t xml:space="preserve">U005</x:t>
        </x:is>
      </x:c>
      <x:c r="B9" s="21" t="inlineStr">
        <x:is>
          <x:t xml:space="preserve"/>
        </x:is>
      </x:c>
      <x:c r="C9" s="21" t="inlineStr">
        <x:is>
          <x:t xml:space="preserve"/>
        </x:is>
      </x:c>
      <x:c r="D9" s="21" t="inlineStr">
        <x:is>
          <x:t xml:space="preserve"/>
        </x:is>
      </x:c>
      <x:c r="E9" s="21" t="inlineStr">
        <x:is>
          <x:t xml:space="preserve"/>
        </x:is>
      </x:c>
      <x:c r="F9" s="21" t="inlineStr">
        <x:is>
          <x:t xml:space="preserve"/>
        </x:is>
      </x:c>
      <x:c r="G9" s="21" t="inlineStr">
        <x:is>
          <x:t xml:space="preserve"/>
        </x:is>
      </x:c>
      <x:c r="H9" s="21" t="inlineStr">
        <x:is>
          <x:t xml:space="preserve"/>
        </x:is>
      </x:c>
      <x:c r="I9" s="21" t="inlineStr">
        <x:is>
          <x:t xml:space="preserve"/>
        </x:is>
      </x:c>
      <x:c r="J9" s="21" t="inlineStr">
        <x:is>
          <x:t xml:space="preserve"/>
        </x:is>
      </x:c>
      <x:c r="K9" s="21" t="inlineStr">
        <x:is>
          <x:t xml:space="preserve">No</x:t>
        </x:is>
      </x:c>
      <x:c r="L9" s="21" t="inlineStr">
        <x:is>
          <x:t xml:space="preserve">No</x:t>
        </x:is>
      </x:c>
      <x:c r="M9" s="21" t="inlineStr">
        <x:is>
          <x:t xml:space="preserve"/>
        </x:is>
      </x:c>
      <x:c r="N9" s="21" t="inlineStr">
        <x:is>
          <x:t xml:space="preserve"/>
        </x:is>
      </x:c>
      <x:c r="O9" s="21" t="inlineStr">
        <x:is>
          <x:t xml:space="preserve">No</x:t>
        </x:is>
      </x:c>
      <x:c r="P9" s="21" t="inlineStr">
        <x:is>
          <x:t xml:space="preserve">Unknown</x:t>
        </x:is>
      </x:c>
      <x:c r="Q9" s="21" t="inlineStr">
        <x:is>
          <x:t xml:space="preserve"/>
        </x:is>
      </x:c>
      <x:c r="R9" s="21" t="inlineStr">
        <x:is>
          <x:t xml:space="preserve">Unknown</x:t>
        </x:is>
      </x:c>
      <x:c r="S9" s="21" t="inlineStr">
        <x:is>
          <x:t xml:space="preserve">No</x:t>
        </x:is>
      </x:c>
    </x:row>
    <x:row r="10" ht="44" customHeight="1">
      <x:c r="A10" s="5" t="inlineStr">
        <x:is>
          <x:t xml:space="preserve">U006</x:t>
        </x:is>
      </x:c>
      <x:c r="B10" s="21" t="inlineStr">
        <x:is>
          <x:t xml:space="preserve"/>
        </x:is>
      </x:c>
      <x:c r="C10" s="21" t="inlineStr">
        <x:is>
          <x:t xml:space="preserve"/>
        </x:is>
      </x:c>
      <x:c r="D10" s="21" t="inlineStr">
        <x:is>
          <x:t xml:space="preserve"/>
        </x:is>
      </x:c>
      <x:c r="E10" s="21" t="inlineStr">
        <x:is>
          <x:t xml:space="preserve"/>
        </x:is>
      </x:c>
      <x:c r="F10" s="21" t="inlineStr">
        <x:is>
          <x:t xml:space="preserve"/>
        </x:is>
      </x:c>
      <x:c r="G10" s="21" t="inlineStr">
        <x:is>
          <x:t xml:space="preserve"/>
        </x:is>
      </x:c>
      <x:c r="H10" s="21" t="inlineStr">
        <x:is>
          <x:t xml:space="preserve"/>
        </x:is>
      </x:c>
      <x:c r="I10" s="21" t="inlineStr">
        <x:is>
          <x:t xml:space="preserve"/>
        </x:is>
      </x:c>
      <x:c r="J10" s="21" t="inlineStr">
        <x:is>
          <x:t xml:space="preserve"/>
        </x:is>
      </x:c>
      <x:c r="K10" s="21" t="inlineStr">
        <x:is>
          <x:t xml:space="preserve">No</x:t>
        </x:is>
      </x:c>
      <x:c r="L10" s="21" t="inlineStr">
        <x:is>
          <x:t xml:space="preserve">No</x:t>
        </x:is>
      </x:c>
      <x:c r="M10" s="21" t="inlineStr">
        <x:is>
          <x:t xml:space="preserve"/>
        </x:is>
      </x:c>
      <x:c r="N10" s="21" t="inlineStr">
        <x:is>
          <x:t xml:space="preserve"/>
        </x:is>
      </x:c>
      <x:c r="O10" s="21" t="inlineStr">
        <x:is>
          <x:t xml:space="preserve">No</x:t>
        </x:is>
      </x:c>
      <x:c r="P10" s="21" t="inlineStr">
        <x:is>
          <x:t xml:space="preserve">Unknown</x:t>
        </x:is>
      </x:c>
      <x:c r="Q10" s="21" t="inlineStr">
        <x:is>
          <x:t xml:space="preserve"/>
        </x:is>
      </x:c>
      <x:c r="R10" s="21" t="inlineStr">
        <x:is>
          <x:t xml:space="preserve">Unknown</x:t>
        </x:is>
      </x:c>
      <x:c r="S10" s="21" t="inlineStr">
        <x:is>
          <x:t xml:space="preserve">No</x:t>
        </x:is>
      </x:c>
    </x:row>
    <x:row r="11" ht="44" customHeight="1">
      <x:c r="A11" s="7" t="inlineStr">
        <x:is>
          <x:t xml:space="preserve">U007</x:t>
        </x:is>
      </x:c>
      <x:c r="B11" s="21" t="inlineStr">
        <x:is>
          <x:t xml:space="preserve"/>
        </x:is>
      </x:c>
      <x:c r="C11" s="21" t="inlineStr">
        <x:is>
          <x:t xml:space="preserve"/>
        </x:is>
      </x:c>
      <x:c r="D11" s="21" t="inlineStr">
        <x:is>
          <x:t xml:space="preserve"/>
        </x:is>
      </x:c>
      <x:c r="E11" s="21" t="inlineStr">
        <x:is>
          <x:t xml:space="preserve"/>
        </x:is>
      </x:c>
      <x:c r="F11" s="21" t="inlineStr">
        <x:is>
          <x:t xml:space="preserve"/>
        </x:is>
      </x:c>
      <x:c r="G11" s="21" t="inlineStr">
        <x:is>
          <x:t xml:space="preserve"/>
        </x:is>
      </x:c>
      <x:c r="H11" s="21" t="inlineStr">
        <x:is>
          <x:t xml:space="preserve"/>
        </x:is>
      </x:c>
      <x:c r="I11" s="21" t="inlineStr">
        <x:is>
          <x:t xml:space="preserve"/>
        </x:is>
      </x:c>
      <x:c r="J11" s="21" t="inlineStr">
        <x:is>
          <x:t xml:space="preserve"/>
        </x:is>
      </x:c>
      <x:c r="K11" s="21" t="inlineStr">
        <x:is>
          <x:t xml:space="preserve">No</x:t>
        </x:is>
      </x:c>
      <x:c r="L11" s="21" t="inlineStr">
        <x:is>
          <x:t xml:space="preserve">No</x:t>
        </x:is>
      </x:c>
      <x:c r="M11" s="21" t="inlineStr">
        <x:is>
          <x:t xml:space="preserve"/>
        </x:is>
      </x:c>
      <x:c r="N11" s="21" t="inlineStr">
        <x:is>
          <x:t xml:space="preserve"/>
        </x:is>
      </x:c>
      <x:c r="O11" s="21" t="inlineStr">
        <x:is>
          <x:t xml:space="preserve">No</x:t>
        </x:is>
      </x:c>
      <x:c r="P11" s="21" t="inlineStr">
        <x:is>
          <x:t xml:space="preserve">Unknown</x:t>
        </x:is>
      </x:c>
      <x:c r="Q11" s="21" t="inlineStr">
        <x:is>
          <x:t xml:space="preserve"/>
        </x:is>
      </x:c>
      <x:c r="R11" s="21" t="inlineStr">
        <x:is>
          <x:t xml:space="preserve">Unknown</x:t>
        </x:is>
      </x:c>
      <x:c r="S11" s="21" t="inlineStr">
        <x:is>
          <x:t xml:space="preserve">No</x:t>
        </x:is>
      </x:c>
    </x:row>
    <x:row r="12" ht="44" customHeight="1">
      <x:c r="A12" s="5" t="inlineStr">
        <x:is>
          <x:t xml:space="preserve">U008</x:t>
        </x:is>
      </x:c>
      <x:c r="B12" s="21" t="inlineStr">
        <x:is>
          <x:t xml:space="preserve"/>
        </x:is>
      </x:c>
      <x:c r="C12" s="21" t="inlineStr">
        <x:is>
          <x:t xml:space="preserve"/>
        </x:is>
      </x:c>
      <x:c r="D12" s="21" t="inlineStr">
        <x:is>
          <x:t xml:space="preserve"/>
        </x:is>
      </x:c>
      <x:c r="E12" s="21" t="inlineStr">
        <x:is>
          <x:t xml:space="preserve"/>
        </x:is>
      </x:c>
      <x:c r="F12" s="21" t="inlineStr">
        <x:is>
          <x:t xml:space="preserve"/>
        </x:is>
      </x:c>
      <x:c r="G12" s="21" t="inlineStr">
        <x:is>
          <x:t xml:space="preserve"/>
        </x:is>
      </x:c>
      <x:c r="H12" s="21" t="inlineStr">
        <x:is>
          <x:t xml:space="preserve"/>
        </x:is>
      </x:c>
      <x:c r="I12" s="21" t="inlineStr">
        <x:is>
          <x:t xml:space="preserve"/>
        </x:is>
      </x:c>
      <x:c r="J12" s="21" t="inlineStr">
        <x:is>
          <x:t xml:space="preserve"/>
        </x:is>
      </x:c>
      <x:c r="K12" s="21" t="inlineStr">
        <x:is>
          <x:t xml:space="preserve">No</x:t>
        </x:is>
      </x:c>
      <x:c r="L12" s="21" t="inlineStr">
        <x:is>
          <x:t xml:space="preserve">No</x:t>
        </x:is>
      </x:c>
      <x:c r="M12" s="21" t="inlineStr">
        <x:is>
          <x:t xml:space="preserve"/>
        </x:is>
      </x:c>
      <x:c r="N12" s="21" t="inlineStr">
        <x:is>
          <x:t xml:space="preserve"/>
        </x:is>
      </x:c>
      <x:c r="O12" s="21" t="inlineStr">
        <x:is>
          <x:t xml:space="preserve">No</x:t>
        </x:is>
      </x:c>
      <x:c r="P12" s="21" t="inlineStr">
        <x:is>
          <x:t xml:space="preserve">Unknown</x:t>
        </x:is>
      </x:c>
      <x:c r="Q12" s="21" t="inlineStr">
        <x:is>
          <x:t xml:space="preserve"/>
        </x:is>
      </x:c>
      <x:c r="R12" s="21" t="inlineStr">
        <x:is>
          <x:t xml:space="preserve">Unknown</x:t>
        </x:is>
      </x:c>
      <x:c r="S12" s="21" t="inlineStr">
        <x:is>
          <x:t xml:space="preserve">No</x:t>
        </x:is>
      </x:c>
    </x:row>
    <x:row r="13" ht="44" customHeight="1">
      <x:c r="A13" s="7" t="inlineStr">
        <x:is>
          <x:t xml:space="preserve">U009</x:t>
        </x:is>
      </x:c>
      <x:c r="B13" s="21" t="inlineStr">
        <x:is>
          <x:t xml:space="preserve"/>
        </x:is>
      </x:c>
      <x:c r="C13" s="21" t="inlineStr">
        <x:is>
          <x:t xml:space="preserve"/>
        </x:is>
      </x:c>
      <x:c r="D13" s="21" t="inlineStr">
        <x:is>
          <x:t xml:space="preserve"/>
        </x:is>
      </x:c>
      <x:c r="E13" s="21" t="inlineStr">
        <x:is>
          <x:t xml:space="preserve"/>
        </x:is>
      </x:c>
      <x:c r="F13" s="21" t="inlineStr">
        <x:is>
          <x:t xml:space="preserve"/>
        </x:is>
      </x:c>
      <x:c r="G13" s="21" t="inlineStr">
        <x:is>
          <x:t xml:space="preserve"/>
        </x:is>
      </x:c>
      <x:c r="H13" s="21" t="inlineStr">
        <x:is>
          <x:t xml:space="preserve"/>
        </x:is>
      </x:c>
      <x:c r="I13" s="21" t="inlineStr">
        <x:is>
          <x:t xml:space="preserve"/>
        </x:is>
      </x:c>
      <x:c r="J13" s="21" t="inlineStr">
        <x:is>
          <x:t xml:space="preserve"/>
        </x:is>
      </x:c>
      <x:c r="K13" s="21" t="inlineStr">
        <x:is>
          <x:t xml:space="preserve">No</x:t>
        </x:is>
      </x:c>
      <x:c r="L13" s="21" t="inlineStr">
        <x:is>
          <x:t xml:space="preserve">No</x:t>
        </x:is>
      </x:c>
      <x:c r="M13" s="21" t="inlineStr">
        <x:is>
          <x:t xml:space="preserve"/>
        </x:is>
      </x:c>
      <x:c r="N13" s="21" t="inlineStr">
        <x:is>
          <x:t xml:space="preserve"/>
        </x:is>
      </x:c>
      <x:c r="O13" s="21" t="inlineStr">
        <x:is>
          <x:t xml:space="preserve">No</x:t>
        </x:is>
      </x:c>
      <x:c r="P13" s="21" t="inlineStr">
        <x:is>
          <x:t xml:space="preserve">Unknown</x:t>
        </x:is>
      </x:c>
      <x:c r="Q13" s="21" t="inlineStr">
        <x:is>
          <x:t xml:space="preserve"/>
        </x:is>
      </x:c>
      <x:c r="R13" s="21" t="inlineStr">
        <x:is>
          <x:t xml:space="preserve">Unknown</x:t>
        </x:is>
      </x:c>
      <x:c r="S13" s="21" t="inlineStr">
        <x:is>
          <x:t xml:space="preserve">No</x:t>
        </x:is>
      </x:c>
    </x:row>
    <x:row r="14" ht="44" customHeight="1">
      <x:c r="A14" s="5" t="inlineStr">
        <x:is>
          <x:t xml:space="preserve">U010</x:t>
        </x:is>
      </x:c>
      <x:c r="B14" s="21" t="inlineStr">
        <x:is>
          <x:t xml:space="preserve"/>
        </x:is>
      </x:c>
      <x:c r="C14" s="21" t="inlineStr">
        <x:is>
          <x:t xml:space="preserve"/>
        </x:is>
      </x:c>
      <x:c r="D14" s="21" t="inlineStr">
        <x:is>
          <x:t xml:space="preserve"/>
        </x:is>
      </x:c>
      <x:c r="E14" s="21" t="inlineStr">
        <x:is>
          <x:t xml:space="preserve"/>
        </x:is>
      </x:c>
      <x:c r="F14" s="21" t="inlineStr">
        <x:is>
          <x:t xml:space="preserve"/>
        </x:is>
      </x:c>
      <x:c r="G14" s="21" t="inlineStr">
        <x:is>
          <x:t xml:space="preserve"/>
        </x:is>
      </x:c>
      <x:c r="H14" s="21" t="inlineStr">
        <x:is>
          <x:t xml:space="preserve"/>
        </x:is>
      </x:c>
      <x:c r="I14" s="21" t="inlineStr">
        <x:is>
          <x:t xml:space="preserve"/>
        </x:is>
      </x:c>
      <x:c r="J14" s="21" t="inlineStr">
        <x:is>
          <x:t xml:space="preserve"/>
        </x:is>
      </x:c>
      <x:c r="K14" s="21" t="inlineStr">
        <x:is>
          <x:t xml:space="preserve">No</x:t>
        </x:is>
      </x:c>
      <x:c r="L14" s="21" t="inlineStr">
        <x:is>
          <x:t xml:space="preserve">No</x:t>
        </x:is>
      </x:c>
      <x:c r="M14" s="21" t="inlineStr">
        <x:is>
          <x:t xml:space="preserve"/>
        </x:is>
      </x:c>
      <x:c r="N14" s="21" t="inlineStr">
        <x:is>
          <x:t xml:space="preserve"/>
        </x:is>
      </x:c>
      <x:c r="O14" s="21" t="inlineStr">
        <x:is>
          <x:t xml:space="preserve">No</x:t>
        </x:is>
      </x:c>
      <x:c r="P14" s="21" t="inlineStr">
        <x:is>
          <x:t xml:space="preserve">Unknown</x:t>
        </x:is>
      </x:c>
      <x:c r="Q14" s="21" t="inlineStr">
        <x:is>
          <x:t xml:space="preserve"/>
        </x:is>
      </x:c>
      <x:c r="R14" s="21" t="inlineStr">
        <x:is>
          <x:t xml:space="preserve">Unknown</x:t>
        </x:is>
      </x:c>
      <x:c r="S14" s="21" t="inlineStr">
        <x:is>
          <x:t xml:space="preserve">No</x:t>
        </x:is>
      </x:c>
    </x:row>
    <x:row r="15" ht="44" customHeight="1">
      <x:c r="A15" s="7" t="inlineStr">
        <x:is>
          <x:t xml:space="preserve">U011</x:t>
        </x:is>
      </x:c>
      <x:c r="B15" s="21" t="inlineStr">
        <x:is>
          <x:t xml:space="preserve"/>
        </x:is>
      </x:c>
      <x:c r="C15" s="21" t="inlineStr">
        <x:is>
          <x:t xml:space="preserve"/>
        </x:is>
      </x:c>
      <x:c r="D15" s="21" t="inlineStr">
        <x:is>
          <x:t xml:space="preserve"/>
        </x:is>
      </x:c>
      <x:c r="E15" s="21" t="inlineStr">
        <x:is>
          <x:t xml:space="preserve"/>
        </x:is>
      </x:c>
      <x:c r="F15" s="21" t="inlineStr">
        <x:is>
          <x:t xml:space="preserve"/>
        </x:is>
      </x:c>
      <x:c r="G15" s="21" t="inlineStr">
        <x:is>
          <x:t xml:space="preserve"/>
        </x:is>
      </x:c>
      <x:c r="H15" s="21" t="inlineStr">
        <x:is>
          <x:t xml:space="preserve"/>
        </x:is>
      </x:c>
      <x:c r="I15" s="21" t="inlineStr">
        <x:is>
          <x:t xml:space="preserve"/>
        </x:is>
      </x:c>
      <x:c r="J15" s="21" t="inlineStr">
        <x:is>
          <x:t xml:space="preserve"/>
        </x:is>
      </x:c>
      <x:c r="K15" s="21" t="inlineStr">
        <x:is>
          <x:t xml:space="preserve">No</x:t>
        </x:is>
      </x:c>
      <x:c r="L15" s="21" t="inlineStr">
        <x:is>
          <x:t xml:space="preserve">No</x:t>
        </x:is>
      </x:c>
      <x:c r="M15" s="21" t="inlineStr">
        <x:is>
          <x:t xml:space="preserve"/>
        </x:is>
      </x:c>
      <x:c r="N15" s="21" t="inlineStr">
        <x:is>
          <x:t xml:space="preserve"/>
        </x:is>
      </x:c>
      <x:c r="O15" s="21" t="inlineStr">
        <x:is>
          <x:t xml:space="preserve">No</x:t>
        </x:is>
      </x:c>
      <x:c r="P15" s="21" t="inlineStr">
        <x:is>
          <x:t xml:space="preserve">Unknown</x:t>
        </x:is>
      </x:c>
      <x:c r="Q15" s="21" t="inlineStr">
        <x:is>
          <x:t xml:space="preserve"/>
        </x:is>
      </x:c>
      <x:c r="R15" s="21" t="inlineStr">
        <x:is>
          <x:t xml:space="preserve">Unknown</x:t>
        </x:is>
      </x:c>
      <x:c r="S15" s="21" t="inlineStr">
        <x:is>
          <x:t xml:space="preserve">No</x:t>
        </x:is>
      </x:c>
    </x:row>
    <x:row r="16" ht="44" customHeight="1">
      <x:c r="A16" s="5" t="inlineStr">
        <x:is>
          <x:t xml:space="preserve">U012</x:t>
        </x:is>
      </x:c>
      <x:c r="B16" s="21" t="inlineStr">
        <x:is>
          <x:t xml:space="preserve"/>
        </x:is>
      </x:c>
      <x:c r="C16" s="21" t="inlineStr">
        <x:is>
          <x:t xml:space="preserve"/>
        </x:is>
      </x:c>
      <x:c r="D16" s="21" t="inlineStr">
        <x:is>
          <x:t xml:space="preserve"/>
        </x:is>
      </x:c>
      <x:c r="E16" s="21" t="inlineStr">
        <x:is>
          <x:t xml:space="preserve"/>
        </x:is>
      </x:c>
      <x:c r="F16" s="21" t="inlineStr">
        <x:is>
          <x:t xml:space="preserve"/>
        </x:is>
      </x:c>
      <x:c r="G16" s="21" t="inlineStr">
        <x:is>
          <x:t xml:space="preserve"/>
        </x:is>
      </x:c>
      <x:c r="H16" s="21" t="inlineStr">
        <x:is>
          <x:t xml:space="preserve"/>
        </x:is>
      </x:c>
      <x:c r="I16" s="21" t="inlineStr">
        <x:is>
          <x:t xml:space="preserve"/>
        </x:is>
      </x:c>
      <x:c r="J16" s="21" t="inlineStr">
        <x:is>
          <x:t xml:space="preserve"/>
        </x:is>
      </x:c>
      <x:c r="K16" s="21" t="inlineStr">
        <x:is>
          <x:t xml:space="preserve">No</x:t>
        </x:is>
      </x:c>
      <x:c r="L16" s="21" t="inlineStr">
        <x:is>
          <x:t xml:space="preserve">No</x:t>
        </x:is>
      </x:c>
      <x:c r="M16" s="21" t="inlineStr">
        <x:is>
          <x:t xml:space="preserve"/>
        </x:is>
      </x:c>
      <x:c r="N16" s="21" t="inlineStr">
        <x:is>
          <x:t xml:space="preserve"/>
        </x:is>
      </x:c>
      <x:c r="O16" s="21" t="inlineStr">
        <x:is>
          <x:t xml:space="preserve">No</x:t>
        </x:is>
      </x:c>
      <x:c r="P16" s="21" t="inlineStr">
        <x:is>
          <x:t xml:space="preserve">Unknown</x:t>
        </x:is>
      </x:c>
      <x:c r="Q16" s="21" t="inlineStr">
        <x:is>
          <x:t xml:space="preserve"/>
        </x:is>
      </x:c>
      <x:c r="R16" s="21" t="inlineStr">
        <x:is>
          <x:t xml:space="preserve">Unknown</x:t>
        </x:is>
      </x:c>
      <x:c r="S16" s="21" t="inlineStr">
        <x:is>
          <x:t xml:space="preserve">No</x:t>
        </x:is>
      </x:c>
    </x:row>
    <x:row r="17" ht="44" customHeight="1">
      <x:c r="A17" s="7" t="inlineStr">
        <x:is>
          <x:t xml:space="preserve">U013</x:t>
        </x:is>
      </x:c>
      <x:c r="B17" s="21" t="inlineStr">
        <x:is>
          <x:t xml:space="preserve"/>
        </x:is>
      </x:c>
      <x:c r="C17" s="21" t="inlineStr">
        <x:is>
          <x:t xml:space="preserve"/>
        </x:is>
      </x:c>
      <x:c r="D17" s="21" t="inlineStr">
        <x:is>
          <x:t xml:space="preserve"/>
        </x:is>
      </x:c>
      <x:c r="E17" s="21" t="inlineStr">
        <x:is>
          <x:t xml:space="preserve"/>
        </x:is>
      </x:c>
      <x:c r="F17" s="21" t="inlineStr">
        <x:is>
          <x:t xml:space="preserve"/>
        </x:is>
      </x:c>
      <x:c r="G17" s="21" t="inlineStr">
        <x:is>
          <x:t xml:space="preserve"/>
        </x:is>
      </x:c>
      <x:c r="H17" s="21" t="inlineStr">
        <x:is>
          <x:t xml:space="preserve"/>
        </x:is>
      </x:c>
      <x:c r="I17" s="21" t="inlineStr">
        <x:is>
          <x:t xml:space="preserve"/>
        </x:is>
      </x:c>
      <x:c r="J17" s="21" t="inlineStr">
        <x:is>
          <x:t xml:space="preserve"/>
        </x:is>
      </x:c>
      <x:c r="K17" s="21" t="inlineStr">
        <x:is>
          <x:t xml:space="preserve">No</x:t>
        </x:is>
      </x:c>
      <x:c r="L17" s="21" t="inlineStr">
        <x:is>
          <x:t xml:space="preserve">No</x:t>
        </x:is>
      </x:c>
      <x:c r="M17" s="21" t="inlineStr">
        <x:is>
          <x:t xml:space="preserve"/>
        </x:is>
      </x:c>
      <x:c r="N17" s="21" t="inlineStr">
        <x:is>
          <x:t xml:space="preserve"/>
        </x:is>
      </x:c>
      <x:c r="O17" s="21" t="inlineStr">
        <x:is>
          <x:t xml:space="preserve">No</x:t>
        </x:is>
      </x:c>
      <x:c r="P17" s="21" t="inlineStr">
        <x:is>
          <x:t xml:space="preserve">Unknown</x:t>
        </x:is>
      </x:c>
      <x:c r="Q17" s="21" t="inlineStr">
        <x:is>
          <x:t xml:space="preserve"/>
        </x:is>
      </x:c>
      <x:c r="R17" s="21" t="inlineStr">
        <x:is>
          <x:t xml:space="preserve">Unknown</x:t>
        </x:is>
      </x:c>
      <x:c r="S17" s="21" t="inlineStr">
        <x:is>
          <x:t xml:space="preserve">No</x:t>
        </x:is>
      </x:c>
    </x:row>
    <x:row r="18" ht="44" customHeight="1">
      <x:c r="A18" s="5" t="inlineStr">
        <x:is>
          <x:t xml:space="preserve">U014</x:t>
        </x:is>
      </x:c>
      <x:c r="B18" s="21" t="inlineStr">
        <x:is>
          <x:t xml:space="preserve"/>
        </x:is>
      </x:c>
      <x:c r="C18" s="21" t="inlineStr">
        <x:is>
          <x:t xml:space="preserve"/>
        </x:is>
      </x:c>
      <x:c r="D18" s="21" t="inlineStr">
        <x:is>
          <x:t xml:space="preserve"/>
        </x:is>
      </x:c>
      <x:c r="E18" s="21" t="inlineStr">
        <x:is>
          <x:t xml:space="preserve"/>
        </x:is>
      </x:c>
      <x:c r="F18" s="21" t="inlineStr">
        <x:is>
          <x:t xml:space="preserve"/>
        </x:is>
      </x:c>
      <x:c r="G18" s="21" t="inlineStr">
        <x:is>
          <x:t xml:space="preserve"/>
        </x:is>
      </x:c>
      <x:c r="H18" s="21" t="inlineStr">
        <x:is>
          <x:t xml:space="preserve"/>
        </x:is>
      </x:c>
      <x:c r="I18" s="21" t="inlineStr">
        <x:is>
          <x:t xml:space="preserve"/>
        </x:is>
      </x:c>
      <x:c r="J18" s="21" t="inlineStr">
        <x:is>
          <x:t xml:space="preserve"/>
        </x:is>
      </x:c>
      <x:c r="K18" s="21" t="inlineStr">
        <x:is>
          <x:t xml:space="preserve">No</x:t>
        </x:is>
      </x:c>
      <x:c r="L18" s="21" t="inlineStr">
        <x:is>
          <x:t xml:space="preserve">No</x:t>
        </x:is>
      </x:c>
      <x:c r="M18" s="21" t="inlineStr">
        <x:is>
          <x:t xml:space="preserve"/>
        </x:is>
      </x:c>
      <x:c r="N18" s="21" t="inlineStr">
        <x:is>
          <x:t xml:space="preserve"/>
        </x:is>
      </x:c>
      <x:c r="O18" s="21" t="inlineStr">
        <x:is>
          <x:t xml:space="preserve">No</x:t>
        </x:is>
      </x:c>
      <x:c r="P18" s="21" t="inlineStr">
        <x:is>
          <x:t xml:space="preserve">Unknown</x:t>
        </x:is>
      </x:c>
      <x:c r="Q18" s="21" t="inlineStr">
        <x:is>
          <x:t xml:space="preserve"/>
        </x:is>
      </x:c>
      <x:c r="R18" s="21" t="inlineStr">
        <x:is>
          <x:t xml:space="preserve">Unknown</x:t>
        </x:is>
      </x:c>
      <x:c r="S18" s="21" t="inlineStr">
        <x:is>
          <x:t xml:space="preserve">No</x:t>
        </x:is>
      </x:c>
    </x:row>
    <x:row r="19" ht="44" customHeight="1">
      <x:c r="A19" s="7" t="inlineStr">
        <x:is>
          <x:t xml:space="preserve">U015</x:t>
        </x:is>
      </x:c>
      <x:c r="B19" s="21" t="inlineStr">
        <x:is>
          <x:t xml:space="preserve"/>
        </x:is>
      </x:c>
      <x:c r="C19" s="21" t="inlineStr">
        <x:is>
          <x:t xml:space="preserve"/>
        </x:is>
      </x:c>
      <x:c r="D19" s="21" t="inlineStr">
        <x:is>
          <x:t xml:space="preserve"/>
        </x:is>
      </x:c>
      <x:c r="E19" s="21" t="inlineStr">
        <x:is>
          <x:t xml:space="preserve"/>
        </x:is>
      </x:c>
      <x:c r="F19" s="21" t="inlineStr">
        <x:is>
          <x:t xml:space="preserve"/>
        </x:is>
      </x:c>
      <x:c r="G19" s="21" t="inlineStr">
        <x:is>
          <x:t xml:space="preserve"/>
        </x:is>
      </x:c>
      <x:c r="H19" s="21" t="inlineStr">
        <x:is>
          <x:t xml:space="preserve"/>
        </x:is>
      </x:c>
      <x:c r="I19" s="21" t="inlineStr">
        <x:is>
          <x:t xml:space="preserve"/>
        </x:is>
      </x:c>
      <x:c r="J19" s="21" t="inlineStr">
        <x:is>
          <x:t xml:space="preserve"/>
        </x:is>
      </x:c>
      <x:c r="K19" s="21" t="inlineStr">
        <x:is>
          <x:t xml:space="preserve">No</x:t>
        </x:is>
      </x:c>
      <x:c r="L19" s="21" t="inlineStr">
        <x:is>
          <x:t xml:space="preserve">No</x:t>
        </x:is>
      </x:c>
      <x:c r="M19" s="21" t="inlineStr">
        <x:is>
          <x:t xml:space="preserve"/>
        </x:is>
      </x:c>
      <x:c r="N19" s="21" t="inlineStr">
        <x:is>
          <x:t xml:space="preserve"/>
        </x:is>
      </x:c>
      <x:c r="O19" s="21" t="inlineStr">
        <x:is>
          <x:t xml:space="preserve">No</x:t>
        </x:is>
      </x:c>
      <x:c r="P19" s="21" t="inlineStr">
        <x:is>
          <x:t xml:space="preserve">Unknown</x:t>
        </x:is>
      </x:c>
      <x:c r="Q19" s="21" t="inlineStr">
        <x:is>
          <x:t xml:space="preserve"/>
        </x:is>
      </x:c>
      <x:c r="R19" s="21" t="inlineStr">
        <x:is>
          <x:t xml:space="preserve">Unknown</x:t>
        </x:is>
      </x:c>
      <x:c r="S19" s="21" t="inlineStr">
        <x:is>
          <x:t xml:space="preserve">No</x:t>
        </x:is>
      </x:c>
    </x:row>
    <x:row r="20" ht="44" customHeight="1">
      <x:c r="A20" s="5" t="inlineStr">
        <x:is>
          <x:t xml:space="preserve">U016</x:t>
        </x:is>
      </x:c>
      <x:c r="B20" s="21" t="inlineStr">
        <x:is>
          <x:t xml:space="preserve"/>
        </x:is>
      </x:c>
      <x:c r="C20" s="21" t="inlineStr">
        <x:is>
          <x:t xml:space="preserve"/>
        </x:is>
      </x:c>
      <x:c r="D20" s="21" t="inlineStr">
        <x:is>
          <x:t xml:space="preserve"/>
        </x:is>
      </x:c>
      <x:c r="E20" s="21" t="inlineStr">
        <x:is>
          <x:t xml:space="preserve"/>
        </x:is>
      </x:c>
      <x:c r="F20" s="21" t="inlineStr">
        <x:is>
          <x:t xml:space="preserve"/>
        </x:is>
      </x:c>
      <x:c r="G20" s="21" t="inlineStr">
        <x:is>
          <x:t xml:space="preserve"/>
        </x:is>
      </x:c>
      <x:c r="H20" s="21" t="inlineStr">
        <x:is>
          <x:t xml:space="preserve"/>
        </x:is>
      </x:c>
      <x:c r="I20" s="21" t="inlineStr">
        <x:is>
          <x:t xml:space="preserve"/>
        </x:is>
      </x:c>
      <x:c r="J20" s="21" t="inlineStr">
        <x:is>
          <x:t xml:space="preserve"/>
        </x:is>
      </x:c>
      <x:c r="K20" s="21" t="inlineStr">
        <x:is>
          <x:t xml:space="preserve">No</x:t>
        </x:is>
      </x:c>
      <x:c r="L20" s="21" t="inlineStr">
        <x:is>
          <x:t xml:space="preserve">No</x:t>
        </x:is>
      </x:c>
      <x:c r="M20" s="21" t="inlineStr">
        <x:is>
          <x:t xml:space="preserve"/>
        </x:is>
      </x:c>
      <x:c r="N20" s="21" t="inlineStr">
        <x:is>
          <x:t xml:space="preserve"/>
        </x:is>
      </x:c>
      <x:c r="O20" s="21" t="inlineStr">
        <x:is>
          <x:t xml:space="preserve">No</x:t>
        </x:is>
      </x:c>
      <x:c r="P20" s="21" t="inlineStr">
        <x:is>
          <x:t xml:space="preserve">Unknown</x:t>
        </x:is>
      </x:c>
      <x:c r="Q20" s="21" t="inlineStr">
        <x:is>
          <x:t xml:space="preserve"/>
        </x:is>
      </x:c>
      <x:c r="R20" s="21" t="inlineStr">
        <x:is>
          <x:t xml:space="preserve">Unknown</x:t>
        </x:is>
      </x:c>
      <x:c r="S20" s="21" t="inlineStr">
        <x:is>
          <x:t xml:space="preserve">No</x:t>
        </x:is>
      </x:c>
    </x:row>
    <x:row r="21" ht="44" customHeight="1">
      <x:c r="A21" s="7" t="inlineStr">
        <x:is>
          <x:t xml:space="preserve">U017</x:t>
        </x:is>
      </x:c>
      <x:c r="B21" s="21" t="inlineStr">
        <x:is>
          <x:t xml:space="preserve"/>
        </x:is>
      </x:c>
      <x:c r="C21" s="21" t="inlineStr">
        <x:is>
          <x:t xml:space="preserve"/>
        </x:is>
      </x:c>
      <x:c r="D21" s="21" t="inlineStr">
        <x:is>
          <x:t xml:space="preserve"/>
        </x:is>
      </x:c>
      <x:c r="E21" s="21" t="inlineStr">
        <x:is>
          <x:t xml:space="preserve"/>
        </x:is>
      </x:c>
      <x:c r="F21" s="21" t="inlineStr">
        <x:is>
          <x:t xml:space="preserve"/>
        </x:is>
      </x:c>
      <x:c r="G21" s="21" t="inlineStr">
        <x:is>
          <x:t xml:space="preserve"/>
        </x:is>
      </x:c>
      <x:c r="H21" s="21" t="inlineStr">
        <x:is>
          <x:t xml:space="preserve"/>
        </x:is>
      </x:c>
      <x:c r="I21" s="21" t="inlineStr">
        <x:is>
          <x:t xml:space="preserve"/>
        </x:is>
      </x:c>
      <x:c r="J21" s="21" t="inlineStr">
        <x:is>
          <x:t xml:space="preserve"/>
        </x:is>
      </x:c>
      <x:c r="K21" s="21" t="inlineStr">
        <x:is>
          <x:t xml:space="preserve">No</x:t>
        </x:is>
      </x:c>
      <x:c r="L21" s="21" t="inlineStr">
        <x:is>
          <x:t xml:space="preserve">No</x:t>
        </x:is>
      </x:c>
      <x:c r="M21" s="21" t="inlineStr">
        <x:is>
          <x:t xml:space="preserve"/>
        </x:is>
      </x:c>
      <x:c r="N21" s="21" t="inlineStr">
        <x:is>
          <x:t xml:space="preserve"/>
        </x:is>
      </x:c>
      <x:c r="O21" s="21" t="inlineStr">
        <x:is>
          <x:t xml:space="preserve">No</x:t>
        </x:is>
      </x:c>
      <x:c r="P21" s="21" t="inlineStr">
        <x:is>
          <x:t xml:space="preserve">Unknown</x:t>
        </x:is>
      </x:c>
      <x:c r="Q21" s="21" t="inlineStr">
        <x:is>
          <x:t xml:space="preserve"/>
        </x:is>
      </x:c>
      <x:c r="R21" s="21" t="inlineStr">
        <x:is>
          <x:t xml:space="preserve">Unknown</x:t>
        </x:is>
      </x:c>
      <x:c r="S21" s="21" t="inlineStr">
        <x:is>
          <x:t xml:space="preserve">No</x:t>
        </x:is>
      </x:c>
    </x:row>
    <x:row r="22" ht="44" customHeight="1">
      <x:c r="A22" s="5" t="inlineStr">
        <x:is>
          <x:t xml:space="preserve">U018</x:t>
        </x:is>
      </x:c>
      <x:c r="B22" s="21" t="inlineStr">
        <x:is>
          <x:t xml:space="preserve"/>
        </x:is>
      </x:c>
      <x:c r="C22" s="21" t="inlineStr">
        <x:is>
          <x:t xml:space="preserve"/>
        </x:is>
      </x:c>
      <x:c r="D22" s="21" t="inlineStr">
        <x:is>
          <x:t xml:space="preserve"/>
        </x:is>
      </x:c>
      <x:c r="E22" s="21" t="inlineStr">
        <x:is>
          <x:t xml:space="preserve"/>
        </x:is>
      </x:c>
      <x:c r="F22" s="21" t="inlineStr">
        <x:is>
          <x:t xml:space="preserve"/>
        </x:is>
      </x:c>
      <x:c r="G22" s="21" t="inlineStr">
        <x:is>
          <x:t xml:space="preserve"/>
        </x:is>
      </x:c>
      <x:c r="H22" s="21" t="inlineStr">
        <x:is>
          <x:t xml:space="preserve"/>
        </x:is>
      </x:c>
      <x:c r="I22" s="21" t="inlineStr">
        <x:is>
          <x:t xml:space="preserve"/>
        </x:is>
      </x:c>
      <x:c r="J22" s="21" t="inlineStr">
        <x:is>
          <x:t xml:space="preserve"/>
        </x:is>
      </x:c>
      <x:c r="K22" s="21" t="inlineStr">
        <x:is>
          <x:t xml:space="preserve">No</x:t>
        </x:is>
      </x:c>
      <x:c r="L22" s="21" t="inlineStr">
        <x:is>
          <x:t xml:space="preserve">No</x:t>
        </x:is>
      </x:c>
      <x:c r="M22" s="21" t="inlineStr">
        <x:is>
          <x:t xml:space="preserve"/>
        </x:is>
      </x:c>
      <x:c r="N22" s="21" t="inlineStr">
        <x:is>
          <x:t xml:space="preserve"/>
        </x:is>
      </x:c>
      <x:c r="O22" s="21" t="inlineStr">
        <x:is>
          <x:t xml:space="preserve">No</x:t>
        </x:is>
      </x:c>
      <x:c r="P22" s="21" t="inlineStr">
        <x:is>
          <x:t xml:space="preserve">Unknown</x:t>
        </x:is>
      </x:c>
      <x:c r="Q22" s="21" t="inlineStr">
        <x:is>
          <x:t xml:space="preserve"/>
        </x:is>
      </x:c>
      <x:c r="R22" s="21" t="inlineStr">
        <x:is>
          <x:t xml:space="preserve">Unknown</x:t>
        </x:is>
      </x:c>
      <x:c r="S22" s="21" t="inlineStr">
        <x:is>
          <x:t xml:space="preserve">No</x:t>
        </x:is>
      </x:c>
    </x:row>
    <x:row r="23" ht="44" customHeight="1">
      <x:c r="A23" s="7" t="inlineStr">
        <x:is>
          <x:t xml:space="preserve">U019</x:t>
        </x:is>
      </x:c>
      <x:c r="B23" s="21" t="inlineStr">
        <x:is>
          <x:t xml:space="preserve"/>
        </x:is>
      </x:c>
      <x:c r="C23" s="21" t="inlineStr">
        <x:is>
          <x:t xml:space="preserve"/>
        </x:is>
      </x:c>
      <x:c r="D23" s="21" t="inlineStr">
        <x:is>
          <x:t xml:space="preserve"/>
        </x:is>
      </x:c>
      <x:c r="E23" s="21" t="inlineStr">
        <x:is>
          <x:t xml:space="preserve"/>
        </x:is>
      </x:c>
      <x:c r="F23" s="21" t="inlineStr">
        <x:is>
          <x:t xml:space="preserve"/>
        </x:is>
      </x:c>
      <x:c r="G23" s="21" t="inlineStr">
        <x:is>
          <x:t xml:space="preserve"/>
        </x:is>
      </x:c>
      <x:c r="H23" s="21" t="inlineStr">
        <x:is>
          <x:t xml:space="preserve"/>
        </x:is>
      </x:c>
      <x:c r="I23" s="21" t="inlineStr">
        <x:is>
          <x:t xml:space="preserve"/>
        </x:is>
      </x:c>
      <x:c r="J23" s="21" t="inlineStr">
        <x:is>
          <x:t xml:space="preserve"/>
        </x:is>
      </x:c>
      <x:c r="K23" s="21" t="inlineStr">
        <x:is>
          <x:t xml:space="preserve">No</x:t>
        </x:is>
      </x:c>
      <x:c r="L23" s="21" t="inlineStr">
        <x:is>
          <x:t xml:space="preserve">No</x:t>
        </x:is>
      </x:c>
      <x:c r="M23" s="21" t="inlineStr">
        <x:is>
          <x:t xml:space="preserve"/>
        </x:is>
      </x:c>
      <x:c r="N23" s="21" t="inlineStr">
        <x:is>
          <x:t xml:space="preserve"/>
        </x:is>
      </x:c>
      <x:c r="O23" s="21" t="inlineStr">
        <x:is>
          <x:t xml:space="preserve">No</x:t>
        </x:is>
      </x:c>
      <x:c r="P23" s="21" t="inlineStr">
        <x:is>
          <x:t xml:space="preserve">Unknown</x:t>
        </x:is>
      </x:c>
      <x:c r="Q23" s="21" t="inlineStr">
        <x:is>
          <x:t xml:space="preserve"/>
        </x:is>
      </x:c>
      <x:c r="R23" s="21" t="inlineStr">
        <x:is>
          <x:t xml:space="preserve">Unknown</x:t>
        </x:is>
      </x:c>
      <x:c r="S23" s="21" t="inlineStr">
        <x:is>
          <x:t xml:space="preserve">No</x:t>
        </x:is>
      </x:c>
    </x:row>
    <x:row r="24" ht="44" customHeight="1">
      <x:c r="A24" s="5" t="inlineStr">
        <x:is>
          <x:t xml:space="preserve">U020</x:t>
        </x:is>
      </x:c>
      <x:c r="B24" s="21" t="inlineStr">
        <x:is>
          <x:t xml:space="preserve"/>
        </x:is>
      </x:c>
      <x:c r="C24" s="21" t="inlineStr">
        <x:is>
          <x:t xml:space="preserve"/>
        </x:is>
      </x:c>
      <x:c r="D24" s="21" t="inlineStr">
        <x:is>
          <x:t xml:space="preserve"/>
        </x:is>
      </x:c>
      <x:c r="E24" s="21" t="inlineStr">
        <x:is>
          <x:t xml:space="preserve"/>
        </x:is>
      </x:c>
      <x:c r="F24" s="21" t="inlineStr">
        <x:is>
          <x:t xml:space="preserve"/>
        </x:is>
      </x:c>
      <x:c r="G24" s="21" t="inlineStr">
        <x:is>
          <x:t xml:space="preserve"/>
        </x:is>
      </x:c>
      <x:c r="H24" s="21" t="inlineStr">
        <x:is>
          <x:t xml:space="preserve"/>
        </x:is>
      </x:c>
      <x:c r="I24" s="21" t="inlineStr">
        <x:is>
          <x:t xml:space="preserve"/>
        </x:is>
      </x:c>
      <x:c r="J24" s="21" t="inlineStr">
        <x:is>
          <x:t xml:space="preserve"/>
        </x:is>
      </x:c>
      <x:c r="K24" s="21" t="inlineStr">
        <x:is>
          <x:t xml:space="preserve">No</x:t>
        </x:is>
      </x:c>
      <x:c r="L24" s="21" t="inlineStr">
        <x:is>
          <x:t xml:space="preserve">No</x:t>
        </x:is>
      </x:c>
      <x:c r="M24" s="21" t="inlineStr">
        <x:is>
          <x:t xml:space="preserve"/>
        </x:is>
      </x:c>
      <x:c r="N24" s="21" t="inlineStr">
        <x:is>
          <x:t xml:space="preserve"/>
        </x:is>
      </x:c>
      <x:c r="O24" s="21" t="inlineStr">
        <x:is>
          <x:t xml:space="preserve">No</x:t>
        </x:is>
      </x:c>
      <x:c r="P24" s="21" t="inlineStr">
        <x:is>
          <x:t xml:space="preserve">Unknown</x:t>
        </x:is>
      </x:c>
      <x:c r="Q24" s="21" t="inlineStr">
        <x:is>
          <x:t xml:space="preserve"/>
        </x:is>
      </x:c>
      <x:c r="R24" s="21" t="inlineStr">
        <x:is>
          <x:t xml:space="preserve">Unknown</x:t>
        </x:is>
      </x:c>
      <x:c r="S24" s="21" t="inlineStr">
        <x:is>
          <x:t xml:space="preserve">No</x:t>
        </x:is>
      </x:c>
    </x:row>
    <x:row r="25" ht="44" customHeight="1">
      <x:c r="A25" s="7" t="inlineStr">
        <x:is>
          <x:t xml:space="preserve">U021</x:t>
        </x:is>
      </x:c>
      <x:c r="B25" s="21" t="inlineStr">
        <x:is>
          <x:t xml:space="preserve"/>
        </x:is>
      </x:c>
      <x:c r="C25" s="21" t="inlineStr">
        <x:is>
          <x:t xml:space="preserve"/>
        </x:is>
      </x:c>
      <x:c r="D25" s="21" t="inlineStr">
        <x:is>
          <x:t xml:space="preserve"/>
        </x:is>
      </x:c>
      <x:c r="E25" s="21" t="inlineStr">
        <x:is>
          <x:t xml:space="preserve"/>
        </x:is>
      </x:c>
      <x:c r="F25" s="21" t="inlineStr">
        <x:is>
          <x:t xml:space="preserve"/>
        </x:is>
      </x:c>
      <x:c r="G25" s="21" t="inlineStr">
        <x:is>
          <x:t xml:space="preserve"/>
        </x:is>
      </x:c>
      <x:c r="H25" s="21" t="inlineStr">
        <x:is>
          <x:t xml:space="preserve"/>
        </x:is>
      </x:c>
      <x:c r="I25" s="21" t="inlineStr">
        <x:is>
          <x:t xml:space="preserve"/>
        </x:is>
      </x:c>
      <x:c r="J25" s="21" t="inlineStr">
        <x:is>
          <x:t xml:space="preserve"/>
        </x:is>
      </x:c>
      <x:c r="K25" s="21" t="inlineStr">
        <x:is>
          <x:t xml:space="preserve">No</x:t>
        </x:is>
      </x:c>
      <x:c r="L25" s="21" t="inlineStr">
        <x:is>
          <x:t xml:space="preserve">No</x:t>
        </x:is>
      </x:c>
      <x:c r="M25" s="21" t="inlineStr">
        <x:is>
          <x:t xml:space="preserve"/>
        </x:is>
      </x:c>
      <x:c r="N25" s="21" t="inlineStr">
        <x:is>
          <x:t xml:space="preserve"/>
        </x:is>
      </x:c>
      <x:c r="O25" s="21" t="inlineStr">
        <x:is>
          <x:t xml:space="preserve">No</x:t>
        </x:is>
      </x:c>
      <x:c r="P25" s="21" t="inlineStr">
        <x:is>
          <x:t xml:space="preserve">Unknown</x:t>
        </x:is>
      </x:c>
      <x:c r="Q25" s="21" t="inlineStr">
        <x:is>
          <x:t xml:space="preserve"/>
        </x:is>
      </x:c>
      <x:c r="R25" s="21" t="inlineStr">
        <x:is>
          <x:t xml:space="preserve">Unknown</x:t>
        </x:is>
      </x:c>
      <x:c r="S25" s="21" t="inlineStr">
        <x:is>
          <x:t xml:space="preserve">No</x:t>
        </x:is>
      </x:c>
    </x:row>
    <x:row r="26" ht="44" customHeight="1">
      <x:c r="A26" s="5" t="inlineStr">
        <x:is>
          <x:t xml:space="preserve">U022</x:t>
        </x:is>
      </x:c>
      <x:c r="B26" s="21" t="inlineStr">
        <x:is>
          <x:t xml:space="preserve"/>
        </x:is>
      </x:c>
      <x:c r="C26" s="21" t="inlineStr">
        <x:is>
          <x:t xml:space="preserve"/>
        </x:is>
      </x:c>
      <x:c r="D26" s="21" t="inlineStr">
        <x:is>
          <x:t xml:space="preserve"/>
        </x:is>
      </x:c>
      <x:c r="E26" s="21" t="inlineStr">
        <x:is>
          <x:t xml:space="preserve"/>
        </x:is>
      </x:c>
      <x:c r="F26" s="21" t="inlineStr">
        <x:is>
          <x:t xml:space="preserve"/>
        </x:is>
      </x:c>
      <x:c r="G26" s="21" t="inlineStr">
        <x:is>
          <x:t xml:space="preserve"/>
        </x:is>
      </x:c>
      <x:c r="H26" s="21" t="inlineStr">
        <x:is>
          <x:t xml:space="preserve"/>
        </x:is>
      </x:c>
      <x:c r="I26" s="21" t="inlineStr">
        <x:is>
          <x:t xml:space="preserve"/>
        </x:is>
      </x:c>
      <x:c r="J26" s="21" t="inlineStr">
        <x:is>
          <x:t xml:space="preserve"/>
        </x:is>
      </x:c>
      <x:c r="K26" s="21" t="inlineStr">
        <x:is>
          <x:t xml:space="preserve">No</x:t>
        </x:is>
      </x:c>
      <x:c r="L26" s="21" t="inlineStr">
        <x:is>
          <x:t xml:space="preserve">No</x:t>
        </x:is>
      </x:c>
      <x:c r="M26" s="21" t="inlineStr">
        <x:is>
          <x:t xml:space="preserve"/>
        </x:is>
      </x:c>
      <x:c r="N26" s="21" t="inlineStr">
        <x:is>
          <x:t xml:space="preserve"/>
        </x:is>
      </x:c>
      <x:c r="O26" s="21" t="inlineStr">
        <x:is>
          <x:t xml:space="preserve">No</x:t>
        </x:is>
      </x:c>
      <x:c r="P26" s="21" t="inlineStr">
        <x:is>
          <x:t xml:space="preserve">Unknown</x:t>
        </x:is>
      </x:c>
      <x:c r="Q26" s="21" t="inlineStr">
        <x:is>
          <x:t xml:space="preserve"/>
        </x:is>
      </x:c>
      <x:c r="R26" s="21" t="inlineStr">
        <x:is>
          <x:t xml:space="preserve">Unknown</x:t>
        </x:is>
      </x:c>
      <x:c r="S26" s="21" t="inlineStr">
        <x:is>
          <x:t xml:space="preserve">No</x:t>
        </x:is>
      </x:c>
    </x:row>
    <x:row r="27" ht="44" customHeight="1">
      <x:c r="A27" s="7" t="inlineStr">
        <x:is>
          <x:t xml:space="preserve">U023</x:t>
        </x:is>
      </x:c>
      <x:c r="B27" s="21" t="inlineStr">
        <x:is>
          <x:t xml:space="preserve"/>
        </x:is>
      </x:c>
      <x:c r="C27" s="21" t="inlineStr">
        <x:is>
          <x:t xml:space="preserve"/>
        </x:is>
      </x:c>
      <x:c r="D27" s="21" t="inlineStr">
        <x:is>
          <x:t xml:space="preserve"/>
        </x:is>
      </x:c>
      <x:c r="E27" s="21" t="inlineStr">
        <x:is>
          <x:t xml:space="preserve"/>
        </x:is>
      </x:c>
      <x:c r="F27" s="21" t="inlineStr">
        <x:is>
          <x:t xml:space="preserve"/>
        </x:is>
      </x:c>
      <x:c r="G27" s="21" t="inlineStr">
        <x:is>
          <x:t xml:space="preserve"/>
        </x:is>
      </x:c>
      <x:c r="H27" s="21" t="inlineStr">
        <x:is>
          <x:t xml:space="preserve"/>
        </x:is>
      </x:c>
      <x:c r="I27" s="21" t="inlineStr">
        <x:is>
          <x:t xml:space="preserve"/>
        </x:is>
      </x:c>
      <x:c r="J27" s="21" t="inlineStr">
        <x:is>
          <x:t xml:space="preserve"/>
        </x:is>
      </x:c>
      <x:c r="K27" s="21" t="inlineStr">
        <x:is>
          <x:t xml:space="preserve">No</x:t>
        </x:is>
      </x:c>
      <x:c r="L27" s="21" t="inlineStr">
        <x:is>
          <x:t xml:space="preserve">No</x:t>
        </x:is>
      </x:c>
      <x:c r="M27" s="21" t="inlineStr">
        <x:is>
          <x:t xml:space="preserve"/>
        </x:is>
      </x:c>
      <x:c r="N27" s="21" t="inlineStr">
        <x:is>
          <x:t xml:space="preserve"/>
        </x:is>
      </x:c>
      <x:c r="O27" s="21" t="inlineStr">
        <x:is>
          <x:t xml:space="preserve">No</x:t>
        </x:is>
      </x:c>
      <x:c r="P27" s="21" t="inlineStr">
        <x:is>
          <x:t xml:space="preserve">Unknown</x:t>
        </x:is>
      </x:c>
      <x:c r="Q27" s="21" t="inlineStr">
        <x:is>
          <x:t xml:space="preserve"/>
        </x:is>
      </x:c>
      <x:c r="R27" s="21" t="inlineStr">
        <x:is>
          <x:t xml:space="preserve">Unknown</x:t>
        </x:is>
      </x:c>
      <x:c r="S27" s="21" t="inlineStr">
        <x:is>
          <x:t xml:space="preserve">No</x:t>
        </x:is>
      </x:c>
    </x:row>
    <x:row r="28" ht="44" customHeight="1">
      <x:c r="A28" s="5" t="inlineStr">
        <x:is>
          <x:t xml:space="preserve">U024</x:t>
        </x:is>
      </x:c>
      <x:c r="B28" s="21" t="inlineStr">
        <x:is>
          <x:t xml:space="preserve"/>
        </x:is>
      </x:c>
      <x:c r="C28" s="21" t="inlineStr">
        <x:is>
          <x:t xml:space="preserve"/>
        </x:is>
      </x:c>
      <x:c r="D28" s="21" t="inlineStr">
        <x:is>
          <x:t xml:space="preserve"/>
        </x:is>
      </x:c>
      <x:c r="E28" s="21" t="inlineStr">
        <x:is>
          <x:t xml:space="preserve"/>
        </x:is>
      </x:c>
      <x:c r="F28" s="21" t="inlineStr">
        <x:is>
          <x:t xml:space="preserve"/>
        </x:is>
      </x:c>
      <x:c r="G28" s="21" t="inlineStr">
        <x:is>
          <x:t xml:space="preserve"/>
        </x:is>
      </x:c>
      <x:c r="H28" s="21" t="inlineStr">
        <x:is>
          <x:t xml:space="preserve"/>
        </x:is>
      </x:c>
      <x:c r="I28" s="21" t="inlineStr">
        <x:is>
          <x:t xml:space="preserve"/>
        </x:is>
      </x:c>
      <x:c r="J28" s="21" t="inlineStr">
        <x:is>
          <x:t xml:space="preserve"/>
        </x:is>
      </x:c>
      <x:c r="K28" s="21" t="inlineStr">
        <x:is>
          <x:t xml:space="preserve">No</x:t>
        </x:is>
      </x:c>
      <x:c r="L28" s="21" t="inlineStr">
        <x:is>
          <x:t xml:space="preserve">No</x:t>
        </x:is>
      </x:c>
      <x:c r="M28" s="21" t="inlineStr">
        <x:is>
          <x:t xml:space="preserve"/>
        </x:is>
      </x:c>
      <x:c r="N28" s="21" t="inlineStr">
        <x:is>
          <x:t xml:space="preserve"/>
        </x:is>
      </x:c>
      <x:c r="O28" s="21" t="inlineStr">
        <x:is>
          <x:t xml:space="preserve">No</x:t>
        </x:is>
      </x:c>
      <x:c r="P28" s="21" t="inlineStr">
        <x:is>
          <x:t xml:space="preserve">Unknown</x:t>
        </x:is>
      </x:c>
      <x:c r="Q28" s="21" t="inlineStr">
        <x:is>
          <x:t xml:space="preserve"/>
        </x:is>
      </x:c>
      <x:c r="R28" s="21" t="inlineStr">
        <x:is>
          <x:t xml:space="preserve">Unknown</x:t>
        </x:is>
      </x:c>
      <x:c r="S28" s="21" t="inlineStr">
        <x:is>
          <x:t xml:space="preserve">No</x:t>
        </x:is>
      </x:c>
    </x:row>
    <x:row r="29" ht="44" customHeight="1">
      <x:c r="A29" s="7" t="inlineStr">
        <x:is>
          <x:t xml:space="preserve">U025</x:t>
        </x:is>
      </x:c>
      <x:c r="B29" s="21" t="inlineStr">
        <x:is>
          <x:t xml:space="preserve"/>
        </x:is>
      </x:c>
      <x:c r="C29" s="21" t="inlineStr">
        <x:is>
          <x:t xml:space="preserve"/>
        </x:is>
      </x:c>
      <x:c r="D29" s="21" t="inlineStr">
        <x:is>
          <x:t xml:space="preserve"/>
        </x:is>
      </x:c>
      <x:c r="E29" s="21" t="inlineStr">
        <x:is>
          <x:t xml:space="preserve"/>
        </x:is>
      </x:c>
      <x:c r="F29" s="21" t="inlineStr">
        <x:is>
          <x:t xml:space="preserve"/>
        </x:is>
      </x:c>
      <x:c r="G29" s="21" t="inlineStr">
        <x:is>
          <x:t xml:space="preserve"/>
        </x:is>
      </x:c>
      <x:c r="H29" s="21" t="inlineStr">
        <x:is>
          <x:t xml:space="preserve"/>
        </x:is>
      </x:c>
      <x:c r="I29" s="21" t="inlineStr">
        <x:is>
          <x:t xml:space="preserve"/>
        </x:is>
      </x:c>
      <x:c r="J29" s="21" t="inlineStr">
        <x:is>
          <x:t xml:space="preserve"/>
        </x:is>
      </x:c>
      <x:c r="K29" s="21" t="inlineStr">
        <x:is>
          <x:t xml:space="preserve">No</x:t>
        </x:is>
      </x:c>
      <x:c r="L29" s="21" t="inlineStr">
        <x:is>
          <x:t xml:space="preserve">No</x:t>
        </x:is>
      </x:c>
      <x:c r="M29" s="21" t="inlineStr">
        <x:is>
          <x:t xml:space="preserve"/>
        </x:is>
      </x:c>
      <x:c r="N29" s="21" t="inlineStr">
        <x:is>
          <x:t xml:space="preserve"/>
        </x:is>
      </x:c>
      <x:c r="O29" s="21" t="inlineStr">
        <x:is>
          <x:t xml:space="preserve">No</x:t>
        </x:is>
      </x:c>
      <x:c r="P29" s="21" t="inlineStr">
        <x:is>
          <x:t xml:space="preserve">Unknown</x:t>
        </x:is>
      </x:c>
      <x:c r="Q29" s="21" t="inlineStr">
        <x:is>
          <x:t xml:space="preserve"/>
        </x:is>
      </x:c>
      <x:c r="R29" s="21" t="inlineStr">
        <x:is>
          <x:t xml:space="preserve">Unknown</x:t>
        </x:is>
      </x:c>
      <x:c r="S29" s="21" t="inlineStr">
        <x:is>
          <x:t xml:space="preserve">No</x:t>
        </x:is>
      </x:c>
    </x:row>
    <x:row r="30" ht="44" customHeight="1">
      <x:c r="A30" s="5" t="inlineStr">
        <x:is>
          <x:t xml:space="preserve">U026</x:t>
        </x:is>
      </x:c>
      <x:c r="B30" s="21" t="inlineStr">
        <x:is>
          <x:t xml:space="preserve"/>
        </x:is>
      </x:c>
      <x:c r="C30" s="21" t="inlineStr">
        <x:is>
          <x:t xml:space="preserve"/>
        </x:is>
      </x:c>
      <x:c r="D30" s="21" t="inlineStr">
        <x:is>
          <x:t xml:space="preserve"/>
        </x:is>
      </x:c>
      <x:c r="E30" s="21" t="inlineStr">
        <x:is>
          <x:t xml:space="preserve"/>
        </x:is>
      </x:c>
      <x:c r="F30" s="21" t="inlineStr">
        <x:is>
          <x:t xml:space="preserve"/>
        </x:is>
      </x:c>
      <x:c r="G30" s="21" t="inlineStr">
        <x:is>
          <x:t xml:space="preserve"/>
        </x:is>
      </x:c>
      <x:c r="H30" s="21" t="inlineStr">
        <x:is>
          <x:t xml:space="preserve"/>
        </x:is>
      </x:c>
      <x:c r="I30" s="21" t="inlineStr">
        <x:is>
          <x:t xml:space="preserve"/>
        </x:is>
      </x:c>
      <x:c r="J30" s="21" t="inlineStr">
        <x:is>
          <x:t xml:space="preserve"/>
        </x:is>
      </x:c>
      <x:c r="K30" s="21" t="inlineStr">
        <x:is>
          <x:t xml:space="preserve">No</x:t>
        </x:is>
      </x:c>
      <x:c r="L30" s="21" t="inlineStr">
        <x:is>
          <x:t xml:space="preserve">No</x:t>
        </x:is>
      </x:c>
      <x:c r="M30" s="21" t="inlineStr">
        <x:is>
          <x:t xml:space="preserve"/>
        </x:is>
      </x:c>
      <x:c r="N30" s="21" t="inlineStr">
        <x:is>
          <x:t xml:space="preserve"/>
        </x:is>
      </x:c>
      <x:c r="O30" s="21" t="inlineStr">
        <x:is>
          <x:t xml:space="preserve">No</x:t>
        </x:is>
      </x:c>
      <x:c r="P30" s="21" t="inlineStr">
        <x:is>
          <x:t xml:space="preserve">Unknown</x:t>
        </x:is>
      </x:c>
      <x:c r="Q30" s="21" t="inlineStr">
        <x:is>
          <x:t xml:space="preserve"/>
        </x:is>
      </x:c>
      <x:c r="R30" s="21" t="inlineStr">
        <x:is>
          <x:t xml:space="preserve">Unknown</x:t>
        </x:is>
      </x:c>
      <x:c r="S30" s="21" t="inlineStr">
        <x:is>
          <x:t xml:space="preserve">No</x:t>
        </x:is>
      </x:c>
    </x:row>
    <x:row r="31" ht="44" customHeight="1">
      <x:c r="A31" s="7" t="inlineStr">
        <x:is>
          <x:t xml:space="preserve">U027</x:t>
        </x:is>
      </x:c>
      <x:c r="B31" s="21" t="inlineStr">
        <x:is>
          <x:t xml:space="preserve"/>
        </x:is>
      </x:c>
      <x:c r="C31" s="21" t="inlineStr">
        <x:is>
          <x:t xml:space="preserve"/>
        </x:is>
      </x:c>
      <x:c r="D31" s="21" t="inlineStr">
        <x:is>
          <x:t xml:space="preserve"/>
        </x:is>
      </x:c>
      <x:c r="E31" s="21" t="inlineStr">
        <x:is>
          <x:t xml:space="preserve"/>
        </x:is>
      </x:c>
      <x:c r="F31" s="21" t="inlineStr">
        <x:is>
          <x:t xml:space="preserve"/>
        </x:is>
      </x:c>
      <x:c r="G31" s="21" t="inlineStr">
        <x:is>
          <x:t xml:space="preserve"/>
        </x:is>
      </x:c>
      <x:c r="H31" s="21" t="inlineStr">
        <x:is>
          <x:t xml:space="preserve"/>
        </x:is>
      </x:c>
      <x:c r="I31" s="21" t="inlineStr">
        <x:is>
          <x:t xml:space="preserve"/>
        </x:is>
      </x:c>
      <x:c r="J31" s="21" t="inlineStr">
        <x:is>
          <x:t xml:space="preserve"/>
        </x:is>
      </x:c>
      <x:c r="K31" s="21" t="inlineStr">
        <x:is>
          <x:t xml:space="preserve">No</x:t>
        </x:is>
      </x:c>
      <x:c r="L31" s="21" t="inlineStr">
        <x:is>
          <x:t xml:space="preserve">No</x:t>
        </x:is>
      </x:c>
      <x:c r="M31" s="21" t="inlineStr">
        <x:is>
          <x:t xml:space="preserve"/>
        </x:is>
      </x:c>
      <x:c r="N31" s="21" t="inlineStr">
        <x:is>
          <x:t xml:space="preserve"/>
        </x:is>
      </x:c>
      <x:c r="O31" s="21" t="inlineStr">
        <x:is>
          <x:t xml:space="preserve">No</x:t>
        </x:is>
      </x:c>
      <x:c r="P31" s="21" t="inlineStr">
        <x:is>
          <x:t xml:space="preserve">Unknown</x:t>
        </x:is>
      </x:c>
      <x:c r="Q31" s="21" t="inlineStr">
        <x:is>
          <x:t xml:space="preserve"/>
        </x:is>
      </x:c>
      <x:c r="R31" s="21" t="inlineStr">
        <x:is>
          <x:t xml:space="preserve">Unknown</x:t>
        </x:is>
      </x:c>
      <x:c r="S31" s="21" t="inlineStr">
        <x:is>
          <x:t xml:space="preserve">No</x:t>
        </x:is>
      </x:c>
    </x:row>
    <x:row r="32" ht="44" customHeight="1">
      <x:c r="A32" s="5" t="inlineStr">
        <x:is>
          <x:t xml:space="preserve">U028</x:t>
        </x:is>
      </x:c>
      <x:c r="B32" s="21" t="inlineStr">
        <x:is>
          <x:t xml:space="preserve"/>
        </x:is>
      </x:c>
      <x:c r="C32" s="21" t="inlineStr">
        <x:is>
          <x:t xml:space="preserve"/>
        </x:is>
      </x:c>
      <x:c r="D32" s="21" t="inlineStr">
        <x:is>
          <x:t xml:space="preserve"/>
        </x:is>
      </x:c>
      <x:c r="E32" s="21" t="inlineStr">
        <x:is>
          <x:t xml:space="preserve"/>
        </x:is>
      </x:c>
      <x:c r="F32" s="21" t="inlineStr">
        <x:is>
          <x:t xml:space="preserve"/>
        </x:is>
      </x:c>
      <x:c r="G32" s="21" t="inlineStr">
        <x:is>
          <x:t xml:space="preserve"/>
        </x:is>
      </x:c>
      <x:c r="H32" s="21" t="inlineStr">
        <x:is>
          <x:t xml:space="preserve"/>
        </x:is>
      </x:c>
      <x:c r="I32" s="21" t="inlineStr">
        <x:is>
          <x:t xml:space="preserve"/>
        </x:is>
      </x:c>
      <x:c r="J32" s="21" t="inlineStr">
        <x:is>
          <x:t xml:space="preserve"/>
        </x:is>
      </x:c>
      <x:c r="K32" s="21" t="inlineStr">
        <x:is>
          <x:t xml:space="preserve">No</x:t>
        </x:is>
      </x:c>
      <x:c r="L32" s="21" t="inlineStr">
        <x:is>
          <x:t xml:space="preserve">No</x:t>
        </x:is>
      </x:c>
      <x:c r="M32" s="21" t="inlineStr">
        <x:is>
          <x:t xml:space="preserve"/>
        </x:is>
      </x:c>
      <x:c r="N32" s="21" t="inlineStr">
        <x:is>
          <x:t xml:space="preserve"/>
        </x:is>
      </x:c>
      <x:c r="O32" s="21" t="inlineStr">
        <x:is>
          <x:t xml:space="preserve">No</x:t>
        </x:is>
      </x:c>
      <x:c r="P32" s="21" t="inlineStr">
        <x:is>
          <x:t xml:space="preserve">Unknown</x:t>
        </x:is>
      </x:c>
      <x:c r="Q32" s="21" t="inlineStr">
        <x:is>
          <x:t xml:space="preserve"/>
        </x:is>
      </x:c>
      <x:c r="R32" s="21" t="inlineStr">
        <x:is>
          <x:t xml:space="preserve">Unknown</x:t>
        </x:is>
      </x:c>
      <x:c r="S32" s="21" t="inlineStr">
        <x:is>
          <x:t xml:space="preserve">No</x:t>
        </x:is>
      </x:c>
    </x:row>
    <x:row r="33" ht="44" customHeight="1">
      <x:c r="A33" s="7" t="inlineStr">
        <x:is>
          <x:t xml:space="preserve">U029</x:t>
        </x:is>
      </x:c>
      <x:c r="B33" s="21" t="inlineStr">
        <x:is>
          <x:t xml:space="preserve"/>
        </x:is>
      </x:c>
      <x:c r="C33" s="21" t="inlineStr">
        <x:is>
          <x:t xml:space="preserve"/>
        </x:is>
      </x:c>
      <x:c r="D33" s="21" t="inlineStr">
        <x:is>
          <x:t xml:space="preserve"/>
        </x:is>
      </x:c>
      <x:c r="E33" s="21" t="inlineStr">
        <x:is>
          <x:t xml:space="preserve"/>
        </x:is>
      </x:c>
      <x:c r="F33" s="21" t="inlineStr">
        <x:is>
          <x:t xml:space="preserve"/>
        </x:is>
      </x:c>
      <x:c r="G33" s="21" t="inlineStr">
        <x:is>
          <x:t xml:space="preserve"/>
        </x:is>
      </x:c>
      <x:c r="H33" s="21" t="inlineStr">
        <x:is>
          <x:t xml:space="preserve"/>
        </x:is>
      </x:c>
      <x:c r="I33" s="21" t="inlineStr">
        <x:is>
          <x:t xml:space="preserve"/>
        </x:is>
      </x:c>
      <x:c r="J33" s="21" t="inlineStr">
        <x:is>
          <x:t xml:space="preserve"/>
        </x:is>
      </x:c>
      <x:c r="K33" s="21" t="inlineStr">
        <x:is>
          <x:t xml:space="preserve">No</x:t>
        </x:is>
      </x:c>
      <x:c r="L33" s="21" t="inlineStr">
        <x:is>
          <x:t xml:space="preserve">No</x:t>
        </x:is>
      </x:c>
      <x:c r="M33" s="21" t="inlineStr">
        <x:is>
          <x:t xml:space="preserve"/>
        </x:is>
      </x:c>
      <x:c r="N33" s="21" t="inlineStr">
        <x:is>
          <x:t xml:space="preserve"/>
        </x:is>
      </x:c>
      <x:c r="O33" s="21" t="inlineStr">
        <x:is>
          <x:t xml:space="preserve">No</x:t>
        </x:is>
      </x:c>
      <x:c r="P33" s="21" t="inlineStr">
        <x:is>
          <x:t xml:space="preserve">Unknown</x:t>
        </x:is>
      </x:c>
      <x:c r="Q33" s="21" t="inlineStr">
        <x:is>
          <x:t xml:space="preserve"/>
        </x:is>
      </x:c>
      <x:c r="R33" s="21" t="inlineStr">
        <x:is>
          <x:t xml:space="preserve">Unknown</x:t>
        </x:is>
      </x:c>
      <x:c r="S33" s="21" t="inlineStr">
        <x:is>
          <x:t xml:space="preserve">No</x:t>
        </x:is>
      </x:c>
    </x:row>
    <x:row r="34" ht="44" customHeight="1">
      <x:c r="A34" s="5" t="inlineStr">
        <x:is>
          <x:t xml:space="preserve">U030</x:t>
        </x:is>
      </x:c>
      <x:c r="B34" s="21" t="inlineStr">
        <x:is>
          <x:t xml:space="preserve"/>
        </x:is>
      </x:c>
      <x:c r="C34" s="21" t="inlineStr">
        <x:is>
          <x:t xml:space="preserve"/>
        </x:is>
      </x:c>
      <x:c r="D34" s="21" t="inlineStr">
        <x:is>
          <x:t xml:space="preserve"/>
        </x:is>
      </x:c>
      <x:c r="E34" s="21" t="inlineStr">
        <x:is>
          <x:t xml:space="preserve"/>
        </x:is>
      </x:c>
      <x:c r="F34" s="21" t="inlineStr">
        <x:is>
          <x:t xml:space="preserve"/>
        </x:is>
      </x:c>
      <x:c r="G34" s="21" t="inlineStr">
        <x:is>
          <x:t xml:space="preserve"/>
        </x:is>
      </x:c>
      <x:c r="H34" s="21" t="inlineStr">
        <x:is>
          <x:t xml:space="preserve"/>
        </x:is>
      </x:c>
      <x:c r="I34" s="21" t="inlineStr">
        <x:is>
          <x:t xml:space="preserve"/>
        </x:is>
      </x:c>
      <x:c r="J34" s="21" t="inlineStr">
        <x:is>
          <x:t xml:space="preserve"/>
        </x:is>
      </x:c>
      <x:c r="K34" s="21" t="inlineStr">
        <x:is>
          <x:t xml:space="preserve">No</x:t>
        </x:is>
      </x:c>
      <x:c r="L34" s="21" t="inlineStr">
        <x:is>
          <x:t xml:space="preserve">No</x:t>
        </x:is>
      </x:c>
      <x:c r="M34" s="21" t="inlineStr">
        <x:is>
          <x:t xml:space="preserve"/>
        </x:is>
      </x:c>
      <x:c r="N34" s="21" t="inlineStr">
        <x:is>
          <x:t xml:space="preserve"/>
        </x:is>
      </x:c>
      <x:c r="O34" s="21" t="inlineStr">
        <x:is>
          <x:t xml:space="preserve">No</x:t>
        </x:is>
      </x:c>
      <x:c r="P34" s="21" t="inlineStr">
        <x:is>
          <x:t xml:space="preserve">Unknown</x:t>
        </x:is>
      </x:c>
      <x:c r="Q34" s="21" t="inlineStr">
        <x:is>
          <x:t xml:space="preserve"/>
        </x:is>
      </x:c>
      <x:c r="R34" s="21" t="inlineStr">
        <x:is>
          <x:t xml:space="preserve">Unknown</x:t>
        </x:is>
      </x:c>
      <x:c r="S34" s="21" t="inlineStr">
        <x:is>
          <x:t xml:space="preserve">No</x:t>
        </x:is>
      </x:c>
    </x:row>
    <x:row r="35" ht="44" customHeight="1">
      <x:c r="A35" s="7" t="inlineStr">
        <x:is>
          <x:t xml:space="preserve">U031</x:t>
        </x:is>
      </x:c>
      <x:c r="B35" s="21" t="inlineStr">
        <x:is>
          <x:t xml:space="preserve"/>
        </x:is>
      </x:c>
      <x:c r="C35" s="21" t="inlineStr">
        <x:is>
          <x:t xml:space="preserve"/>
        </x:is>
      </x:c>
      <x:c r="D35" s="21" t="inlineStr">
        <x:is>
          <x:t xml:space="preserve"/>
        </x:is>
      </x:c>
      <x:c r="E35" s="21" t="inlineStr">
        <x:is>
          <x:t xml:space="preserve"/>
        </x:is>
      </x:c>
      <x:c r="F35" s="21" t="inlineStr">
        <x:is>
          <x:t xml:space="preserve"/>
        </x:is>
      </x:c>
      <x:c r="G35" s="21" t="inlineStr">
        <x:is>
          <x:t xml:space="preserve"/>
        </x:is>
      </x:c>
      <x:c r="H35" s="21" t="inlineStr">
        <x:is>
          <x:t xml:space="preserve"/>
        </x:is>
      </x:c>
      <x:c r="I35" s="21" t="inlineStr">
        <x:is>
          <x:t xml:space="preserve"/>
        </x:is>
      </x:c>
      <x:c r="J35" s="21" t="inlineStr">
        <x:is>
          <x:t xml:space="preserve"/>
        </x:is>
      </x:c>
      <x:c r="K35" s="21" t="inlineStr">
        <x:is>
          <x:t xml:space="preserve">No</x:t>
        </x:is>
      </x:c>
      <x:c r="L35" s="21" t="inlineStr">
        <x:is>
          <x:t xml:space="preserve">No</x:t>
        </x:is>
      </x:c>
      <x:c r="M35" s="21" t="inlineStr">
        <x:is>
          <x:t xml:space="preserve"/>
        </x:is>
      </x:c>
      <x:c r="N35" s="21" t="inlineStr">
        <x:is>
          <x:t xml:space="preserve"/>
        </x:is>
      </x:c>
      <x:c r="O35" s="21" t="inlineStr">
        <x:is>
          <x:t xml:space="preserve">No</x:t>
        </x:is>
      </x:c>
      <x:c r="P35" s="21" t="inlineStr">
        <x:is>
          <x:t xml:space="preserve">Unknown</x:t>
        </x:is>
      </x:c>
      <x:c r="Q35" s="21" t="inlineStr">
        <x:is>
          <x:t xml:space="preserve"/>
        </x:is>
      </x:c>
      <x:c r="R35" s="21" t="inlineStr">
        <x:is>
          <x:t xml:space="preserve">Unknown</x:t>
        </x:is>
      </x:c>
      <x:c r="S35" s="21" t="inlineStr">
        <x:is>
          <x:t xml:space="preserve">No</x:t>
        </x:is>
      </x:c>
    </x:row>
    <x:row r="36" ht="44" customHeight="1">
      <x:c r="A36" s="5" t="inlineStr">
        <x:is>
          <x:t xml:space="preserve">U032</x:t>
        </x:is>
      </x:c>
      <x:c r="B36" s="21" t="inlineStr">
        <x:is>
          <x:t xml:space="preserve"/>
        </x:is>
      </x:c>
      <x:c r="C36" s="21" t="inlineStr">
        <x:is>
          <x:t xml:space="preserve"/>
        </x:is>
      </x:c>
      <x:c r="D36" s="21" t="inlineStr">
        <x:is>
          <x:t xml:space="preserve"/>
        </x:is>
      </x:c>
      <x:c r="E36" s="21" t="inlineStr">
        <x:is>
          <x:t xml:space="preserve"/>
        </x:is>
      </x:c>
      <x:c r="F36" s="21" t="inlineStr">
        <x:is>
          <x:t xml:space="preserve"/>
        </x:is>
      </x:c>
      <x:c r="G36" s="21" t="inlineStr">
        <x:is>
          <x:t xml:space="preserve"/>
        </x:is>
      </x:c>
      <x:c r="H36" s="21" t="inlineStr">
        <x:is>
          <x:t xml:space="preserve"/>
        </x:is>
      </x:c>
      <x:c r="I36" s="21" t="inlineStr">
        <x:is>
          <x:t xml:space="preserve"/>
        </x:is>
      </x:c>
      <x:c r="J36" s="21" t="inlineStr">
        <x:is>
          <x:t xml:space="preserve"/>
        </x:is>
      </x:c>
      <x:c r="K36" s="21" t="inlineStr">
        <x:is>
          <x:t xml:space="preserve">No</x:t>
        </x:is>
      </x:c>
      <x:c r="L36" s="21" t="inlineStr">
        <x:is>
          <x:t xml:space="preserve">No</x:t>
        </x:is>
      </x:c>
      <x:c r="M36" s="21" t="inlineStr">
        <x:is>
          <x:t xml:space="preserve"/>
        </x:is>
      </x:c>
      <x:c r="N36" s="21" t="inlineStr">
        <x:is>
          <x:t xml:space="preserve"/>
        </x:is>
      </x:c>
      <x:c r="O36" s="21" t="inlineStr">
        <x:is>
          <x:t xml:space="preserve">No</x:t>
        </x:is>
      </x:c>
      <x:c r="P36" s="21" t="inlineStr">
        <x:is>
          <x:t xml:space="preserve">Unknown</x:t>
        </x:is>
      </x:c>
      <x:c r="Q36" s="21" t="inlineStr">
        <x:is>
          <x:t xml:space="preserve"/>
        </x:is>
      </x:c>
      <x:c r="R36" s="21" t="inlineStr">
        <x:is>
          <x:t xml:space="preserve">Unknown</x:t>
        </x:is>
      </x:c>
      <x:c r="S36" s="21" t="inlineStr">
        <x:is>
          <x:t xml:space="preserve">No</x:t>
        </x:is>
      </x:c>
    </x:row>
    <x:row r="37" ht="44" customHeight="1">
      <x:c r="A37" s="7" t="inlineStr">
        <x:is>
          <x:t xml:space="preserve">U033</x:t>
        </x:is>
      </x:c>
      <x:c r="B37" s="21" t="inlineStr">
        <x:is>
          <x:t xml:space="preserve"/>
        </x:is>
      </x:c>
      <x:c r="C37" s="21" t="inlineStr">
        <x:is>
          <x:t xml:space="preserve"/>
        </x:is>
      </x:c>
      <x:c r="D37" s="21" t="inlineStr">
        <x:is>
          <x:t xml:space="preserve"/>
        </x:is>
      </x:c>
      <x:c r="E37" s="21" t="inlineStr">
        <x:is>
          <x:t xml:space="preserve"/>
        </x:is>
      </x:c>
      <x:c r="F37" s="21" t="inlineStr">
        <x:is>
          <x:t xml:space="preserve"/>
        </x:is>
      </x:c>
      <x:c r="G37" s="21" t="inlineStr">
        <x:is>
          <x:t xml:space="preserve"/>
        </x:is>
      </x:c>
      <x:c r="H37" s="21" t="inlineStr">
        <x:is>
          <x:t xml:space="preserve"/>
        </x:is>
      </x:c>
      <x:c r="I37" s="21" t="inlineStr">
        <x:is>
          <x:t xml:space="preserve"/>
        </x:is>
      </x:c>
      <x:c r="J37" s="21" t="inlineStr">
        <x:is>
          <x:t xml:space="preserve"/>
        </x:is>
      </x:c>
      <x:c r="K37" s="21" t="inlineStr">
        <x:is>
          <x:t xml:space="preserve">No</x:t>
        </x:is>
      </x:c>
      <x:c r="L37" s="21" t="inlineStr">
        <x:is>
          <x:t xml:space="preserve">No</x:t>
        </x:is>
      </x:c>
      <x:c r="M37" s="21" t="inlineStr">
        <x:is>
          <x:t xml:space="preserve"/>
        </x:is>
      </x:c>
      <x:c r="N37" s="21" t="inlineStr">
        <x:is>
          <x:t xml:space="preserve"/>
        </x:is>
      </x:c>
      <x:c r="O37" s="21" t="inlineStr">
        <x:is>
          <x:t xml:space="preserve">No</x:t>
        </x:is>
      </x:c>
      <x:c r="P37" s="21" t="inlineStr">
        <x:is>
          <x:t xml:space="preserve">Unknown</x:t>
        </x:is>
      </x:c>
      <x:c r="Q37" s="21" t="inlineStr">
        <x:is>
          <x:t xml:space="preserve"/>
        </x:is>
      </x:c>
      <x:c r="R37" s="21" t="inlineStr">
        <x:is>
          <x:t xml:space="preserve">Unknown</x:t>
        </x:is>
      </x:c>
      <x:c r="S37" s="21" t="inlineStr">
        <x:is>
          <x:t xml:space="preserve">No</x:t>
        </x:is>
      </x:c>
    </x:row>
    <x:row r="38" ht="44" customHeight="1">
      <x:c r="A38" s="5" t="inlineStr">
        <x:is>
          <x:t xml:space="preserve">U034</x:t>
        </x:is>
      </x:c>
      <x:c r="B38" s="21" t="inlineStr">
        <x:is>
          <x:t xml:space="preserve"/>
        </x:is>
      </x:c>
      <x:c r="C38" s="21" t="inlineStr">
        <x:is>
          <x:t xml:space="preserve"/>
        </x:is>
      </x:c>
      <x:c r="D38" s="21" t="inlineStr">
        <x:is>
          <x:t xml:space="preserve"/>
        </x:is>
      </x:c>
      <x:c r="E38" s="21" t="inlineStr">
        <x:is>
          <x:t xml:space="preserve"/>
        </x:is>
      </x:c>
      <x:c r="F38" s="21" t="inlineStr">
        <x:is>
          <x:t xml:space="preserve"/>
        </x:is>
      </x:c>
      <x:c r="G38" s="21" t="inlineStr">
        <x:is>
          <x:t xml:space="preserve"/>
        </x:is>
      </x:c>
      <x:c r="H38" s="21" t="inlineStr">
        <x:is>
          <x:t xml:space="preserve"/>
        </x:is>
      </x:c>
      <x:c r="I38" s="21" t="inlineStr">
        <x:is>
          <x:t xml:space="preserve"/>
        </x:is>
      </x:c>
      <x:c r="J38" s="21" t="inlineStr">
        <x:is>
          <x:t xml:space="preserve"/>
        </x:is>
      </x:c>
      <x:c r="K38" s="21" t="inlineStr">
        <x:is>
          <x:t xml:space="preserve">No</x:t>
        </x:is>
      </x:c>
      <x:c r="L38" s="21" t="inlineStr">
        <x:is>
          <x:t xml:space="preserve">No</x:t>
        </x:is>
      </x:c>
      <x:c r="M38" s="21" t="inlineStr">
        <x:is>
          <x:t xml:space="preserve"/>
        </x:is>
      </x:c>
      <x:c r="N38" s="21" t="inlineStr">
        <x:is>
          <x:t xml:space="preserve"/>
        </x:is>
      </x:c>
      <x:c r="O38" s="21" t="inlineStr">
        <x:is>
          <x:t xml:space="preserve">No</x:t>
        </x:is>
      </x:c>
      <x:c r="P38" s="21" t="inlineStr">
        <x:is>
          <x:t xml:space="preserve">Unknown</x:t>
        </x:is>
      </x:c>
      <x:c r="Q38" s="21" t="inlineStr">
        <x:is>
          <x:t xml:space="preserve"/>
        </x:is>
      </x:c>
      <x:c r="R38" s="21" t="inlineStr">
        <x:is>
          <x:t xml:space="preserve">Unknown</x:t>
        </x:is>
      </x:c>
      <x:c r="S38" s="21" t="inlineStr">
        <x:is>
          <x:t xml:space="preserve">No</x:t>
        </x:is>
      </x:c>
    </x:row>
    <x:row r="39" ht="44" customHeight="1">
      <x:c r="A39" s="7" t="inlineStr">
        <x:is>
          <x:t xml:space="preserve">U035</x:t>
        </x:is>
      </x:c>
      <x:c r="B39" s="21" t="inlineStr">
        <x:is>
          <x:t xml:space="preserve"/>
        </x:is>
      </x:c>
      <x:c r="C39" s="21" t="inlineStr">
        <x:is>
          <x:t xml:space="preserve"/>
        </x:is>
      </x:c>
      <x:c r="D39" s="21" t="inlineStr">
        <x:is>
          <x:t xml:space="preserve"/>
        </x:is>
      </x:c>
      <x:c r="E39" s="21" t="inlineStr">
        <x:is>
          <x:t xml:space="preserve"/>
        </x:is>
      </x:c>
      <x:c r="F39" s="21" t="inlineStr">
        <x:is>
          <x:t xml:space="preserve"/>
        </x:is>
      </x:c>
      <x:c r="G39" s="21" t="inlineStr">
        <x:is>
          <x:t xml:space="preserve"/>
        </x:is>
      </x:c>
      <x:c r="H39" s="21" t="inlineStr">
        <x:is>
          <x:t xml:space="preserve"/>
        </x:is>
      </x:c>
      <x:c r="I39" s="21" t="inlineStr">
        <x:is>
          <x:t xml:space="preserve"/>
        </x:is>
      </x:c>
      <x:c r="J39" s="21" t="inlineStr">
        <x:is>
          <x:t xml:space="preserve"/>
        </x:is>
      </x:c>
      <x:c r="K39" s="21" t="inlineStr">
        <x:is>
          <x:t xml:space="preserve">No</x:t>
        </x:is>
      </x:c>
      <x:c r="L39" s="21" t="inlineStr">
        <x:is>
          <x:t xml:space="preserve">No</x:t>
        </x:is>
      </x:c>
      <x:c r="M39" s="21" t="inlineStr">
        <x:is>
          <x:t xml:space="preserve"/>
        </x:is>
      </x:c>
      <x:c r="N39" s="21" t="inlineStr">
        <x:is>
          <x:t xml:space="preserve"/>
        </x:is>
      </x:c>
      <x:c r="O39" s="21" t="inlineStr">
        <x:is>
          <x:t xml:space="preserve">No</x:t>
        </x:is>
      </x:c>
      <x:c r="P39" s="21" t="inlineStr">
        <x:is>
          <x:t xml:space="preserve">Unknown</x:t>
        </x:is>
      </x:c>
      <x:c r="Q39" s="21" t="inlineStr">
        <x:is>
          <x:t xml:space="preserve"/>
        </x:is>
      </x:c>
      <x:c r="R39" s="21" t="inlineStr">
        <x:is>
          <x:t xml:space="preserve">Unknown</x:t>
        </x:is>
      </x:c>
      <x:c r="S39" s="21" t="inlineStr">
        <x:is>
          <x:t xml:space="preserve">No</x:t>
        </x:is>
      </x:c>
    </x:row>
    <x:row r="40" ht="44" customHeight="1">
      <x:c r="A40" s="5" t="inlineStr">
        <x:is>
          <x:t xml:space="preserve">U036</x:t>
        </x:is>
      </x:c>
      <x:c r="B40" s="21" t="inlineStr">
        <x:is>
          <x:t xml:space="preserve"/>
        </x:is>
      </x:c>
      <x:c r="C40" s="21" t="inlineStr">
        <x:is>
          <x:t xml:space="preserve"/>
        </x:is>
      </x:c>
      <x:c r="D40" s="21" t="inlineStr">
        <x:is>
          <x:t xml:space="preserve"/>
        </x:is>
      </x:c>
      <x:c r="E40" s="21" t="inlineStr">
        <x:is>
          <x:t xml:space="preserve"/>
        </x:is>
      </x:c>
      <x:c r="F40" s="21" t="inlineStr">
        <x:is>
          <x:t xml:space="preserve"/>
        </x:is>
      </x:c>
      <x:c r="G40" s="21" t="inlineStr">
        <x:is>
          <x:t xml:space="preserve"/>
        </x:is>
      </x:c>
      <x:c r="H40" s="21" t="inlineStr">
        <x:is>
          <x:t xml:space="preserve"/>
        </x:is>
      </x:c>
      <x:c r="I40" s="21" t="inlineStr">
        <x:is>
          <x:t xml:space="preserve"/>
        </x:is>
      </x:c>
      <x:c r="J40" s="21" t="inlineStr">
        <x:is>
          <x:t xml:space="preserve"/>
        </x:is>
      </x:c>
      <x:c r="K40" s="21" t="inlineStr">
        <x:is>
          <x:t xml:space="preserve">No</x:t>
        </x:is>
      </x:c>
      <x:c r="L40" s="21" t="inlineStr">
        <x:is>
          <x:t xml:space="preserve">No</x:t>
        </x:is>
      </x:c>
      <x:c r="M40" s="21" t="inlineStr">
        <x:is>
          <x:t xml:space="preserve"/>
        </x:is>
      </x:c>
      <x:c r="N40" s="21" t="inlineStr">
        <x:is>
          <x:t xml:space="preserve"/>
        </x:is>
      </x:c>
      <x:c r="O40" s="21" t="inlineStr">
        <x:is>
          <x:t xml:space="preserve">No</x:t>
        </x:is>
      </x:c>
      <x:c r="P40" s="21" t="inlineStr">
        <x:is>
          <x:t xml:space="preserve">Unknown</x:t>
        </x:is>
      </x:c>
      <x:c r="Q40" s="21" t="inlineStr">
        <x:is>
          <x:t xml:space="preserve"/>
        </x:is>
      </x:c>
      <x:c r="R40" s="21" t="inlineStr">
        <x:is>
          <x:t xml:space="preserve">Unknown</x:t>
        </x:is>
      </x:c>
      <x:c r="S40" s="21" t="inlineStr">
        <x:is>
          <x:t xml:space="preserve">No</x:t>
        </x:is>
      </x:c>
    </x:row>
    <x:row r="41" ht="44" customHeight="1">
      <x:c r="A41" s="7" t="inlineStr">
        <x:is>
          <x:t xml:space="preserve">U037</x:t>
        </x:is>
      </x:c>
      <x:c r="B41" s="21" t="inlineStr">
        <x:is>
          <x:t xml:space="preserve"/>
        </x:is>
      </x:c>
      <x:c r="C41" s="21" t="inlineStr">
        <x:is>
          <x:t xml:space="preserve"/>
        </x:is>
      </x:c>
      <x:c r="D41" s="21" t="inlineStr">
        <x:is>
          <x:t xml:space="preserve"/>
        </x:is>
      </x:c>
      <x:c r="E41" s="21" t="inlineStr">
        <x:is>
          <x:t xml:space="preserve"/>
        </x:is>
      </x:c>
      <x:c r="F41" s="21" t="inlineStr">
        <x:is>
          <x:t xml:space="preserve"/>
        </x:is>
      </x:c>
      <x:c r="G41" s="21" t="inlineStr">
        <x:is>
          <x:t xml:space="preserve"/>
        </x:is>
      </x:c>
      <x:c r="H41" s="21" t="inlineStr">
        <x:is>
          <x:t xml:space="preserve"/>
        </x:is>
      </x:c>
      <x:c r="I41" s="21" t="inlineStr">
        <x:is>
          <x:t xml:space="preserve"/>
        </x:is>
      </x:c>
      <x:c r="J41" s="21" t="inlineStr">
        <x:is>
          <x:t xml:space="preserve"/>
        </x:is>
      </x:c>
      <x:c r="K41" s="21" t="inlineStr">
        <x:is>
          <x:t xml:space="preserve">No</x:t>
        </x:is>
      </x:c>
      <x:c r="L41" s="21" t="inlineStr">
        <x:is>
          <x:t xml:space="preserve">No</x:t>
        </x:is>
      </x:c>
      <x:c r="M41" s="21" t="inlineStr">
        <x:is>
          <x:t xml:space="preserve"/>
        </x:is>
      </x:c>
      <x:c r="N41" s="21" t="inlineStr">
        <x:is>
          <x:t xml:space="preserve"/>
        </x:is>
      </x:c>
      <x:c r="O41" s="21" t="inlineStr">
        <x:is>
          <x:t xml:space="preserve">No</x:t>
        </x:is>
      </x:c>
      <x:c r="P41" s="21" t="inlineStr">
        <x:is>
          <x:t xml:space="preserve">Unknown</x:t>
        </x:is>
      </x:c>
      <x:c r="Q41" s="21" t="inlineStr">
        <x:is>
          <x:t xml:space="preserve"/>
        </x:is>
      </x:c>
      <x:c r="R41" s="21" t="inlineStr">
        <x:is>
          <x:t xml:space="preserve">Unknown</x:t>
        </x:is>
      </x:c>
      <x:c r="S41" s="21" t="inlineStr">
        <x:is>
          <x:t xml:space="preserve">No</x:t>
        </x:is>
      </x:c>
    </x:row>
    <x:row r="42" ht="44" customHeight="1">
      <x:c r="A42" s="5" t="inlineStr">
        <x:is>
          <x:t xml:space="preserve">U038</x:t>
        </x:is>
      </x:c>
      <x:c r="B42" s="21" t="inlineStr">
        <x:is>
          <x:t xml:space="preserve"/>
        </x:is>
      </x:c>
      <x:c r="C42" s="21" t="inlineStr">
        <x:is>
          <x:t xml:space="preserve"/>
        </x:is>
      </x:c>
      <x:c r="D42" s="21" t="inlineStr">
        <x:is>
          <x:t xml:space="preserve"/>
        </x:is>
      </x:c>
      <x:c r="E42" s="21" t="inlineStr">
        <x:is>
          <x:t xml:space="preserve"/>
        </x:is>
      </x:c>
      <x:c r="F42" s="21" t="inlineStr">
        <x:is>
          <x:t xml:space="preserve"/>
        </x:is>
      </x:c>
      <x:c r="G42" s="21" t="inlineStr">
        <x:is>
          <x:t xml:space="preserve"/>
        </x:is>
      </x:c>
      <x:c r="H42" s="21" t="inlineStr">
        <x:is>
          <x:t xml:space="preserve"/>
        </x:is>
      </x:c>
      <x:c r="I42" s="21" t="inlineStr">
        <x:is>
          <x:t xml:space="preserve"/>
        </x:is>
      </x:c>
      <x:c r="J42" s="21" t="inlineStr">
        <x:is>
          <x:t xml:space="preserve"/>
        </x:is>
      </x:c>
      <x:c r="K42" s="21" t="inlineStr">
        <x:is>
          <x:t xml:space="preserve">No</x:t>
        </x:is>
      </x:c>
      <x:c r="L42" s="21" t="inlineStr">
        <x:is>
          <x:t xml:space="preserve">No</x:t>
        </x:is>
      </x:c>
      <x:c r="M42" s="21" t="inlineStr">
        <x:is>
          <x:t xml:space="preserve"/>
        </x:is>
      </x:c>
      <x:c r="N42" s="21" t="inlineStr">
        <x:is>
          <x:t xml:space="preserve"/>
        </x:is>
      </x:c>
      <x:c r="O42" s="21" t="inlineStr">
        <x:is>
          <x:t xml:space="preserve">No</x:t>
        </x:is>
      </x:c>
      <x:c r="P42" s="21" t="inlineStr">
        <x:is>
          <x:t xml:space="preserve">Unknown</x:t>
        </x:is>
      </x:c>
      <x:c r="Q42" s="21" t="inlineStr">
        <x:is>
          <x:t xml:space="preserve"/>
        </x:is>
      </x:c>
      <x:c r="R42" s="21" t="inlineStr">
        <x:is>
          <x:t xml:space="preserve">Unknown</x:t>
        </x:is>
      </x:c>
      <x:c r="S42" s="21" t="inlineStr">
        <x:is>
          <x:t xml:space="preserve">No</x:t>
        </x:is>
      </x:c>
    </x:row>
    <x:row r="43" ht="44" customHeight="1">
      <x:c r="A43" s="7" t="inlineStr">
        <x:is>
          <x:t xml:space="preserve">U039</x:t>
        </x:is>
      </x:c>
      <x:c r="B43" s="21" t="inlineStr">
        <x:is>
          <x:t xml:space="preserve"/>
        </x:is>
      </x:c>
      <x:c r="C43" s="21" t="inlineStr">
        <x:is>
          <x:t xml:space="preserve"/>
        </x:is>
      </x:c>
      <x:c r="D43" s="21" t="inlineStr">
        <x:is>
          <x:t xml:space="preserve"/>
        </x:is>
      </x:c>
      <x:c r="E43" s="21" t="inlineStr">
        <x:is>
          <x:t xml:space="preserve"/>
        </x:is>
      </x:c>
      <x:c r="F43" s="21" t="inlineStr">
        <x:is>
          <x:t xml:space="preserve"/>
        </x:is>
      </x:c>
      <x:c r="G43" s="21" t="inlineStr">
        <x:is>
          <x:t xml:space="preserve"/>
        </x:is>
      </x:c>
      <x:c r="H43" s="21" t="inlineStr">
        <x:is>
          <x:t xml:space="preserve"/>
        </x:is>
      </x:c>
      <x:c r="I43" s="21" t="inlineStr">
        <x:is>
          <x:t xml:space="preserve"/>
        </x:is>
      </x:c>
      <x:c r="J43" s="21" t="inlineStr">
        <x:is>
          <x:t xml:space="preserve"/>
        </x:is>
      </x:c>
      <x:c r="K43" s="21" t="inlineStr">
        <x:is>
          <x:t xml:space="preserve">No</x:t>
        </x:is>
      </x:c>
      <x:c r="L43" s="21" t="inlineStr">
        <x:is>
          <x:t xml:space="preserve">No</x:t>
        </x:is>
      </x:c>
      <x:c r="M43" s="21" t="inlineStr">
        <x:is>
          <x:t xml:space="preserve"/>
        </x:is>
      </x:c>
      <x:c r="N43" s="21" t="inlineStr">
        <x:is>
          <x:t xml:space="preserve"/>
        </x:is>
      </x:c>
      <x:c r="O43" s="21" t="inlineStr">
        <x:is>
          <x:t xml:space="preserve">No</x:t>
        </x:is>
      </x:c>
      <x:c r="P43" s="21" t="inlineStr">
        <x:is>
          <x:t xml:space="preserve">Unknown</x:t>
        </x:is>
      </x:c>
      <x:c r="Q43" s="21" t="inlineStr">
        <x:is>
          <x:t xml:space="preserve"/>
        </x:is>
      </x:c>
      <x:c r="R43" s="21" t="inlineStr">
        <x:is>
          <x:t xml:space="preserve">Unknown</x:t>
        </x:is>
      </x:c>
      <x:c r="S43" s="21" t="inlineStr">
        <x:is>
          <x:t xml:space="preserve">No</x:t>
        </x:is>
      </x:c>
    </x:row>
    <x:row r="44" ht="44" customHeight="1">
      <x:c r="A44" s="5" t="inlineStr">
        <x:is>
          <x:t xml:space="preserve">U040</x:t>
        </x:is>
      </x:c>
      <x:c r="B44" s="21" t="inlineStr">
        <x:is>
          <x:t xml:space="preserve"/>
        </x:is>
      </x:c>
      <x:c r="C44" s="21" t="inlineStr">
        <x:is>
          <x:t xml:space="preserve"/>
        </x:is>
      </x:c>
      <x:c r="D44" s="21" t="inlineStr">
        <x:is>
          <x:t xml:space="preserve"/>
        </x:is>
      </x:c>
      <x:c r="E44" s="21" t="inlineStr">
        <x:is>
          <x:t xml:space="preserve"/>
        </x:is>
      </x:c>
      <x:c r="F44" s="21" t="inlineStr">
        <x:is>
          <x:t xml:space="preserve"/>
        </x:is>
      </x:c>
      <x:c r="G44" s="21" t="inlineStr">
        <x:is>
          <x:t xml:space="preserve"/>
        </x:is>
      </x:c>
      <x:c r="H44" s="21" t="inlineStr">
        <x:is>
          <x:t xml:space="preserve"/>
        </x:is>
      </x:c>
      <x:c r="I44" s="21" t="inlineStr">
        <x:is>
          <x:t xml:space="preserve"/>
        </x:is>
      </x:c>
      <x:c r="J44" s="21" t="inlineStr">
        <x:is>
          <x:t xml:space="preserve"/>
        </x:is>
      </x:c>
      <x:c r="K44" s="21" t="inlineStr">
        <x:is>
          <x:t xml:space="preserve">No</x:t>
        </x:is>
      </x:c>
      <x:c r="L44" s="21" t="inlineStr">
        <x:is>
          <x:t xml:space="preserve">No</x:t>
        </x:is>
      </x:c>
      <x:c r="M44" s="21" t="inlineStr">
        <x:is>
          <x:t xml:space="preserve"/>
        </x:is>
      </x:c>
      <x:c r="N44" s="21" t="inlineStr">
        <x:is>
          <x:t xml:space="preserve"/>
        </x:is>
      </x:c>
      <x:c r="O44" s="21" t="inlineStr">
        <x:is>
          <x:t xml:space="preserve">No</x:t>
        </x:is>
      </x:c>
      <x:c r="P44" s="21" t="inlineStr">
        <x:is>
          <x:t xml:space="preserve">Unknown</x:t>
        </x:is>
      </x:c>
      <x:c r="Q44" s="21" t="inlineStr">
        <x:is>
          <x:t xml:space="preserve"/>
        </x:is>
      </x:c>
      <x:c r="R44" s="21" t="inlineStr">
        <x:is>
          <x:t xml:space="preserve">Unknown</x:t>
        </x:is>
      </x:c>
      <x:c r="S44" s="21" t="inlineStr">
        <x:is>
          <x:t xml:space="preserve">No</x:t>
        </x:is>
      </x:c>
    </x:row>
    <x:row r="45" ht="44" customHeight="1">
      <x:c r="A45" s="7" t="inlineStr">
        <x:is>
          <x:t xml:space="preserve">U041</x:t>
        </x:is>
      </x:c>
      <x:c r="B45" s="21" t="inlineStr">
        <x:is>
          <x:t xml:space="preserve"/>
        </x:is>
      </x:c>
      <x:c r="C45" s="21" t="inlineStr">
        <x:is>
          <x:t xml:space="preserve"/>
        </x:is>
      </x:c>
      <x:c r="D45" s="21" t="inlineStr">
        <x:is>
          <x:t xml:space="preserve"/>
        </x:is>
      </x:c>
      <x:c r="E45" s="21" t="inlineStr">
        <x:is>
          <x:t xml:space="preserve"/>
        </x:is>
      </x:c>
      <x:c r="F45" s="21" t="inlineStr">
        <x:is>
          <x:t xml:space="preserve"/>
        </x:is>
      </x:c>
      <x:c r="G45" s="21" t="inlineStr">
        <x:is>
          <x:t xml:space="preserve"/>
        </x:is>
      </x:c>
      <x:c r="H45" s="21" t="inlineStr">
        <x:is>
          <x:t xml:space="preserve"/>
        </x:is>
      </x:c>
      <x:c r="I45" s="21" t="inlineStr">
        <x:is>
          <x:t xml:space="preserve"/>
        </x:is>
      </x:c>
      <x:c r="J45" s="21" t="inlineStr">
        <x:is>
          <x:t xml:space="preserve"/>
        </x:is>
      </x:c>
      <x:c r="K45" s="21" t="inlineStr">
        <x:is>
          <x:t xml:space="preserve">No</x:t>
        </x:is>
      </x:c>
      <x:c r="L45" s="21" t="inlineStr">
        <x:is>
          <x:t xml:space="preserve">No</x:t>
        </x:is>
      </x:c>
      <x:c r="M45" s="21" t="inlineStr">
        <x:is>
          <x:t xml:space="preserve"/>
        </x:is>
      </x:c>
      <x:c r="N45" s="21" t="inlineStr">
        <x:is>
          <x:t xml:space="preserve"/>
        </x:is>
      </x:c>
      <x:c r="O45" s="21" t="inlineStr">
        <x:is>
          <x:t xml:space="preserve">No</x:t>
        </x:is>
      </x:c>
      <x:c r="P45" s="21" t="inlineStr">
        <x:is>
          <x:t xml:space="preserve">Unknown</x:t>
        </x:is>
      </x:c>
      <x:c r="Q45" s="21" t="inlineStr">
        <x:is>
          <x:t xml:space="preserve"/>
        </x:is>
      </x:c>
      <x:c r="R45" s="21" t="inlineStr">
        <x:is>
          <x:t xml:space="preserve">Unknown</x:t>
        </x:is>
      </x:c>
      <x:c r="S45" s="21" t="inlineStr">
        <x:is>
          <x:t xml:space="preserve">No</x:t>
        </x:is>
      </x:c>
    </x:row>
    <x:row r="46" ht="44" customHeight="1">
      <x:c r="A46" s="5" t="inlineStr">
        <x:is>
          <x:t xml:space="preserve">U042</x:t>
        </x:is>
      </x:c>
      <x:c r="B46" s="21" t="inlineStr">
        <x:is>
          <x:t xml:space="preserve"/>
        </x:is>
      </x:c>
      <x:c r="C46" s="21" t="inlineStr">
        <x:is>
          <x:t xml:space="preserve"/>
        </x:is>
      </x:c>
      <x:c r="D46" s="21" t="inlineStr">
        <x:is>
          <x:t xml:space="preserve"/>
        </x:is>
      </x:c>
      <x:c r="E46" s="21" t="inlineStr">
        <x:is>
          <x:t xml:space="preserve"/>
        </x:is>
      </x:c>
      <x:c r="F46" s="21" t="inlineStr">
        <x:is>
          <x:t xml:space="preserve"/>
        </x:is>
      </x:c>
      <x:c r="G46" s="21" t="inlineStr">
        <x:is>
          <x:t xml:space="preserve"/>
        </x:is>
      </x:c>
      <x:c r="H46" s="21" t="inlineStr">
        <x:is>
          <x:t xml:space="preserve"/>
        </x:is>
      </x:c>
      <x:c r="I46" s="21" t="inlineStr">
        <x:is>
          <x:t xml:space="preserve"/>
        </x:is>
      </x:c>
      <x:c r="J46" s="21" t="inlineStr">
        <x:is>
          <x:t xml:space="preserve"/>
        </x:is>
      </x:c>
      <x:c r="K46" s="21" t="inlineStr">
        <x:is>
          <x:t xml:space="preserve">No</x:t>
        </x:is>
      </x:c>
      <x:c r="L46" s="21" t="inlineStr">
        <x:is>
          <x:t xml:space="preserve">No</x:t>
        </x:is>
      </x:c>
      <x:c r="M46" s="21" t="inlineStr">
        <x:is>
          <x:t xml:space="preserve"/>
        </x:is>
      </x:c>
      <x:c r="N46" s="21" t="inlineStr">
        <x:is>
          <x:t xml:space="preserve"/>
        </x:is>
      </x:c>
      <x:c r="O46" s="21" t="inlineStr">
        <x:is>
          <x:t xml:space="preserve">No</x:t>
        </x:is>
      </x:c>
      <x:c r="P46" s="21" t="inlineStr">
        <x:is>
          <x:t xml:space="preserve">Unknown</x:t>
        </x:is>
      </x:c>
      <x:c r="Q46" s="21" t="inlineStr">
        <x:is>
          <x:t xml:space="preserve"/>
        </x:is>
      </x:c>
      <x:c r="R46" s="21" t="inlineStr">
        <x:is>
          <x:t xml:space="preserve">Unknown</x:t>
        </x:is>
      </x:c>
      <x:c r="S46" s="21" t="inlineStr">
        <x:is>
          <x:t xml:space="preserve">No</x:t>
        </x:is>
      </x:c>
    </x:row>
    <x:row r="47" ht="44" customHeight="1">
      <x:c r="A47" s="7" t="inlineStr">
        <x:is>
          <x:t xml:space="preserve">U043</x:t>
        </x:is>
      </x:c>
      <x:c r="B47" s="21" t="inlineStr">
        <x:is>
          <x:t xml:space="preserve"/>
        </x:is>
      </x:c>
      <x:c r="C47" s="21" t="inlineStr">
        <x:is>
          <x:t xml:space="preserve"/>
        </x:is>
      </x:c>
      <x:c r="D47" s="21" t="inlineStr">
        <x:is>
          <x:t xml:space="preserve"/>
        </x:is>
      </x:c>
      <x:c r="E47" s="21" t="inlineStr">
        <x:is>
          <x:t xml:space="preserve"/>
        </x:is>
      </x:c>
      <x:c r="F47" s="21" t="inlineStr">
        <x:is>
          <x:t xml:space="preserve"/>
        </x:is>
      </x:c>
      <x:c r="G47" s="21" t="inlineStr">
        <x:is>
          <x:t xml:space="preserve"/>
        </x:is>
      </x:c>
      <x:c r="H47" s="21" t="inlineStr">
        <x:is>
          <x:t xml:space="preserve"/>
        </x:is>
      </x:c>
      <x:c r="I47" s="21" t="inlineStr">
        <x:is>
          <x:t xml:space="preserve"/>
        </x:is>
      </x:c>
      <x:c r="J47" s="21" t="inlineStr">
        <x:is>
          <x:t xml:space="preserve"/>
        </x:is>
      </x:c>
      <x:c r="K47" s="21" t="inlineStr">
        <x:is>
          <x:t xml:space="preserve">No</x:t>
        </x:is>
      </x:c>
      <x:c r="L47" s="21" t="inlineStr">
        <x:is>
          <x:t xml:space="preserve">No</x:t>
        </x:is>
      </x:c>
      <x:c r="M47" s="21" t="inlineStr">
        <x:is>
          <x:t xml:space="preserve"/>
        </x:is>
      </x:c>
      <x:c r="N47" s="21" t="inlineStr">
        <x:is>
          <x:t xml:space="preserve"/>
        </x:is>
      </x:c>
      <x:c r="O47" s="21" t="inlineStr">
        <x:is>
          <x:t xml:space="preserve">No</x:t>
        </x:is>
      </x:c>
      <x:c r="P47" s="21" t="inlineStr">
        <x:is>
          <x:t xml:space="preserve">Unknown</x:t>
        </x:is>
      </x:c>
      <x:c r="Q47" s="21" t="inlineStr">
        <x:is>
          <x:t xml:space="preserve"/>
        </x:is>
      </x:c>
      <x:c r="R47" s="21" t="inlineStr">
        <x:is>
          <x:t xml:space="preserve">Unknown</x:t>
        </x:is>
      </x:c>
      <x:c r="S47" s="21" t="inlineStr">
        <x:is>
          <x:t xml:space="preserve">No</x:t>
        </x:is>
      </x:c>
    </x:row>
    <x:row r="48" ht="44" customHeight="1">
      <x:c r="A48" s="5" t="inlineStr">
        <x:is>
          <x:t xml:space="preserve">U044</x:t>
        </x:is>
      </x:c>
      <x:c r="B48" s="21" t="inlineStr">
        <x:is>
          <x:t xml:space="preserve"/>
        </x:is>
      </x:c>
      <x:c r="C48" s="21" t="inlineStr">
        <x:is>
          <x:t xml:space="preserve"/>
        </x:is>
      </x:c>
      <x:c r="D48" s="21" t="inlineStr">
        <x:is>
          <x:t xml:space="preserve"/>
        </x:is>
      </x:c>
      <x:c r="E48" s="21" t="inlineStr">
        <x:is>
          <x:t xml:space="preserve"/>
        </x:is>
      </x:c>
      <x:c r="F48" s="21" t="inlineStr">
        <x:is>
          <x:t xml:space="preserve"/>
        </x:is>
      </x:c>
      <x:c r="G48" s="21" t="inlineStr">
        <x:is>
          <x:t xml:space="preserve"/>
        </x:is>
      </x:c>
      <x:c r="H48" s="21" t="inlineStr">
        <x:is>
          <x:t xml:space="preserve"/>
        </x:is>
      </x:c>
      <x:c r="I48" s="21" t="inlineStr">
        <x:is>
          <x:t xml:space="preserve"/>
        </x:is>
      </x:c>
      <x:c r="J48" s="21" t="inlineStr">
        <x:is>
          <x:t xml:space="preserve"/>
        </x:is>
      </x:c>
      <x:c r="K48" s="21" t="inlineStr">
        <x:is>
          <x:t xml:space="preserve">No</x:t>
        </x:is>
      </x:c>
      <x:c r="L48" s="21" t="inlineStr">
        <x:is>
          <x:t xml:space="preserve">No</x:t>
        </x:is>
      </x:c>
      <x:c r="M48" s="21" t="inlineStr">
        <x:is>
          <x:t xml:space="preserve"/>
        </x:is>
      </x:c>
      <x:c r="N48" s="21" t="inlineStr">
        <x:is>
          <x:t xml:space="preserve"/>
        </x:is>
      </x:c>
      <x:c r="O48" s="21" t="inlineStr">
        <x:is>
          <x:t xml:space="preserve">No</x:t>
        </x:is>
      </x:c>
      <x:c r="P48" s="21" t="inlineStr">
        <x:is>
          <x:t xml:space="preserve">Unknown</x:t>
        </x:is>
      </x:c>
      <x:c r="Q48" s="21" t="inlineStr">
        <x:is>
          <x:t xml:space="preserve"/>
        </x:is>
      </x:c>
      <x:c r="R48" s="21" t="inlineStr">
        <x:is>
          <x:t xml:space="preserve">Unknown</x:t>
        </x:is>
      </x:c>
      <x:c r="S48" s="21" t="inlineStr">
        <x:is>
          <x:t xml:space="preserve">No</x:t>
        </x:is>
      </x:c>
    </x:row>
    <x:row r="49" ht="44" customHeight="1">
      <x:c r="A49" s="7" t="inlineStr">
        <x:is>
          <x:t xml:space="preserve">U045</x:t>
        </x:is>
      </x:c>
      <x:c r="B49" s="21" t="inlineStr">
        <x:is>
          <x:t xml:space="preserve"/>
        </x:is>
      </x:c>
      <x:c r="C49" s="21" t="inlineStr">
        <x:is>
          <x:t xml:space="preserve"/>
        </x:is>
      </x:c>
      <x:c r="D49" s="21" t="inlineStr">
        <x:is>
          <x:t xml:space="preserve"/>
        </x:is>
      </x:c>
      <x:c r="E49" s="21" t="inlineStr">
        <x:is>
          <x:t xml:space="preserve"/>
        </x:is>
      </x:c>
      <x:c r="F49" s="21" t="inlineStr">
        <x:is>
          <x:t xml:space="preserve"/>
        </x:is>
      </x:c>
      <x:c r="G49" s="21" t="inlineStr">
        <x:is>
          <x:t xml:space="preserve"/>
        </x:is>
      </x:c>
      <x:c r="H49" s="21" t="inlineStr">
        <x:is>
          <x:t xml:space="preserve"/>
        </x:is>
      </x:c>
      <x:c r="I49" s="21" t="inlineStr">
        <x:is>
          <x:t xml:space="preserve"/>
        </x:is>
      </x:c>
      <x:c r="J49" s="21" t="inlineStr">
        <x:is>
          <x:t xml:space="preserve"/>
        </x:is>
      </x:c>
      <x:c r="K49" s="21" t="inlineStr">
        <x:is>
          <x:t xml:space="preserve">No</x:t>
        </x:is>
      </x:c>
      <x:c r="L49" s="21" t="inlineStr">
        <x:is>
          <x:t xml:space="preserve">No</x:t>
        </x:is>
      </x:c>
      <x:c r="M49" s="21" t="inlineStr">
        <x:is>
          <x:t xml:space="preserve"/>
        </x:is>
      </x:c>
      <x:c r="N49" s="21" t="inlineStr">
        <x:is>
          <x:t xml:space="preserve"/>
        </x:is>
      </x:c>
      <x:c r="O49" s="21" t="inlineStr">
        <x:is>
          <x:t xml:space="preserve">No</x:t>
        </x:is>
      </x:c>
      <x:c r="P49" s="21" t="inlineStr">
        <x:is>
          <x:t xml:space="preserve">Unknown</x:t>
        </x:is>
      </x:c>
      <x:c r="Q49" s="21" t="inlineStr">
        <x:is>
          <x:t xml:space="preserve"/>
        </x:is>
      </x:c>
      <x:c r="R49" s="21" t="inlineStr">
        <x:is>
          <x:t xml:space="preserve">Unknown</x:t>
        </x:is>
      </x:c>
      <x:c r="S49" s="21" t="inlineStr">
        <x:is>
          <x:t xml:space="preserve">No</x:t>
        </x:is>
      </x:c>
    </x:row>
    <x:row r="50" ht="44" customHeight="1">
      <x:c r="A50" s="5" t="inlineStr">
        <x:is>
          <x:t xml:space="preserve">U046</x:t>
        </x:is>
      </x:c>
      <x:c r="B50" s="21" t="inlineStr">
        <x:is>
          <x:t xml:space="preserve"/>
        </x:is>
      </x:c>
      <x:c r="C50" s="21" t="inlineStr">
        <x:is>
          <x:t xml:space="preserve"/>
        </x:is>
      </x:c>
      <x:c r="D50" s="21" t="inlineStr">
        <x:is>
          <x:t xml:space="preserve"/>
        </x:is>
      </x:c>
      <x:c r="E50" s="21" t="inlineStr">
        <x:is>
          <x:t xml:space="preserve"/>
        </x:is>
      </x:c>
      <x:c r="F50" s="21" t="inlineStr">
        <x:is>
          <x:t xml:space="preserve"/>
        </x:is>
      </x:c>
      <x:c r="G50" s="21" t="inlineStr">
        <x:is>
          <x:t xml:space="preserve"/>
        </x:is>
      </x:c>
      <x:c r="H50" s="21" t="inlineStr">
        <x:is>
          <x:t xml:space="preserve"/>
        </x:is>
      </x:c>
      <x:c r="I50" s="21" t="inlineStr">
        <x:is>
          <x:t xml:space="preserve"/>
        </x:is>
      </x:c>
      <x:c r="J50" s="21" t="inlineStr">
        <x:is>
          <x:t xml:space="preserve"/>
        </x:is>
      </x:c>
      <x:c r="K50" s="21" t="inlineStr">
        <x:is>
          <x:t xml:space="preserve">No</x:t>
        </x:is>
      </x:c>
      <x:c r="L50" s="21" t="inlineStr">
        <x:is>
          <x:t xml:space="preserve">No</x:t>
        </x:is>
      </x:c>
      <x:c r="M50" s="21" t="inlineStr">
        <x:is>
          <x:t xml:space="preserve"/>
        </x:is>
      </x:c>
      <x:c r="N50" s="21" t="inlineStr">
        <x:is>
          <x:t xml:space="preserve"/>
        </x:is>
      </x:c>
      <x:c r="O50" s="21" t="inlineStr">
        <x:is>
          <x:t xml:space="preserve">No</x:t>
        </x:is>
      </x:c>
      <x:c r="P50" s="21" t="inlineStr">
        <x:is>
          <x:t xml:space="preserve">Unknown</x:t>
        </x:is>
      </x:c>
      <x:c r="Q50" s="21" t="inlineStr">
        <x:is>
          <x:t xml:space="preserve"/>
        </x:is>
      </x:c>
      <x:c r="R50" s="21" t="inlineStr">
        <x:is>
          <x:t xml:space="preserve">Unknown</x:t>
        </x:is>
      </x:c>
      <x:c r="S50" s="21" t="inlineStr">
        <x:is>
          <x:t xml:space="preserve">No</x:t>
        </x:is>
      </x:c>
    </x:row>
    <x:row r="51" ht="44" customHeight="1">
      <x:c r="A51" s="7" t="inlineStr">
        <x:is>
          <x:t xml:space="preserve">U047</x:t>
        </x:is>
      </x:c>
      <x:c r="B51" s="21" t="inlineStr">
        <x:is>
          <x:t xml:space="preserve"/>
        </x:is>
      </x:c>
      <x:c r="C51" s="21" t="inlineStr">
        <x:is>
          <x:t xml:space="preserve"/>
        </x:is>
      </x:c>
      <x:c r="D51" s="21" t="inlineStr">
        <x:is>
          <x:t xml:space="preserve"/>
        </x:is>
      </x:c>
      <x:c r="E51" s="21" t="inlineStr">
        <x:is>
          <x:t xml:space="preserve"/>
        </x:is>
      </x:c>
      <x:c r="F51" s="21" t="inlineStr">
        <x:is>
          <x:t xml:space="preserve"/>
        </x:is>
      </x:c>
      <x:c r="G51" s="21" t="inlineStr">
        <x:is>
          <x:t xml:space="preserve"/>
        </x:is>
      </x:c>
      <x:c r="H51" s="21" t="inlineStr">
        <x:is>
          <x:t xml:space="preserve"/>
        </x:is>
      </x:c>
      <x:c r="I51" s="21" t="inlineStr">
        <x:is>
          <x:t xml:space="preserve"/>
        </x:is>
      </x:c>
      <x:c r="J51" s="21" t="inlineStr">
        <x:is>
          <x:t xml:space="preserve"/>
        </x:is>
      </x:c>
      <x:c r="K51" s="21" t="inlineStr">
        <x:is>
          <x:t xml:space="preserve">No</x:t>
        </x:is>
      </x:c>
      <x:c r="L51" s="21" t="inlineStr">
        <x:is>
          <x:t xml:space="preserve">No</x:t>
        </x:is>
      </x:c>
      <x:c r="M51" s="21" t="inlineStr">
        <x:is>
          <x:t xml:space="preserve"/>
        </x:is>
      </x:c>
      <x:c r="N51" s="21" t="inlineStr">
        <x:is>
          <x:t xml:space="preserve"/>
        </x:is>
      </x:c>
      <x:c r="O51" s="21" t="inlineStr">
        <x:is>
          <x:t xml:space="preserve">No</x:t>
        </x:is>
      </x:c>
      <x:c r="P51" s="21" t="inlineStr">
        <x:is>
          <x:t xml:space="preserve">Unknown</x:t>
        </x:is>
      </x:c>
      <x:c r="Q51" s="21" t="inlineStr">
        <x:is>
          <x:t xml:space="preserve"/>
        </x:is>
      </x:c>
      <x:c r="R51" s="21" t="inlineStr">
        <x:is>
          <x:t xml:space="preserve">Unknown</x:t>
        </x:is>
      </x:c>
      <x:c r="S51" s="21" t="inlineStr">
        <x:is>
          <x:t xml:space="preserve">No</x:t>
        </x:is>
      </x:c>
    </x:row>
    <x:row r="52" ht="44" customHeight="1">
      <x:c r="A52" s="5" t="inlineStr">
        <x:is>
          <x:t xml:space="preserve">U048</x:t>
        </x:is>
      </x:c>
      <x:c r="B52" s="21" t="inlineStr">
        <x:is>
          <x:t xml:space="preserve"/>
        </x:is>
      </x:c>
      <x:c r="C52" s="21" t="inlineStr">
        <x:is>
          <x:t xml:space="preserve"/>
        </x:is>
      </x:c>
      <x:c r="D52" s="21" t="inlineStr">
        <x:is>
          <x:t xml:space="preserve"/>
        </x:is>
      </x:c>
      <x:c r="E52" s="21" t="inlineStr">
        <x:is>
          <x:t xml:space="preserve"/>
        </x:is>
      </x:c>
      <x:c r="F52" s="21" t="inlineStr">
        <x:is>
          <x:t xml:space="preserve"/>
        </x:is>
      </x:c>
      <x:c r="G52" s="21" t="inlineStr">
        <x:is>
          <x:t xml:space="preserve"/>
        </x:is>
      </x:c>
      <x:c r="H52" s="21" t="inlineStr">
        <x:is>
          <x:t xml:space="preserve"/>
        </x:is>
      </x:c>
      <x:c r="I52" s="21" t="inlineStr">
        <x:is>
          <x:t xml:space="preserve"/>
        </x:is>
      </x:c>
      <x:c r="J52" s="21" t="inlineStr">
        <x:is>
          <x:t xml:space="preserve"/>
        </x:is>
      </x:c>
      <x:c r="K52" s="21" t="inlineStr">
        <x:is>
          <x:t xml:space="preserve">No</x:t>
        </x:is>
      </x:c>
      <x:c r="L52" s="21" t="inlineStr">
        <x:is>
          <x:t xml:space="preserve">No</x:t>
        </x:is>
      </x:c>
      <x:c r="M52" s="21" t="inlineStr">
        <x:is>
          <x:t xml:space="preserve"/>
        </x:is>
      </x:c>
      <x:c r="N52" s="21" t="inlineStr">
        <x:is>
          <x:t xml:space="preserve"/>
        </x:is>
      </x:c>
      <x:c r="O52" s="21" t="inlineStr">
        <x:is>
          <x:t xml:space="preserve">No</x:t>
        </x:is>
      </x:c>
      <x:c r="P52" s="21" t="inlineStr">
        <x:is>
          <x:t xml:space="preserve">Unknown</x:t>
        </x:is>
      </x:c>
      <x:c r="Q52" s="21" t="inlineStr">
        <x:is>
          <x:t xml:space="preserve"/>
        </x:is>
      </x:c>
      <x:c r="R52" s="21" t="inlineStr">
        <x:is>
          <x:t xml:space="preserve">Unknown</x:t>
        </x:is>
      </x:c>
      <x:c r="S52" s="21" t="inlineStr">
        <x:is>
          <x:t xml:space="preserve">No</x:t>
        </x:is>
      </x:c>
    </x:row>
    <x:row r="53" ht="44" customHeight="1">
      <x:c r="A53" s="7" t="inlineStr">
        <x:is>
          <x:t xml:space="preserve">U049</x:t>
        </x:is>
      </x:c>
      <x:c r="B53" s="21" t="inlineStr">
        <x:is>
          <x:t xml:space="preserve"/>
        </x:is>
      </x:c>
      <x:c r="C53" s="21" t="inlineStr">
        <x:is>
          <x:t xml:space="preserve"/>
        </x:is>
      </x:c>
      <x:c r="D53" s="21" t="inlineStr">
        <x:is>
          <x:t xml:space="preserve"/>
        </x:is>
      </x:c>
      <x:c r="E53" s="21" t="inlineStr">
        <x:is>
          <x:t xml:space="preserve"/>
        </x:is>
      </x:c>
      <x:c r="F53" s="21" t="inlineStr">
        <x:is>
          <x:t xml:space="preserve"/>
        </x:is>
      </x:c>
      <x:c r="G53" s="21" t="inlineStr">
        <x:is>
          <x:t xml:space="preserve"/>
        </x:is>
      </x:c>
      <x:c r="H53" s="21" t="inlineStr">
        <x:is>
          <x:t xml:space="preserve"/>
        </x:is>
      </x:c>
      <x:c r="I53" s="21" t="inlineStr">
        <x:is>
          <x:t xml:space="preserve"/>
        </x:is>
      </x:c>
      <x:c r="J53" s="21" t="inlineStr">
        <x:is>
          <x:t xml:space="preserve"/>
        </x:is>
      </x:c>
      <x:c r="K53" s="21" t="inlineStr">
        <x:is>
          <x:t xml:space="preserve">No</x:t>
        </x:is>
      </x:c>
      <x:c r="L53" s="21" t="inlineStr">
        <x:is>
          <x:t xml:space="preserve">No</x:t>
        </x:is>
      </x:c>
      <x:c r="M53" s="21" t="inlineStr">
        <x:is>
          <x:t xml:space="preserve"/>
        </x:is>
      </x:c>
      <x:c r="N53" s="21" t="inlineStr">
        <x:is>
          <x:t xml:space="preserve"/>
        </x:is>
      </x:c>
      <x:c r="O53" s="21" t="inlineStr">
        <x:is>
          <x:t xml:space="preserve">No</x:t>
        </x:is>
      </x:c>
      <x:c r="P53" s="21" t="inlineStr">
        <x:is>
          <x:t xml:space="preserve">Unknown</x:t>
        </x:is>
      </x:c>
      <x:c r="Q53" s="21" t="inlineStr">
        <x:is>
          <x:t xml:space="preserve"/>
        </x:is>
      </x:c>
      <x:c r="R53" s="21" t="inlineStr">
        <x:is>
          <x:t xml:space="preserve">Unknown</x:t>
        </x:is>
      </x:c>
      <x:c r="S53" s="21" t="inlineStr">
        <x:is>
          <x:t xml:space="preserve">No</x:t>
        </x:is>
      </x:c>
    </x:row>
    <x:row r="54" ht="44" customHeight="1">
      <x:c r="A54" s="5" t="inlineStr">
        <x:is>
          <x:t xml:space="preserve">U050</x:t>
        </x:is>
      </x:c>
      <x:c r="B54" s="21" t="inlineStr">
        <x:is>
          <x:t xml:space="preserve"/>
        </x:is>
      </x:c>
      <x:c r="C54" s="21" t="inlineStr">
        <x:is>
          <x:t xml:space="preserve"/>
        </x:is>
      </x:c>
      <x:c r="D54" s="21" t="inlineStr">
        <x:is>
          <x:t xml:space="preserve"/>
        </x:is>
      </x:c>
      <x:c r="E54" s="21" t="inlineStr">
        <x:is>
          <x:t xml:space="preserve"/>
        </x:is>
      </x:c>
      <x:c r="F54" s="21" t="inlineStr">
        <x:is>
          <x:t xml:space="preserve"/>
        </x:is>
      </x:c>
      <x:c r="G54" s="21" t="inlineStr">
        <x:is>
          <x:t xml:space="preserve"/>
        </x:is>
      </x:c>
      <x:c r="H54" s="21" t="inlineStr">
        <x:is>
          <x:t xml:space="preserve"/>
        </x:is>
      </x:c>
      <x:c r="I54" s="21" t="inlineStr">
        <x:is>
          <x:t xml:space="preserve"/>
        </x:is>
      </x:c>
      <x:c r="J54" s="21" t="inlineStr">
        <x:is>
          <x:t xml:space="preserve"/>
        </x:is>
      </x:c>
      <x:c r="K54" s="21" t="inlineStr">
        <x:is>
          <x:t xml:space="preserve">No</x:t>
        </x:is>
      </x:c>
      <x:c r="L54" s="21" t="inlineStr">
        <x:is>
          <x:t xml:space="preserve">No</x:t>
        </x:is>
      </x:c>
      <x:c r="M54" s="21" t="inlineStr">
        <x:is>
          <x:t xml:space="preserve"/>
        </x:is>
      </x:c>
      <x:c r="N54" s="21" t="inlineStr">
        <x:is>
          <x:t xml:space="preserve"/>
        </x:is>
      </x:c>
      <x:c r="O54" s="21" t="inlineStr">
        <x:is>
          <x:t xml:space="preserve">No</x:t>
        </x:is>
      </x:c>
      <x:c r="P54" s="21" t="inlineStr">
        <x:is>
          <x:t xml:space="preserve">Unknown</x:t>
        </x:is>
      </x:c>
      <x:c r="Q54" s="21" t="inlineStr">
        <x:is>
          <x:t xml:space="preserve"/>
        </x:is>
      </x:c>
      <x:c r="R54" s="21" t="inlineStr">
        <x:is>
          <x:t xml:space="preserve">Unknown</x:t>
        </x:is>
      </x:c>
      <x:c r="S54" s="21" t="inlineStr">
        <x:is>
          <x:t xml:space="preserve">No</x:t>
        </x:is>
      </x:c>
    </x:row>
  </x:sheetData>
  <x:dataValidations count="5">
    <x:dataValidation type="list" allowBlank="1" showDropDown="0" showInputMessage="0" showErrorMessage="0" sqref="K5:L54">
      <x:formula1>=Lists!$E$5:$E$7</x:formula1>
    </x:dataValidation>
    <x:dataValidation type="list" allowBlank="1" showDropDown="0" showInputMessage="0" showErrorMessage="0" errorTitle="Invalid value" error="Choose a value from the dropdown." sqref="O5:O54">
      <x:formula1>"Yes,No,Unknown"</x:formula1>
    </x:dataValidation>
    <x:dataValidation type="list" allowBlank="1" showDropDown="0" showInputMessage="0" showErrorMessage="0" errorTitle="Invalid value" error="Choose a value from the dropdown." sqref="P5:P54">
      <x:formula1>"Active,Trial,Cancelled,Refunded,Never Paid,Unknown"</x:formula1>
    </x:dataValidation>
    <x:dataValidation type="list" allowBlank="1" showDropDown="0" showInputMessage="0" showErrorMessage="0" errorTitle="Invalid value" error="Choose a value from the dropdown." sqref="R5:R54">
      <x:formula1>"Low,Medium,High,Unknown"</x:formula1>
    </x:dataValidation>
    <x:dataValidation type="list" allowBlank="1" showDropDown="0" showInputMessage="0" showErrorMessage="0" errorTitle="Invalid value" error="Choose a value from the dropdown." sqref="S5:S54">
      <x:formula1>"Yes,No,Anonymized 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210ca25e8d44a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5" customWidth="1"/>
    <x:col min="3" max="3" width="16" customWidth="1"/>
    <x:col min="4" max="4" width="24" customWidth="1"/>
    <x:col min="5" max="5" width="24" customWidth="1"/>
    <x:col min="6" max="6" width="16" customWidth="1"/>
    <x:col min="7" max="7" width="18" customWidth="1"/>
    <x:col min="8" max="8" width="16" customWidth="1"/>
    <x:col min="9" max="9" width="16" customWidth="1"/>
    <x:col min="10" max="10" width="14" customWidth="1"/>
    <x:col min="11" max="11" width="16" customWidth="1"/>
    <x:col min="12" max="12" width="18" customWidth="1"/>
    <x:col min="13" max="13" width="34" customWidth="1"/>
    <x:col min="14" max="14" width="18" customWidth="1"/>
    <x:col min="15" max="15" width="16" customWidth="1"/>
    <x:col min="16" max="16" width="24" customWidth="1"/>
    <x:col min="17" max="17" width="16" customWidth="1"/>
    <x:col min="18" max="18" width="14" customWidth="1"/>
  </x:cols>
  <x:sheetData>
    <x:row r="1" ht="30" customHeight="1">
      <x:c r="A1" s="1" t="n"/>
      <x:c r="B1" s="1" t="inlineStr">
        <x:is>
          <x:t xml:space="preserve">Road Data &amp; Verification Ops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</x:row>
    <x:row r="2" ht="34" customHeight="1">
      <x:c r="A2" s="2" t="n"/>
      <x:c r="B2" s="2" t="inlineStr">
        <x:is>
          <x:t xml:space="preserve">Build the moat carefully: verified Kenya road-safety data, not copied or unsafe claims.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  <x:c r="Q2" s="2" t="n"/>
    </x:row>
    <x:row r="3"/>
    <x:row r="4" ht="32" customHeight="1">
      <x:c r="A4" s="10" t="inlineStr">
        <x:is>
          <x:t xml:space="preserve">Record ID</x:t>
        </x:is>
      </x:c>
      <x:c r="B4" s="10" t="inlineStr">
        <x:is>
          <x:t xml:space="preserve">Date</x:t>
        </x:is>
      </x:c>
      <x:c r="C4" s="10" t="inlineStr">
        <x:is>
          <x:t xml:space="preserve">County</x:t>
        </x:is>
      </x:c>
      <x:c r="D4" s="10" t="inlineStr">
        <x:is>
          <x:t xml:space="preserve">Road/Corridor</x:t>
        </x:is>
      </x:c>
      <x:c r="E4" s="10" t="inlineStr">
        <x:is>
          <x:t xml:space="preserve">Nearest Landmark</x:t>
        </x:is>
      </x:c>
      <x:c r="F4" s="10" t="inlineStr">
        <x:is>
          <x:t xml:space="preserve">Direction</x:t>
        </x:is>
      </x:c>
      <x:c r="G4" s="10" t="inlineStr">
        <x:is>
          <x:t xml:space="preserve">Data Type</x:t>
        </x:is>
      </x:c>
      <x:c r="H4" s="10" t="inlineStr">
        <x:is>
          <x:t xml:space="preserve">Latitude</x:t>
        </x:is>
      </x:c>
      <x:c r="I4" s="10" t="inlineStr">
        <x:is>
          <x:t xml:space="preserve">Longitude</x:t>
        </x:is>
      </x:c>
      <x:c r="J4" s="10" t="inlineStr">
        <x:is>
          <x:t xml:space="preserve">Speed Limit</x:t>
        </x:is>
      </x:c>
      <x:c r="K4" s="10" t="inlineStr">
        <x:is>
          <x:t xml:space="preserve">Source Type</x:t>
        </x:is>
      </x:c>
      <x:c r="L4" s="10" t="inlineStr">
        <x:is>
          <x:t xml:space="preserve">Confidence</x:t>
        </x:is>
      </x:c>
      <x:c r="M4" s="10" t="inlineStr">
        <x:is>
          <x:t xml:space="preserve">Evidence Link/Folder</x:t>
        </x:is>
      </x:c>
      <x:c r="N4" s="10" t="inlineStr">
        <x:is>
          <x:t xml:space="preserve">Verifier</x:t>
        </x:is>
      </x:c>
      <x:c r="O4" s="10" t="inlineStr">
        <x:is>
          <x:t xml:space="preserve">Last Verified</x:t>
        </x:is>
      </x:c>
      <x:c r="P4" s="10" t="inlineStr">
        <x:is>
          <x:t xml:space="preserve">Next Action</x:t>
        </x:is>
      </x:c>
      <x:c r="Q4" s="10" t="inlineStr">
        <x:is>
          <x:t xml:space="preserve">Status</x:t>
        </x:is>
      </x:c>
      <x:c r="R4" s="10" t="inlineStr">
        <x:is>
          <x:t xml:space="preserve">Field Trip ID</x:t>
        </x:is>
      </x:c>
    </x:row>
    <x:row r="5" ht="44" customHeight="1">
      <x:c r="A5" s="7" t="inlineStr">
        <x:is>
          <x:t xml:space="preserve">R001</x:t>
        </x:is>
      </x:c>
      <x:c r="B5" s="21" t="inlineStr">
        <x:is>
          <x:t xml:space="preserve"/>
        </x:is>
      </x:c>
      <x:c r="C5" s="21" t="inlineStr">
        <x:is>
          <x:t xml:space="preserve"/>
        </x:is>
      </x:c>
      <x:c r="D5" s="21" t="inlineStr">
        <x:is>
          <x:t xml:space="preserve"/>
        </x:is>
      </x:c>
      <x:c r="E5" s="21" t="inlineStr">
        <x:is>
          <x:t xml:space="preserve"/>
        </x:is>
      </x:c>
      <x:c r="F5" s="21" t="inlineStr">
        <x:is>
          <x:t xml:space="preserve"/>
        </x:is>
      </x:c>
      <x:c r="G5" s="21" t="inlineStr">
        <x:is>
          <x:t xml:space="preserve">Speed Limit</x:t>
        </x:is>
      </x:c>
      <x:c r="H5" s="21" t="inlineStr">
        <x:is>
          <x:t xml:space="preserve"/>
        </x:is>
      </x:c>
      <x:c r="I5" s="21" t="inlineStr">
        <x:is>
          <x:t xml:space="preserve"/>
        </x:is>
      </x:c>
      <x:c r="J5" s="21" t="inlineStr">
        <x:is>
          <x:t xml:space="preserve"/>
        </x:is>
      </x:c>
      <x:c r="K5" s="21" t="inlineStr">
        <x:is>
          <x:t xml:space="preserve">Field Photo</x:t>
        </x:is>
      </x:c>
      <x:c r="L5" s="21" t="inlineStr">
        <x:is>
          <x:t xml:space="preserve">D - Unverified</x:t>
        </x:is>
      </x:c>
      <x:c r="M5" s="21" t="inlineStr">
        <x:is>
          <x:t xml:space="preserve"/>
        </x:is>
      </x:c>
      <x:c r="N5" s="21" t="inlineStr">
        <x:is>
          <x:t xml:space="preserve"/>
        </x:is>
      </x:c>
      <x:c r="O5" s="21" t="inlineStr">
        <x:is>
          <x:t xml:space="preserve"/>
        </x:is>
      </x:c>
      <x:c r="P5" s="21" t="inlineStr">
        <x:is>
          <x:t xml:space="preserve"/>
        </x:is>
      </x:c>
      <x:c r="Q5" s="21" t="inlineStr">
        <x:is>
          <x:t xml:space="preserve">Not Started</x:t>
        </x:is>
      </x:c>
      <x:c r="R5" s="21" t="inlineStr">
        <x:is>
          <x:t xml:space="preserve"/>
        </x:is>
      </x:c>
    </x:row>
    <x:row r="6" ht="44" customHeight="1">
      <x:c r="A6" s="5" t="inlineStr">
        <x:is>
          <x:t xml:space="preserve">R002</x:t>
        </x:is>
      </x:c>
      <x:c r="B6" s="21" t="inlineStr">
        <x:is>
          <x:t xml:space="preserve"/>
        </x:is>
      </x:c>
      <x:c r="C6" s="21" t="inlineStr">
        <x:is>
          <x:t xml:space="preserve"/>
        </x:is>
      </x:c>
      <x:c r="D6" s="21" t="inlineStr">
        <x:is>
          <x:t xml:space="preserve"/>
        </x:is>
      </x:c>
      <x:c r="E6" s="21" t="inlineStr">
        <x:is>
          <x:t xml:space="preserve"/>
        </x:is>
      </x:c>
      <x:c r="F6" s="21" t="inlineStr">
        <x:is>
          <x:t xml:space="preserve"/>
        </x:is>
      </x:c>
      <x:c r="G6" s="21" t="inlineStr">
        <x:is>
          <x:t xml:space="preserve">Speed Limit</x:t>
        </x:is>
      </x:c>
      <x:c r="H6" s="21" t="inlineStr">
        <x:is>
          <x:t xml:space="preserve"/>
        </x:is>
      </x:c>
      <x:c r="I6" s="21" t="inlineStr">
        <x:is>
          <x:t xml:space="preserve"/>
        </x:is>
      </x:c>
      <x:c r="J6" s="21" t="inlineStr">
        <x:is>
          <x:t xml:space="preserve"/>
        </x:is>
      </x:c>
      <x:c r="K6" s="21" t="inlineStr">
        <x:is>
          <x:t xml:space="preserve">Field Photo</x:t>
        </x:is>
      </x:c>
      <x:c r="L6" s="21" t="inlineStr">
        <x:is>
          <x:t xml:space="preserve">D - Unverified</x:t>
        </x:is>
      </x:c>
      <x:c r="M6" s="21" t="inlineStr">
        <x:is>
          <x:t xml:space="preserve"/>
        </x:is>
      </x:c>
      <x:c r="N6" s="21" t="inlineStr">
        <x:is>
          <x:t xml:space="preserve"/>
        </x:is>
      </x:c>
      <x:c r="O6" s="21" t="inlineStr">
        <x:is>
          <x:t xml:space="preserve"/>
        </x:is>
      </x:c>
      <x:c r="P6" s="21" t="inlineStr">
        <x:is>
          <x:t xml:space="preserve"/>
        </x:is>
      </x:c>
      <x:c r="Q6" s="21" t="inlineStr">
        <x:is>
          <x:t xml:space="preserve">Not Started</x:t>
        </x:is>
      </x:c>
      <x:c r="R6" s="21" t="inlineStr">
        <x:is>
          <x:t xml:space="preserve"/>
        </x:is>
      </x:c>
    </x:row>
    <x:row r="7" ht="44" customHeight="1">
      <x:c r="A7" s="7" t="inlineStr">
        <x:is>
          <x:t xml:space="preserve">R003</x:t>
        </x:is>
      </x:c>
      <x:c r="B7" s="21" t="inlineStr">
        <x:is>
          <x:t xml:space="preserve"/>
        </x:is>
      </x:c>
      <x:c r="C7" s="21" t="inlineStr">
        <x:is>
          <x:t xml:space="preserve"/>
        </x:is>
      </x:c>
      <x:c r="D7" s="21" t="inlineStr">
        <x:is>
          <x:t xml:space="preserve"/>
        </x:is>
      </x:c>
      <x:c r="E7" s="21" t="inlineStr">
        <x:is>
          <x:t xml:space="preserve"/>
        </x:is>
      </x:c>
      <x:c r="F7" s="21" t="inlineStr">
        <x:is>
          <x:t xml:space="preserve"/>
        </x:is>
      </x:c>
      <x:c r="G7" s="21" t="inlineStr">
        <x:is>
          <x:t xml:space="preserve">Speed Limit</x:t>
        </x:is>
      </x:c>
      <x:c r="H7" s="21" t="inlineStr">
        <x:is>
          <x:t xml:space="preserve"/>
        </x:is>
      </x:c>
      <x:c r="I7" s="21" t="inlineStr">
        <x:is>
          <x:t xml:space="preserve"/>
        </x:is>
      </x:c>
      <x:c r="J7" s="21" t="inlineStr">
        <x:is>
          <x:t xml:space="preserve"/>
        </x:is>
      </x:c>
      <x:c r="K7" s="21" t="inlineStr">
        <x:is>
          <x:t xml:space="preserve">Field Photo</x:t>
        </x:is>
      </x:c>
      <x:c r="L7" s="21" t="inlineStr">
        <x:is>
          <x:t xml:space="preserve">D - Unverified</x:t>
        </x:is>
      </x:c>
      <x:c r="M7" s="21" t="inlineStr">
        <x:is>
          <x:t xml:space="preserve"/>
        </x:is>
      </x:c>
      <x:c r="N7" s="21" t="inlineStr">
        <x:is>
          <x:t xml:space="preserve"/>
        </x:is>
      </x:c>
      <x:c r="O7" s="21" t="inlineStr">
        <x:is>
          <x:t xml:space="preserve"/>
        </x:is>
      </x:c>
      <x:c r="P7" s="21" t="inlineStr">
        <x:is>
          <x:t xml:space="preserve"/>
        </x:is>
      </x:c>
      <x:c r="Q7" s="21" t="inlineStr">
        <x:is>
          <x:t xml:space="preserve">Not Started</x:t>
        </x:is>
      </x:c>
      <x:c r="R7" s="21" t="inlineStr">
        <x:is>
          <x:t xml:space="preserve"/>
        </x:is>
      </x:c>
    </x:row>
    <x:row r="8" ht="44" customHeight="1">
      <x:c r="A8" s="5" t="inlineStr">
        <x:is>
          <x:t xml:space="preserve">R004</x:t>
        </x:is>
      </x:c>
      <x:c r="B8" s="21" t="inlineStr">
        <x:is>
          <x:t xml:space="preserve"/>
        </x:is>
      </x:c>
      <x:c r="C8" s="21" t="inlineStr">
        <x:is>
          <x:t xml:space="preserve"/>
        </x:is>
      </x:c>
      <x:c r="D8" s="21" t="inlineStr">
        <x:is>
          <x:t xml:space="preserve"/>
        </x:is>
      </x:c>
      <x:c r="E8" s="21" t="inlineStr">
        <x:is>
          <x:t xml:space="preserve"/>
        </x:is>
      </x:c>
      <x:c r="F8" s="21" t="inlineStr">
        <x:is>
          <x:t xml:space="preserve"/>
        </x:is>
      </x:c>
      <x:c r="G8" s="21" t="inlineStr">
        <x:is>
          <x:t xml:space="preserve">Speed Limit</x:t>
        </x:is>
      </x:c>
      <x:c r="H8" s="21" t="inlineStr">
        <x:is>
          <x:t xml:space="preserve"/>
        </x:is>
      </x:c>
      <x:c r="I8" s="21" t="inlineStr">
        <x:is>
          <x:t xml:space="preserve"/>
        </x:is>
      </x:c>
      <x:c r="J8" s="21" t="inlineStr">
        <x:is>
          <x:t xml:space="preserve"/>
        </x:is>
      </x:c>
      <x:c r="K8" s="21" t="inlineStr">
        <x:is>
          <x:t xml:space="preserve">Field Photo</x:t>
        </x:is>
      </x:c>
      <x:c r="L8" s="21" t="inlineStr">
        <x:is>
          <x:t xml:space="preserve">D - Unverified</x:t>
        </x:is>
      </x:c>
      <x:c r="M8" s="21" t="inlineStr">
        <x:is>
          <x:t xml:space="preserve"/>
        </x:is>
      </x:c>
      <x:c r="N8" s="21" t="inlineStr">
        <x:is>
          <x:t xml:space="preserve"/>
        </x:is>
      </x:c>
      <x:c r="O8" s="21" t="inlineStr">
        <x:is>
          <x:t xml:space="preserve"/>
        </x:is>
      </x:c>
      <x:c r="P8" s="21" t="inlineStr">
        <x:is>
          <x:t xml:space="preserve"/>
        </x:is>
      </x:c>
      <x:c r="Q8" s="21" t="inlineStr">
        <x:is>
          <x:t xml:space="preserve">Not Started</x:t>
        </x:is>
      </x:c>
      <x:c r="R8" s="21" t="inlineStr">
        <x:is>
          <x:t xml:space="preserve"/>
        </x:is>
      </x:c>
    </x:row>
    <x:row r="9" ht="44" customHeight="1">
      <x:c r="A9" s="7" t="inlineStr">
        <x:is>
          <x:t xml:space="preserve">R005</x:t>
        </x:is>
      </x:c>
      <x:c r="B9" s="21" t="inlineStr">
        <x:is>
          <x:t xml:space="preserve"/>
        </x:is>
      </x:c>
      <x:c r="C9" s="21" t="inlineStr">
        <x:is>
          <x:t xml:space="preserve"/>
        </x:is>
      </x:c>
      <x:c r="D9" s="21" t="inlineStr">
        <x:is>
          <x:t xml:space="preserve"/>
        </x:is>
      </x:c>
      <x:c r="E9" s="21" t="inlineStr">
        <x:is>
          <x:t xml:space="preserve"/>
        </x:is>
      </x:c>
      <x:c r="F9" s="21" t="inlineStr">
        <x:is>
          <x:t xml:space="preserve"/>
        </x:is>
      </x:c>
      <x:c r="G9" s="21" t="inlineStr">
        <x:is>
          <x:t xml:space="preserve">Speed Limit</x:t>
        </x:is>
      </x:c>
      <x:c r="H9" s="21" t="inlineStr">
        <x:is>
          <x:t xml:space="preserve"/>
        </x:is>
      </x:c>
      <x:c r="I9" s="21" t="inlineStr">
        <x:is>
          <x:t xml:space="preserve"/>
        </x:is>
      </x:c>
      <x:c r="J9" s="21" t="inlineStr">
        <x:is>
          <x:t xml:space="preserve"/>
        </x:is>
      </x:c>
      <x:c r="K9" s="21" t="inlineStr">
        <x:is>
          <x:t xml:space="preserve">Field Photo</x:t>
        </x:is>
      </x:c>
      <x:c r="L9" s="21" t="inlineStr">
        <x:is>
          <x:t xml:space="preserve">D - Unverified</x:t>
        </x:is>
      </x:c>
      <x:c r="M9" s="21" t="inlineStr">
        <x:is>
          <x:t xml:space="preserve"/>
        </x:is>
      </x:c>
      <x:c r="N9" s="21" t="inlineStr">
        <x:is>
          <x:t xml:space="preserve"/>
        </x:is>
      </x:c>
      <x:c r="O9" s="21" t="inlineStr">
        <x:is>
          <x:t xml:space="preserve"/>
        </x:is>
      </x:c>
      <x:c r="P9" s="21" t="inlineStr">
        <x:is>
          <x:t xml:space="preserve"/>
        </x:is>
      </x:c>
      <x:c r="Q9" s="21" t="inlineStr">
        <x:is>
          <x:t xml:space="preserve">Not Started</x:t>
        </x:is>
      </x:c>
      <x:c r="R9" s="21" t="inlineStr">
        <x:is>
          <x:t xml:space="preserve"/>
        </x:is>
      </x:c>
    </x:row>
    <x:row r="10" ht="44" customHeight="1">
      <x:c r="A10" s="5" t="inlineStr">
        <x:is>
          <x:t xml:space="preserve">R006</x:t>
        </x:is>
      </x:c>
      <x:c r="B10" s="21" t="inlineStr">
        <x:is>
          <x:t xml:space="preserve"/>
        </x:is>
      </x:c>
      <x:c r="C10" s="21" t="inlineStr">
        <x:is>
          <x:t xml:space="preserve"/>
        </x:is>
      </x:c>
      <x:c r="D10" s="21" t="inlineStr">
        <x:is>
          <x:t xml:space="preserve"/>
        </x:is>
      </x:c>
      <x:c r="E10" s="21" t="inlineStr">
        <x:is>
          <x:t xml:space="preserve"/>
        </x:is>
      </x:c>
      <x:c r="F10" s="21" t="inlineStr">
        <x:is>
          <x:t xml:space="preserve"/>
        </x:is>
      </x:c>
      <x:c r="G10" s="21" t="inlineStr">
        <x:is>
          <x:t xml:space="preserve">Speed Limit</x:t>
        </x:is>
      </x:c>
      <x:c r="H10" s="21" t="inlineStr">
        <x:is>
          <x:t xml:space="preserve"/>
        </x:is>
      </x:c>
      <x:c r="I10" s="21" t="inlineStr">
        <x:is>
          <x:t xml:space="preserve"/>
        </x:is>
      </x:c>
      <x:c r="J10" s="21" t="inlineStr">
        <x:is>
          <x:t xml:space="preserve"/>
        </x:is>
      </x:c>
      <x:c r="K10" s="21" t="inlineStr">
        <x:is>
          <x:t xml:space="preserve">Field Photo</x:t>
        </x:is>
      </x:c>
      <x:c r="L10" s="21" t="inlineStr">
        <x:is>
          <x:t xml:space="preserve">D - Unverified</x:t>
        </x:is>
      </x:c>
      <x:c r="M10" s="21" t="inlineStr">
        <x:is>
          <x:t xml:space="preserve"/>
        </x:is>
      </x:c>
      <x:c r="N10" s="21" t="inlineStr">
        <x:is>
          <x:t xml:space="preserve"/>
        </x:is>
      </x:c>
      <x:c r="O10" s="21" t="inlineStr">
        <x:is>
          <x:t xml:space="preserve"/>
        </x:is>
      </x:c>
      <x:c r="P10" s="21" t="inlineStr">
        <x:is>
          <x:t xml:space="preserve"/>
        </x:is>
      </x:c>
      <x:c r="Q10" s="21" t="inlineStr">
        <x:is>
          <x:t xml:space="preserve">Not Started</x:t>
        </x:is>
      </x:c>
      <x:c r="R10" s="21" t="inlineStr">
        <x:is>
          <x:t xml:space="preserve"/>
        </x:is>
      </x:c>
    </x:row>
    <x:row r="11" ht="44" customHeight="1">
      <x:c r="A11" s="7" t="inlineStr">
        <x:is>
          <x:t xml:space="preserve">R007</x:t>
        </x:is>
      </x:c>
      <x:c r="B11" s="21" t="inlineStr">
        <x:is>
          <x:t xml:space="preserve"/>
        </x:is>
      </x:c>
      <x:c r="C11" s="21" t="inlineStr">
        <x:is>
          <x:t xml:space="preserve"/>
        </x:is>
      </x:c>
      <x:c r="D11" s="21" t="inlineStr">
        <x:is>
          <x:t xml:space="preserve"/>
        </x:is>
      </x:c>
      <x:c r="E11" s="21" t="inlineStr">
        <x:is>
          <x:t xml:space="preserve"/>
        </x:is>
      </x:c>
      <x:c r="F11" s="21" t="inlineStr">
        <x:is>
          <x:t xml:space="preserve"/>
        </x:is>
      </x:c>
      <x:c r="G11" s="21" t="inlineStr">
        <x:is>
          <x:t xml:space="preserve">Speed Limit</x:t>
        </x:is>
      </x:c>
      <x:c r="H11" s="21" t="inlineStr">
        <x:is>
          <x:t xml:space="preserve"/>
        </x:is>
      </x:c>
      <x:c r="I11" s="21" t="inlineStr">
        <x:is>
          <x:t xml:space="preserve"/>
        </x:is>
      </x:c>
      <x:c r="J11" s="21" t="inlineStr">
        <x:is>
          <x:t xml:space="preserve"/>
        </x:is>
      </x:c>
      <x:c r="K11" s="21" t="inlineStr">
        <x:is>
          <x:t xml:space="preserve">Field Photo</x:t>
        </x:is>
      </x:c>
      <x:c r="L11" s="21" t="inlineStr">
        <x:is>
          <x:t xml:space="preserve">D - Unverified</x:t>
        </x:is>
      </x:c>
      <x:c r="M11" s="21" t="inlineStr">
        <x:is>
          <x:t xml:space="preserve"/>
        </x:is>
      </x:c>
      <x:c r="N11" s="21" t="inlineStr">
        <x:is>
          <x:t xml:space="preserve"/>
        </x:is>
      </x:c>
      <x:c r="O11" s="21" t="inlineStr">
        <x:is>
          <x:t xml:space="preserve"/>
        </x:is>
      </x:c>
      <x:c r="P11" s="21" t="inlineStr">
        <x:is>
          <x:t xml:space="preserve"/>
        </x:is>
      </x:c>
      <x:c r="Q11" s="21" t="inlineStr">
        <x:is>
          <x:t xml:space="preserve">Not Started</x:t>
        </x:is>
      </x:c>
      <x:c r="R11" s="21" t="inlineStr">
        <x:is>
          <x:t xml:space="preserve"/>
        </x:is>
      </x:c>
    </x:row>
    <x:row r="12" ht="44" customHeight="1">
      <x:c r="A12" s="5" t="inlineStr">
        <x:is>
          <x:t xml:space="preserve">R008</x:t>
        </x:is>
      </x:c>
      <x:c r="B12" s="21" t="inlineStr">
        <x:is>
          <x:t xml:space="preserve"/>
        </x:is>
      </x:c>
      <x:c r="C12" s="21" t="inlineStr">
        <x:is>
          <x:t xml:space="preserve"/>
        </x:is>
      </x:c>
      <x:c r="D12" s="21" t="inlineStr">
        <x:is>
          <x:t xml:space="preserve"/>
        </x:is>
      </x:c>
      <x:c r="E12" s="21" t="inlineStr">
        <x:is>
          <x:t xml:space="preserve"/>
        </x:is>
      </x:c>
      <x:c r="F12" s="21" t="inlineStr">
        <x:is>
          <x:t xml:space="preserve"/>
        </x:is>
      </x:c>
      <x:c r="G12" s="21" t="inlineStr">
        <x:is>
          <x:t xml:space="preserve">Speed Limit</x:t>
        </x:is>
      </x:c>
      <x:c r="H12" s="21" t="inlineStr">
        <x:is>
          <x:t xml:space="preserve"/>
        </x:is>
      </x:c>
      <x:c r="I12" s="21" t="inlineStr">
        <x:is>
          <x:t xml:space="preserve"/>
        </x:is>
      </x:c>
      <x:c r="J12" s="21" t="inlineStr">
        <x:is>
          <x:t xml:space="preserve"/>
        </x:is>
      </x:c>
      <x:c r="K12" s="21" t="inlineStr">
        <x:is>
          <x:t xml:space="preserve">Field Photo</x:t>
        </x:is>
      </x:c>
      <x:c r="L12" s="21" t="inlineStr">
        <x:is>
          <x:t xml:space="preserve">D - Unverified</x:t>
        </x:is>
      </x:c>
      <x:c r="M12" s="21" t="inlineStr">
        <x:is>
          <x:t xml:space="preserve"/>
        </x:is>
      </x:c>
      <x:c r="N12" s="21" t="inlineStr">
        <x:is>
          <x:t xml:space="preserve"/>
        </x:is>
      </x:c>
      <x:c r="O12" s="21" t="inlineStr">
        <x:is>
          <x:t xml:space="preserve"/>
        </x:is>
      </x:c>
      <x:c r="P12" s="21" t="inlineStr">
        <x:is>
          <x:t xml:space="preserve"/>
        </x:is>
      </x:c>
      <x:c r="Q12" s="21" t="inlineStr">
        <x:is>
          <x:t xml:space="preserve">Not Started</x:t>
        </x:is>
      </x:c>
      <x:c r="R12" s="21" t="inlineStr">
        <x:is>
          <x:t xml:space="preserve"/>
        </x:is>
      </x:c>
    </x:row>
    <x:row r="13" ht="44" customHeight="1">
      <x:c r="A13" s="7" t="inlineStr">
        <x:is>
          <x:t xml:space="preserve">R009</x:t>
        </x:is>
      </x:c>
      <x:c r="B13" s="21" t="inlineStr">
        <x:is>
          <x:t xml:space="preserve"/>
        </x:is>
      </x:c>
      <x:c r="C13" s="21" t="inlineStr">
        <x:is>
          <x:t xml:space="preserve"/>
        </x:is>
      </x:c>
      <x:c r="D13" s="21" t="inlineStr">
        <x:is>
          <x:t xml:space="preserve"/>
        </x:is>
      </x:c>
      <x:c r="E13" s="21" t="inlineStr">
        <x:is>
          <x:t xml:space="preserve"/>
        </x:is>
      </x:c>
      <x:c r="F13" s="21" t="inlineStr">
        <x:is>
          <x:t xml:space="preserve"/>
        </x:is>
      </x:c>
      <x:c r="G13" s="21" t="inlineStr">
        <x:is>
          <x:t xml:space="preserve">Speed Limit</x:t>
        </x:is>
      </x:c>
      <x:c r="H13" s="21" t="inlineStr">
        <x:is>
          <x:t xml:space="preserve"/>
        </x:is>
      </x:c>
      <x:c r="I13" s="21" t="inlineStr">
        <x:is>
          <x:t xml:space="preserve"/>
        </x:is>
      </x:c>
      <x:c r="J13" s="21" t="inlineStr">
        <x:is>
          <x:t xml:space="preserve"/>
        </x:is>
      </x:c>
      <x:c r="K13" s="21" t="inlineStr">
        <x:is>
          <x:t xml:space="preserve">Field Photo</x:t>
        </x:is>
      </x:c>
      <x:c r="L13" s="21" t="inlineStr">
        <x:is>
          <x:t xml:space="preserve">D - Unverified</x:t>
        </x:is>
      </x:c>
      <x:c r="M13" s="21" t="inlineStr">
        <x:is>
          <x:t xml:space="preserve"/>
        </x:is>
      </x:c>
      <x:c r="N13" s="21" t="inlineStr">
        <x:is>
          <x:t xml:space="preserve"/>
        </x:is>
      </x:c>
      <x:c r="O13" s="21" t="inlineStr">
        <x:is>
          <x:t xml:space="preserve"/>
        </x:is>
      </x:c>
      <x:c r="P13" s="21" t="inlineStr">
        <x:is>
          <x:t xml:space="preserve"/>
        </x:is>
      </x:c>
      <x:c r="Q13" s="21" t="inlineStr">
        <x:is>
          <x:t xml:space="preserve">Not Started</x:t>
        </x:is>
      </x:c>
      <x:c r="R13" s="21" t="inlineStr">
        <x:is>
          <x:t xml:space="preserve"/>
        </x:is>
      </x:c>
    </x:row>
    <x:row r="14" ht="44" customHeight="1">
      <x:c r="A14" s="5" t="inlineStr">
        <x:is>
          <x:t xml:space="preserve">R010</x:t>
        </x:is>
      </x:c>
      <x:c r="B14" s="21" t="inlineStr">
        <x:is>
          <x:t xml:space="preserve"/>
        </x:is>
      </x:c>
      <x:c r="C14" s="21" t="inlineStr">
        <x:is>
          <x:t xml:space="preserve"/>
        </x:is>
      </x:c>
      <x:c r="D14" s="21" t="inlineStr">
        <x:is>
          <x:t xml:space="preserve"/>
        </x:is>
      </x:c>
      <x:c r="E14" s="21" t="inlineStr">
        <x:is>
          <x:t xml:space="preserve"/>
        </x:is>
      </x:c>
      <x:c r="F14" s="21" t="inlineStr">
        <x:is>
          <x:t xml:space="preserve"/>
        </x:is>
      </x:c>
      <x:c r="G14" s="21" t="inlineStr">
        <x:is>
          <x:t xml:space="preserve">Speed Limit</x:t>
        </x:is>
      </x:c>
      <x:c r="H14" s="21" t="inlineStr">
        <x:is>
          <x:t xml:space="preserve"/>
        </x:is>
      </x:c>
      <x:c r="I14" s="21" t="inlineStr">
        <x:is>
          <x:t xml:space="preserve"/>
        </x:is>
      </x:c>
      <x:c r="J14" s="21" t="inlineStr">
        <x:is>
          <x:t xml:space="preserve"/>
        </x:is>
      </x:c>
      <x:c r="K14" s="21" t="inlineStr">
        <x:is>
          <x:t xml:space="preserve">Field Photo</x:t>
        </x:is>
      </x:c>
      <x:c r="L14" s="21" t="inlineStr">
        <x:is>
          <x:t xml:space="preserve">D - Unverified</x:t>
        </x:is>
      </x:c>
      <x:c r="M14" s="21" t="inlineStr">
        <x:is>
          <x:t xml:space="preserve"/>
        </x:is>
      </x:c>
      <x:c r="N14" s="21" t="inlineStr">
        <x:is>
          <x:t xml:space="preserve"/>
        </x:is>
      </x:c>
      <x:c r="O14" s="21" t="inlineStr">
        <x:is>
          <x:t xml:space="preserve"/>
        </x:is>
      </x:c>
      <x:c r="P14" s="21" t="inlineStr">
        <x:is>
          <x:t xml:space="preserve"/>
        </x:is>
      </x:c>
      <x:c r="Q14" s="21" t="inlineStr">
        <x:is>
          <x:t xml:space="preserve">Not Started</x:t>
        </x:is>
      </x:c>
      <x:c r="R14" s="21" t="inlineStr">
        <x:is>
          <x:t xml:space="preserve"/>
        </x:is>
      </x:c>
    </x:row>
    <x:row r="15" ht="44" customHeight="1">
      <x:c r="A15" s="7" t="inlineStr">
        <x:is>
          <x:t xml:space="preserve">R011</x:t>
        </x:is>
      </x:c>
      <x:c r="B15" s="21" t="inlineStr">
        <x:is>
          <x:t xml:space="preserve"/>
        </x:is>
      </x:c>
      <x:c r="C15" s="21" t="inlineStr">
        <x:is>
          <x:t xml:space="preserve"/>
        </x:is>
      </x:c>
      <x:c r="D15" s="21" t="inlineStr">
        <x:is>
          <x:t xml:space="preserve"/>
        </x:is>
      </x:c>
      <x:c r="E15" s="21" t="inlineStr">
        <x:is>
          <x:t xml:space="preserve"/>
        </x:is>
      </x:c>
      <x:c r="F15" s="21" t="inlineStr">
        <x:is>
          <x:t xml:space="preserve"/>
        </x:is>
      </x:c>
      <x:c r="G15" s="21" t="inlineStr">
        <x:is>
          <x:t xml:space="preserve">Speed Limit</x:t>
        </x:is>
      </x:c>
      <x:c r="H15" s="21" t="inlineStr">
        <x:is>
          <x:t xml:space="preserve"/>
        </x:is>
      </x:c>
      <x:c r="I15" s="21" t="inlineStr">
        <x:is>
          <x:t xml:space="preserve"/>
        </x:is>
      </x:c>
      <x:c r="J15" s="21" t="inlineStr">
        <x:is>
          <x:t xml:space="preserve"/>
        </x:is>
      </x:c>
      <x:c r="K15" s="21" t="inlineStr">
        <x:is>
          <x:t xml:space="preserve">Field Photo</x:t>
        </x:is>
      </x:c>
      <x:c r="L15" s="21" t="inlineStr">
        <x:is>
          <x:t xml:space="preserve">D - Unverified</x:t>
        </x:is>
      </x:c>
      <x:c r="M15" s="21" t="inlineStr">
        <x:is>
          <x:t xml:space="preserve"/>
        </x:is>
      </x:c>
      <x:c r="N15" s="21" t="inlineStr">
        <x:is>
          <x:t xml:space="preserve"/>
        </x:is>
      </x:c>
      <x:c r="O15" s="21" t="inlineStr">
        <x:is>
          <x:t xml:space="preserve"/>
        </x:is>
      </x:c>
      <x:c r="P15" s="21" t="inlineStr">
        <x:is>
          <x:t xml:space="preserve"/>
        </x:is>
      </x:c>
      <x:c r="Q15" s="21" t="inlineStr">
        <x:is>
          <x:t xml:space="preserve">Not Started</x:t>
        </x:is>
      </x:c>
      <x:c r="R15" s="21" t="inlineStr">
        <x:is>
          <x:t xml:space="preserve"/>
        </x:is>
      </x:c>
    </x:row>
    <x:row r="16" ht="44" customHeight="1">
      <x:c r="A16" s="5" t="inlineStr">
        <x:is>
          <x:t xml:space="preserve">R012</x:t>
        </x:is>
      </x:c>
      <x:c r="B16" s="21" t="inlineStr">
        <x:is>
          <x:t xml:space="preserve"/>
        </x:is>
      </x:c>
      <x:c r="C16" s="21" t="inlineStr">
        <x:is>
          <x:t xml:space="preserve"/>
        </x:is>
      </x:c>
      <x:c r="D16" s="21" t="inlineStr">
        <x:is>
          <x:t xml:space="preserve"/>
        </x:is>
      </x:c>
      <x:c r="E16" s="21" t="inlineStr">
        <x:is>
          <x:t xml:space="preserve"/>
        </x:is>
      </x:c>
      <x:c r="F16" s="21" t="inlineStr">
        <x:is>
          <x:t xml:space="preserve"/>
        </x:is>
      </x:c>
      <x:c r="G16" s="21" t="inlineStr">
        <x:is>
          <x:t xml:space="preserve">Speed Limit</x:t>
        </x:is>
      </x:c>
      <x:c r="H16" s="21" t="inlineStr">
        <x:is>
          <x:t xml:space="preserve"/>
        </x:is>
      </x:c>
      <x:c r="I16" s="21" t="inlineStr">
        <x:is>
          <x:t xml:space="preserve"/>
        </x:is>
      </x:c>
      <x:c r="J16" s="21" t="inlineStr">
        <x:is>
          <x:t xml:space="preserve"/>
        </x:is>
      </x:c>
      <x:c r="K16" s="21" t="inlineStr">
        <x:is>
          <x:t xml:space="preserve">Field Photo</x:t>
        </x:is>
      </x:c>
      <x:c r="L16" s="21" t="inlineStr">
        <x:is>
          <x:t xml:space="preserve">D - Unverified</x:t>
        </x:is>
      </x:c>
      <x:c r="M16" s="21" t="inlineStr">
        <x:is>
          <x:t xml:space="preserve"/>
        </x:is>
      </x:c>
      <x:c r="N16" s="21" t="inlineStr">
        <x:is>
          <x:t xml:space="preserve"/>
        </x:is>
      </x:c>
      <x:c r="O16" s="21" t="inlineStr">
        <x:is>
          <x:t xml:space="preserve"/>
        </x:is>
      </x:c>
      <x:c r="P16" s="21" t="inlineStr">
        <x:is>
          <x:t xml:space="preserve"/>
        </x:is>
      </x:c>
      <x:c r="Q16" s="21" t="inlineStr">
        <x:is>
          <x:t xml:space="preserve">Not Started</x:t>
        </x:is>
      </x:c>
      <x:c r="R16" s="21" t="inlineStr">
        <x:is>
          <x:t xml:space="preserve"/>
        </x:is>
      </x:c>
    </x:row>
    <x:row r="17" ht="44" customHeight="1">
      <x:c r="A17" s="7" t="inlineStr">
        <x:is>
          <x:t xml:space="preserve">R013</x:t>
        </x:is>
      </x:c>
      <x:c r="B17" s="21" t="inlineStr">
        <x:is>
          <x:t xml:space="preserve"/>
        </x:is>
      </x:c>
      <x:c r="C17" s="21" t="inlineStr">
        <x:is>
          <x:t xml:space="preserve"/>
        </x:is>
      </x:c>
      <x:c r="D17" s="21" t="inlineStr">
        <x:is>
          <x:t xml:space="preserve"/>
        </x:is>
      </x:c>
      <x:c r="E17" s="21" t="inlineStr">
        <x:is>
          <x:t xml:space="preserve"/>
        </x:is>
      </x:c>
      <x:c r="F17" s="21" t="inlineStr">
        <x:is>
          <x:t xml:space="preserve"/>
        </x:is>
      </x:c>
      <x:c r="G17" s="21" t="inlineStr">
        <x:is>
          <x:t xml:space="preserve">Speed Limit</x:t>
        </x:is>
      </x:c>
      <x:c r="H17" s="21" t="inlineStr">
        <x:is>
          <x:t xml:space="preserve"/>
        </x:is>
      </x:c>
      <x:c r="I17" s="21" t="inlineStr">
        <x:is>
          <x:t xml:space="preserve"/>
        </x:is>
      </x:c>
      <x:c r="J17" s="21" t="inlineStr">
        <x:is>
          <x:t xml:space="preserve"/>
        </x:is>
      </x:c>
      <x:c r="K17" s="21" t="inlineStr">
        <x:is>
          <x:t xml:space="preserve">Field Photo</x:t>
        </x:is>
      </x:c>
      <x:c r="L17" s="21" t="inlineStr">
        <x:is>
          <x:t xml:space="preserve">D - Unverified</x:t>
        </x:is>
      </x:c>
      <x:c r="M17" s="21" t="inlineStr">
        <x:is>
          <x:t xml:space="preserve"/>
        </x:is>
      </x:c>
      <x:c r="N17" s="21" t="inlineStr">
        <x:is>
          <x:t xml:space="preserve"/>
        </x:is>
      </x:c>
      <x:c r="O17" s="21" t="inlineStr">
        <x:is>
          <x:t xml:space="preserve"/>
        </x:is>
      </x:c>
      <x:c r="P17" s="21" t="inlineStr">
        <x:is>
          <x:t xml:space="preserve"/>
        </x:is>
      </x:c>
      <x:c r="Q17" s="21" t="inlineStr">
        <x:is>
          <x:t xml:space="preserve">Not Started</x:t>
        </x:is>
      </x:c>
      <x:c r="R17" s="21" t="inlineStr">
        <x:is>
          <x:t xml:space="preserve"/>
        </x:is>
      </x:c>
    </x:row>
    <x:row r="18" ht="44" customHeight="1">
      <x:c r="A18" s="5" t="inlineStr">
        <x:is>
          <x:t xml:space="preserve">R014</x:t>
        </x:is>
      </x:c>
      <x:c r="B18" s="21" t="inlineStr">
        <x:is>
          <x:t xml:space="preserve"/>
        </x:is>
      </x:c>
      <x:c r="C18" s="21" t="inlineStr">
        <x:is>
          <x:t xml:space="preserve"/>
        </x:is>
      </x:c>
      <x:c r="D18" s="21" t="inlineStr">
        <x:is>
          <x:t xml:space="preserve"/>
        </x:is>
      </x:c>
      <x:c r="E18" s="21" t="inlineStr">
        <x:is>
          <x:t xml:space="preserve"/>
        </x:is>
      </x:c>
      <x:c r="F18" s="21" t="inlineStr">
        <x:is>
          <x:t xml:space="preserve"/>
        </x:is>
      </x:c>
      <x:c r="G18" s="21" t="inlineStr">
        <x:is>
          <x:t xml:space="preserve">Speed Limit</x:t>
        </x:is>
      </x:c>
      <x:c r="H18" s="21" t="inlineStr">
        <x:is>
          <x:t xml:space="preserve"/>
        </x:is>
      </x:c>
      <x:c r="I18" s="21" t="inlineStr">
        <x:is>
          <x:t xml:space="preserve"/>
        </x:is>
      </x:c>
      <x:c r="J18" s="21" t="inlineStr">
        <x:is>
          <x:t xml:space="preserve"/>
        </x:is>
      </x:c>
      <x:c r="K18" s="21" t="inlineStr">
        <x:is>
          <x:t xml:space="preserve">Field Photo</x:t>
        </x:is>
      </x:c>
      <x:c r="L18" s="21" t="inlineStr">
        <x:is>
          <x:t xml:space="preserve">D - Unverified</x:t>
        </x:is>
      </x:c>
      <x:c r="M18" s="21" t="inlineStr">
        <x:is>
          <x:t xml:space="preserve"/>
        </x:is>
      </x:c>
      <x:c r="N18" s="21" t="inlineStr">
        <x:is>
          <x:t xml:space="preserve"/>
        </x:is>
      </x:c>
      <x:c r="O18" s="21" t="inlineStr">
        <x:is>
          <x:t xml:space="preserve"/>
        </x:is>
      </x:c>
      <x:c r="P18" s="21" t="inlineStr">
        <x:is>
          <x:t xml:space="preserve"/>
        </x:is>
      </x:c>
      <x:c r="Q18" s="21" t="inlineStr">
        <x:is>
          <x:t xml:space="preserve">Not Started</x:t>
        </x:is>
      </x:c>
      <x:c r="R18" s="21" t="inlineStr">
        <x:is>
          <x:t xml:space="preserve"/>
        </x:is>
      </x:c>
    </x:row>
    <x:row r="19" ht="44" customHeight="1">
      <x:c r="A19" s="7" t="inlineStr">
        <x:is>
          <x:t xml:space="preserve">R015</x:t>
        </x:is>
      </x:c>
      <x:c r="B19" s="21" t="inlineStr">
        <x:is>
          <x:t xml:space="preserve"/>
        </x:is>
      </x:c>
      <x:c r="C19" s="21" t="inlineStr">
        <x:is>
          <x:t xml:space="preserve"/>
        </x:is>
      </x:c>
      <x:c r="D19" s="21" t="inlineStr">
        <x:is>
          <x:t xml:space="preserve"/>
        </x:is>
      </x:c>
      <x:c r="E19" s="21" t="inlineStr">
        <x:is>
          <x:t xml:space="preserve"/>
        </x:is>
      </x:c>
      <x:c r="F19" s="21" t="inlineStr">
        <x:is>
          <x:t xml:space="preserve"/>
        </x:is>
      </x:c>
      <x:c r="G19" s="21" t="inlineStr">
        <x:is>
          <x:t xml:space="preserve">Speed Limit</x:t>
        </x:is>
      </x:c>
      <x:c r="H19" s="21" t="inlineStr">
        <x:is>
          <x:t xml:space="preserve"/>
        </x:is>
      </x:c>
      <x:c r="I19" s="21" t="inlineStr">
        <x:is>
          <x:t xml:space="preserve"/>
        </x:is>
      </x:c>
      <x:c r="J19" s="21" t="inlineStr">
        <x:is>
          <x:t xml:space="preserve"/>
        </x:is>
      </x:c>
      <x:c r="K19" s="21" t="inlineStr">
        <x:is>
          <x:t xml:space="preserve">Field Photo</x:t>
        </x:is>
      </x:c>
      <x:c r="L19" s="21" t="inlineStr">
        <x:is>
          <x:t xml:space="preserve">D - Unverified</x:t>
        </x:is>
      </x:c>
      <x:c r="M19" s="21" t="inlineStr">
        <x:is>
          <x:t xml:space="preserve"/>
        </x:is>
      </x:c>
      <x:c r="N19" s="21" t="inlineStr">
        <x:is>
          <x:t xml:space="preserve"/>
        </x:is>
      </x:c>
      <x:c r="O19" s="21" t="inlineStr">
        <x:is>
          <x:t xml:space="preserve"/>
        </x:is>
      </x:c>
      <x:c r="P19" s="21" t="inlineStr">
        <x:is>
          <x:t xml:space="preserve"/>
        </x:is>
      </x:c>
      <x:c r="Q19" s="21" t="inlineStr">
        <x:is>
          <x:t xml:space="preserve">Not Started</x:t>
        </x:is>
      </x:c>
      <x:c r="R19" s="21" t="inlineStr">
        <x:is>
          <x:t xml:space="preserve"/>
        </x:is>
      </x:c>
    </x:row>
    <x:row r="20" ht="44" customHeight="1">
      <x:c r="A20" s="5" t="inlineStr">
        <x:is>
          <x:t xml:space="preserve">R016</x:t>
        </x:is>
      </x:c>
      <x:c r="B20" s="21" t="inlineStr">
        <x:is>
          <x:t xml:space="preserve"/>
        </x:is>
      </x:c>
      <x:c r="C20" s="21" t="inlineStr">
        <x:is>
          <x:t xml:space="preserve"/>
        </x:is>
      </x:c>
      <x:c r="D20" s="21" t="inlineStr">
        <x:is>
          <x:t xml:space="preserve"/>
        </x:is>
      </x:c>
      <x:c r="E20" s="21" t="inlineStr">
        <x:is>
          <x:t xml:space="preserve"/>
        </x:is>
      </x:c>
      <x:c r="F20" s="21" t="inlineStr">
        <x:is>
          <x:t xml:space="preserve"/>
        </x:is>
      </x:c>
      <x:c r="G20" s="21" t="inlineStr">
        <x:is>
          <x:t xml:space="preserve">Speed Limit</x:t>
        </x:is>
      </x:c>
      <x:c r="H20" s="21" t="inlineStr">
        <x:is>
          <x:t xml:space="preserve"/>
        </x:is>
      </x:c>
      <x:c r="I20" s="21" t="inlineStr">
        <x:is>
          <x:t xml:space="preserve"/>
        </x:is>
      </x:c>
      <x:c r="J20" s="21" t="inlineStr">
        <x:is>
          <x:t xml:space="preserve"/>
        </x:is>
      </x:c>
      <x:c r="K20" s="21" t="inlineStr">
        <x:is>
          <x:t xml:space="preserve">Field Photo</x:t>
        </x:is>
      </x:c>
      <x:c r="L20" s="21" t="inlineStr">
        <x:is>
          <x:t xml:space="preserve">D - Unverified</x:t>
        </x:is>
      </x:c>
      <x:c r="M20" s="21" t="inlineStr">
        <x:is>
          <x:t xml:space="preserve"/>
        </x:is>
      </x:c>
      <x:c r="N20" s="21" t="inlineStr">
        <x:is>
          <x:t xml:space="preserve"/>
        </x:is>
      </x:c>
      <x:c r="O20" s="21" t="inlineStr">
        <x:is>
          <x:t xml:space="preserve"/>
        </x:is>
      </x:c>
      <x:c r="P20" s="21" t="inlineStr">
        <x:is>
          <x:t xml:space="preserve"/>
        </x:is>
      </x:c>
      <x:c r="Q20" s="21" t="inlineStr">
        <x:is>
          <x:t xml:space="preserve">Not Started</x:t>
        </x:is>
      </x:c>
      <x:c r="R20" s="21" t="inlineStr">
        <x:is>
          <x:t xml:space="preserve"/>
        </x:is>
      </x:c>
    </x:row>
    <x:row r="21" ht="44" customHeight="1">
      <x:c r="A21" s="7" t="inlineStr">
        <x:is>
          <x:t xml:space="preserve">R017</x:t>
        </x:is>
      </x:c>
      <x:c r="B21" s="21" t="inlineStr">
        <x:is>
          <x:t xml:space="preserve"/>
        </x:is>
      </x:c>
      <x:c r="C21" s="21" t="inlineStr">
        <x:is>
          <x:t xml:space="preserve"/>
        </x:is>
      </x:c>
      <x:c r="D21" s="21" t="inlineStr">
        <x:is>
          <x:t xml:space="preserve"/>
        </x:is>
      </x:c>
      <x:c r="E21" s="21" t="inlineStr">
        <x:is>
          <x:t xml:space="preserve"/>
        </x:is>
      </x:c>
      <x:c r="F21" s="21" t="inlineStr">
        <x:is>
          <x:t xml:space="preserve"/>
        </x:is>
      </x:c>
      <x:c r="G21" s="21" t="inlineStr">
        <x:is>
          <x:t xml:space="preserve">Speed Limit</x:t>
        </x:is>
      </x:c>
      <x:c r="H21" s="21" t="inlineStr">
        <x:is>
          <x:t xml:space="preserve"/>
        </x:is>
      </x:c>
      <x:c r="I21" s="21" t="inlineStr">
        <x:is>
          <x:t xml:space="preserve"/>
        </x:is>
      </x:c>
      <x:c r="J21" s="21" t="inlineStr">
        <x:is>
          <x:t xml:space="preserve"/>
        </x:is>
      </x:c>
      <x:c r="K21" s="21" t="inlineStr">
        <x:is>
          <x:t xml:space="preserve">Field Photo</x:t>
        </x:is>
      </x:c>
      <x:c r="L21" s="21" t="inlineStr">
        <x:is>
          <x:t xml:space="preserve">D - Unverified</x:t>
        </x:is>
      </x:c>
      <x:c r="M21" s="21" t="inlineStr">
        <x:is>
          <x:t xml:space="preserve"/>
        </x:is>
      </x:c>
      <x:c r="N21" s="21" t="inlineStr">
        <x:is>
          <x:t xml:space="preserve"/>
        </x:is>
      </x:c>
      <x:c r="O21" s="21" t="inlineStr">
        <x:is>
          <x:t xml:space="preserve"/>
        </x:is>
      </x:c>
      <x:c r="P21" s="21" t="inlineStr">
        <x:is>
          <x:t xml:space="preserve"/>
        </x:is>
      </x:c>
      <x:c r="Q21" s="21" t="inlineStr">
        <x:is>
          <x:t xml:space="preserve">Not Started</x:t>
        </x:is>
      </x:c>
      <x:c r="R21" s="21" t="inlineStr">
        <x:is>
          <x:t xml:space="preserve"/>
        </x:is>
      </x:c>
    </x:row>
    <x:row r="22" ht="44" customHeight="1">
      <x:c r="A22" s="5" t="inlineStr">
        <x:is>
          <x:t xml:space="preserve">R018</x:t>
        </x:is>
      </x:c>
      <x:c r="B22" s="21" t="inlineStr">
        <x:is>
          <x:t xml:space="preserve"/>
        </x:is>
      </x:c>
      <x:c r="C22" s="21" t="inlineStr">
        <x:is>
          <x:t xml:space="preserve"/>
        </x:is>
      </x:c>
      <x:c r="D22" s="21" t="inlineStr">
        <x:is>
          <x:t xml:space="preserve"/>
        </x:is>
      </x:c>
      <x:c r="E22" s="21" t="inlineStr">
        <x:is>
          <x:t xml:space="preserve"/>
        </x:is>
      </x:c>
      <x:c r="F22" s="21" t="inlineStr">
        <x:is>
          <x:t xml:space="preserve"/>
        </x:is>
      </x:c>
      <x:c r="G22" s="21" t="inlineStr">
        <x:is>
          <x:t xml:space="preserve">Speed Limit</x:t>
        </x:is>
      </x:c>
      <x:c r="H22" s="21" t="inlineStr">
        <x:is>
          <x:t xml:space="preserve"/>
        </x:is>
      </x:c>
      <x:c r="I22" s="21" t="inlineStr">
        <x:is>
          <x:t xml:space="preserve"/>
        </x:is>
      </x:c>
      <x:c r="J22" s="21" t="inlineStr">
        <x:is>
          <x:t xml:space="preserve"/>
        </x:is>
      </x:c>
      <x:c r="K22" s="21" t="inlineStr">
        <x:is>
          <x:t xml:space="preserve">Field Photo</x:t>
        </x:is>
      </x:c>
      <x:c r="L22" s="21" t="inlineStr">
        <x:is>
          <x:t xml:space="preserve">D - Unverified</x:t>
        </x:is>
      </x:c>
      <x:c r="M22" s="21" t="inlineStr">
        <x:is>
          <x:t xml:space="preserve"/>
        </x:is>
      </x:c>
      <x:c r="N22" s="21" t="inlineStr">
        <x:is>
          <x:t xml:space="preserve"/>
        </x:is>
      </x:c>
      <x:c r="O22" s="21" t="inlineStr">
        <x:is>
          <x:t xml:space="preserve"/>
        </x:is>
      </x:c>
      <x:c r="P22" s="21" t="inlineStr">
        <x:is>
          <x:t xml:space="preserve"/>
        </x:is>
      </x:c>
      <x:c r="Q22" s="21" t="inlineStr">
        <x:is>
          <x:t xml:space="preserve">Not Started</x:t>
        </x:is>
      </x:c>
      <x:c r="R22" s="21" t="inlineStr">
        <x:is>
          <x:t xml:space="preserve"/>
        </x:is>
      </x:c>
    </x:row>
    <x:row r="23" ht="44" customHeight="1">
      <x:c r="A23" s="7" t="inlineStr">
        <x:is>
          <x:t xml:space="preserve">R019</x:t>
        </x:is>
      </x:c>
      <x:c r="B23" s="21" t="inlineStr">
        <x:is>
          <x:t xml:space="preserve"/>
        </x:is>
      </x:c>
      <x:c r="C23" s="21" t="inlineStr">
        <x:is>
          <x:t xml:space="preserve"/>
        </x:is>
      </x:c>
      <x:c r="D23" s="21" t="inlineStr">
        <x:is>
          <x:t xml:space="preserve"/>
        </x:is>
      </x:c>
      <x:c r="E23" s="21" t="inlineStr">
        <x:is>
          <x:t xml:space="preserve"/>
        </x:is>
      </x:c>
      <x:c r="F23" s="21" t="inlineStr">
        <x:is>
          <x:t xml:space="preserve"/>
        </x:is>
      </x:c>
      <x:c r="G23" s="21" t="inlineStr">
        <x:is>
          <x:t xml:space="preserve">Speed Limit</x:t>
        </x:is>
      </x:c>
      <x:c r="H23" s="21" t="inlineStr">
        <x:is>
          <x:t xml:space="preserve"/>
        </x:is>
      </x:c>
      <x:c r="I23" s="21" t="inlineStr">
        <x:is>
          <x:t xml:space="preserve"/>
        </x:is>
      </x:c>
      <x:c r="J23" s="21" t="inlineStr">
        <x:is>
          <x:t xml:space="preserve"/>
        </x:is>
      </x:c>
      <x:c r="K23" s="21" t="inlineStr">
        <x:is>
          <x:t xml:space="preserve">Field Photo</x:t>
        </x:is>
      </x:c>
      <x:c r="L23" s="21" t="inlineStr">
        <x:is>
          <x:t xml:space="preserve">D - Unverified</x:t>
        </x:is>
      </x:c>
      <x:c r="M23" s="21" t="inlineStr">
        <x:is>
          <x:t xml:space="preserve"/>
        </x:is>
      </x:c>
      <x:c r="N23" s="21" t="inlineStr">
        <x:is>
          <x:t xml:space="preserve"/>
        </x:is>
      </x:c>
      <x:c r="O23" s="21" t="inlineStr">
        <x:is>
          <x:t xml:space="preserve"/>
        </x:is>
      </x:c>
      <x:c r="P23" s="21" t="inlineStr">
        <x:is>
          <x:t xml:space="preserve"/>
        </x:is>
      </x:c>
      <x:c r="Q23" s="21" t="inlineStr">
        <x:is>
          <x:t xml:space="preserve">Not Started</x:t>
        </x:is>
      </x:c>
      <x:c r="R23" s="21" t="inlineStr">
        <x:is>
          <x:t xml:space="preserve"/>
        </x:is>
      </x:c>
    </x:row>
    <x:row r="24" ht="44" customHeight="1">
      <x:c r="A24" s="5" t="inlineStr">
        <x:is>
          <x:t xml:space="preserve">R020</x:t>
        </x:is>
      </x:c>
      <x:c r="B24" s="21" t="inlineStr">
        <x:is>
          <x:t xml:space="preserve"/>
        </x:is>
      </x:c>
      <x:c r="C24" s="21" t="inlineStr">
        <x:is>
          <x:t xml:space="preserve"/>
        </x:is>
      </x:c>
      <x:c r="D24" s="21" t="inlineStr">
        <x:is>
          <x:t xml:space="preserve"/>
        </x:is>
      </x:c>
      <x:c r="E24" s="21" t="inlineStr">
        <x:is>
          <x:t xml:space="preserve"/>
        </x:is>
      </x:c>
      <x:c r="F24" s="21" t="inlineStr">
        <x:is>
          <x:t xml:space="preserve"/>
        </x:is>
      </x:c>
      <x:c r="G24" s="21" t="inlineStr">
        <x:is>
          <x:t xml:space="preserve">Speed Limit</x:t>
        </x:is>
      </x:c>
      <x:c r="H24" s="21" t="inlineStr">
        <x:is>
          <x:t xml:space="preserve"/>
        </x:is>
      </x:c>
      <x:c r="I24" s="21" t="inlineStr">
        <x:is>
          <x:t xml:space="preserve"/>
        </x:is>
      </x:c>
      <x:c r="J24" s="21" t="inlineStr">
        <x:is>
          <x:t xml:space="preserve"/>
        </x:is>
      </x:c>
      <x:c r="K24" s="21" t="inlineStr">
        <x:is>
          <x:t xml:space="preserve">Field Photo</x:t>
        </x:is>
      </x:c>
      <x:c r="L24" s="21" t="inlineStr">
        <x:is>
          <x:t xml:space="preserve">D - Unverified</x:t>
        </x:is>
      </x:c>
      <x:c r="M24" s="21" t="inlineStr">
        <x:is>
          <x:t xml:space="preserve"/>
        </x:is>
      </x:c>
      <x:c r="N24" s="21" t="inlineStr">
        <x:is>
          <x:t xml:space="preserve"/>
        </x:is>
      </x:c>
      <x:c r="O24" s="21" t="inlineStr">
        <x:is>
          <x:t xml:space="preserve"/>
        </x:is>
      </x:c>
      <x:c r="P24" s="21" t="inlineStr">
        <x:is>
          <x:t xml:space="preserve"/>
        </x:is>
      </x:c>
      <x:c r="Q24" s="21" t="inlineStr">
        <x:is>
          <x:t xml:space="preserve">Not Started</x:t>
        </x:is>
      </x:c>
      <x:c r="R24" s="21" t="inlineStr">
        <x:is>
          <x:t xml:space="preserve"/>
        </x:is>
      </x:c>
    </x:row>
    <x:row r="25" ht="44" customHeight="1">
      <x:c r="A25" s="7" t="inlineStr">
        <x:is>
          <x:t xml:space="preserve">R021</x:t>
        </x:is>
      </x:c>
      <x:c r="B25" s="21" t="inlineStr">
        <x:is>
          <x:t xml:space="preserve"/>
        </x:is>
      </x:c>
      <x:c r="C25" s="21" t="inlineStr">
        <x:is>
          <x:t xml:space="preserve"/>
        </x:is>
      </x:c>
      <x:c r="D25" s="21" t="inlineStr">
        <x:is>
          <x:t xml:space="preserve"/>
        </x:is>
      </x:c>
      <x:c r="E25" s="21" t="inlineStr">
        <x:is>
          <x:t xml:space="preserve"/>
        </x:is>
      </x:c>
      <x:c r="F25" s="21" t="inlineStr">
        <x:is>
          <x:t xml:space="preserve"/>
        </x:is>
      </x:c>
      <x:c r="G25" s="21" t="inlineStr">
        <x:is>
          <x:t xml:space="preserve">Speed Limit</x:t>
        </x:is>
      </x:c>
      <x:c r="H25" s="21" t="inlineStr">
        <x:is>
          <x:t xml:space="preserve"/>
        </x:is>
      </x:c>
      <x:c r="I25" s="21" t="inlineStr">
        <x:is>
          <x:t xml:space="preserve"/>
        </x:is>
      </x:c>
      <x:c r="J25" s="21" t="inlineStr">
        <x:is>
          <x:t xml:space="preserve"/>
        </x:is>
      </x:c>
      <x:c r="K25" s="21" t="inlineStr">
        <x:is>
          <x:t xml:space="preserve">Field Photo</x:t>
        </x:is>
      </x:c>
      <x:c r="L25" s="21" t="inlineStr">
        <x:is>
          <x:t xml:space="preserve">D - Unverified</x:t>
        </x:is>
      </x:c>
      <x:c r="M25" s="21" t="inlineStr">
        <x:is>
          <x:t xml:space="preserve"/>
        </x:is>
      </x:c>
      <x:c r="N25" s="21" t="inlineStr">
        <x:is>
          <x:t xml:space="preserve"/>
        </x:is>
      </x:c>
      <x:c r="O25" s="21" t="inlineStr">
        <x:is>
          <x:t xml:space="preserve"/>
        </x:is>
      </x:c>
      <x:c r="P25" s="21" t="inlineStr">
        <x:is>
          <x:t xml:space="preserve"/>
        </x:is>
      </x:c>
      <x:c r="Q25" s="21" t="inlineStr">
        <x:is>
          <x:t xml:space="preserve">Not Started</x:t>
        </x:is>
      </x:c>
      <x:c r="R25" s="21" t="inlineStr">
        <x:is>
          <x:t xml:space="preserve"/>
        </x:is>
      </x:c>
    </x:row>
    <x:row r="26" ht="44" customHeight="1">
      <x:c r="A26" s="5" t="inlineStr">
        <x:is>
          <x:t xml:space="preserve">R022</x:t>
        </x:is>
      </x:c>
      <x:c r="B26" s="21" t="inlineStr">
        <x:is>
          <x:t xml:space="preserve"/>
        </x:is>
      </x:c>
      <x:c r="C26" s="21" t="inlineStr">
        <x:is>
          <x:t xml:space="preserve"/>
        </x:is>
      </x:c>
      <x:c r="D26" s="21" t="inlineStr">
        <x:is>
          <x:t xml:space="preserve"/>
        </x:is>
      </x:c>
      <x:c r="E26" s="21" t="inlineStr">
        <x:is>
          <x:t xml:space="preserve"/>
        </x:is>
      </x:c>
      <x:c r="F26" s="21" t="inlineStr">
        <x:is>
          <x:t xml:space="preserve"/>
        </x:is>
      </x:c>
      <x:c r="G26" s="21" t="inlineStr">
        <x:is>
          <x:t xml:space="preserve">Speed Limit</x:t>
        </x:is>
      </x:c>
      <x:c r="H26" s="21" t="inlineStr">
        <x:is>
          <x:t xml:space="preserve"/>
        </x:is>
      </x:c>
      <x:c r="I26" s="21" t="inlineStr">
        <x:is>
          <x:t xml:space="preserve"/>
        </x:is>
      </x:c>
      <x:c r="J26" s="21" t="inlineStr">
        <x:is>
          <x:t xml:space="preserve"/>
        </x:is>
      </x:c>
      <x:c r="K26" s="21" t="inlineStr">
        <x:is>
          <x:t xml:space="preserve">Field Photo</x:t>
        </x:is>
      </x:c>
      <x:c r="L26" s="21" t="inlineStr">
        <x:is>
          <x:t xml:space="preserve">D - Unverified</x:t>
        </x:is>
      </x:c>
      <x:c r="M26" s="21" t="inlineStr">
        <x:is>
          <x:t xml:space="preserve"/>
        </x:is>
      </x:c>
      <x:c r="N26" s="21" t="inlineStr">
        <x:is>
          <x:t xml:space="preserve"/>
        </x:is>
      </x:c>
      <x:c r="O26" s="21" t="inlineStr">
        <x:is>
          <x:t xml:space="preserve"/>
        </x:is>
      </x:c>
      <x:c r="P26" s="21" t="inlineStr">
        <x:is>
          <x:t xml:space="preserve"/>
        </x:is>
      </x:c>
      <x:c r="Q26" s="21" t="inlineStr">
        <x:is>
          <x:t xml:space="preserve">Not Started</x:t>
        </x:is>
      </x:c>
      <x:c r="R26" s="21" t="inlineStr">
        <x:is>
          <x:t xml:space="preserve"/>
        </x:is>
      </x:c>
    </x:row>
    <x:row r="27" ht="44" customHeight="1">
      <x:c r="A27" s="7" t="inlineStr">
        <x:is>
          <x:t xml:space="preserve">R023</x:t>
        </x:is>
      </x:c>
      <x:c r="B27" s="21" t="inlineStr">
        <x:is>
          <x:t xml:space="preserve"/>
        </x:is>
      </x:c>
      <x:c r="C27" s="21" t="inlineStr">
        <x:is>
          <x:t xml:space="preserve"/>
        </x:is>
      </x:c>
      <x:c r="D27" s="21" t="inlineStr">
        <x:is>
          <x:t xml:space="preserve"/>
        </x:is>
      </x:c>
      <x:c r="E27" s="21" t="inlineStr">
        <x:is>
          <x:t xml:space="preserve"/>
        </x:is>
      </x:c>
      <x:c r="F27" s="21" t="inlineStr">
        <x:is>
          <x:t xml:space="preserve"/>
        </x:is>
      </x:c>
      <x:c r="G27" s="21" t="inlineStr">
        <x:is>
          <x:t xml:space="preserve">Speed Limit</x:t>
        </x:is>
      </x:c>
      <x:c r="H27" s="21" t="inlineStr">
        <x:is>
          <x:t xml:space="preserve"/>
        </x:is>
      </x:c>
      <x:c r="I27" s="21" t="inlineStr">
        <x:is>
          <x:t xml:space="preserve"/>
        </x:is>
      </x:c>
      <x:c r="J27" s="21" t="inlineStr">
        <x:is>
          <x:t xml:space="preserve"/>
        </x:is>
      </x:c>
      <x:c r="K27" s="21" t="inlineStr">
        <x:is>
          <x:t xml:space="preserve">Field Photo</x:t>
        </x:is>
      </x:c>
      <x:c r="L27" s="21" t="inlineStr">
        <x:is>
          <x:t xml:space="preserve">D - Unverified</x:t>
        </x:is>
      </x:c>
      <x:c r="M27" s="21" t="inlineStr">
        <x:is>
          <x:t xml:space="preserve"/>
        </x:is>
      </x:c>
      <x:c r="N27" s="21" t="inlineStr">
        <x:is>
          <x:t xml:space="preserve"/>
        </x:is>
      </x:c>
      <x:c r="O27" s="21" t="inlineStr">
        <x:is>
          <x:t xml:space="preserve"/>
        </x:is>
      </x:c>
      <x:c r="P27" s="21" t="inlineStr">
        <x:is>
          <x:t xml:space="preserve"/>
        </x:is>
      </x:c>
      <x:c r="Q27" s="21" t="inlineStr">
        <x:is>
          <x:t xml:space="preserve">Not Started</x:t>
        </x:is>
      </x:c>
      <x:c r="R27" s="21" t="inlineStr">
        <x:is>
          <x:t xml:space="preserve"/>
        </x:is>
      </x:c>
    </x:row>
    <x:row r="28" ht="44" customHeight="1">
      <x:c r="A28" s="5" t="inlineStr">
        <x:is>
          <x:t xml:space="preserve">R024</x:t>
        </x:is>
      </x:c>
      <x:c r="B28" s="21" t="inlineStr">
        <x:is>
          <x:t xml:space="preserve"/>
        </x:is>
      </x:c>
      <x:c r="C28" s="21" t="inlineStr">
        <x:is>
          <x:t xml:space="preserve"/>
        </x:is>
      </x:c>
      <x:c r="D28" s="21" t="inlineStr">
        <x:is>
          <x:t xml:space="preserve"/>
        </x:is>
      </x:c>
      <x:c r="E28" s="21" t="inlineStr">
        <x:is>
          <x:t xml:space="preserve"/>
        </x:is>
      </x:c>
      <x:c r="F28" s="21" t="inlineStr">
        <x:is>
          <x:t xml:space="preserve"/>
        </x:is>
      </x:c>
      <x:c r="G28" s="21" t="inlineStr">
        <x:is>
          <x:t xml:space="preserve">Speed Limit</x:t>
        </x:is>
      </x:c>
      <x:c r="H28" s="21" t="inlineStr">
        <x:is>
          <x:t xml:space="preserve"/>
        </x:is>
      </x:c>
      <x:c r="I28" s="21" t="inlineStr">
        <x:is>
          <x:t xml:space="preserve"/>
        </x:is>
      </x:c>
      <x:c r="J28" s="21" t="inlineStr">
        <x:is>
          <x:t xml:space="preserve"/>
        </x:is>
      </x:c>
      <x:c r="K28" s="21" t="inlineStr">
        <x:is>
          <x:t xml:space="preserve">Field Photo</x:t>
        </x:is>
      </x:c>
      <x:c r="L28" s="21" t="inlineStr">
        <x:is>
          <x:t xml:space="preserve">D - Unverified</x:t>
        </x:is>
      </x:c>
      <x:c r="M28" s="21" t="inlineStr">
        <x:is>
          <x:t xml:space="preserve"/>
        </x:is>
      </x:c>
      <x:c r="N28" s="21" t="inlineStr">
        <x:is>
          <x:t xml:space="preserve"/>
        </x:is>
      </x:c>
      <x:c r="O28" s="21" t="inlineStr">
        <x:is>
          <x:t xml:space="preserve"/>
        </x:is>
      </x:c>
      <x:c r="P28" s="21" t="inlineStr">
        <x:is>
          <x:t xml:space="preserve"/>
        </x:is>
      </x:c>
      <x:c r="Q28" s="21" t="inlineStr">
        <x:is>
          <x:t xml:space="preserve">Not Started</x:t>
        </x:is>
      </x:c>
      <x:c r="R28" s="21" t="inlineStr">
        <x:is>
          <x:t xml:space="preserve"/>
        </x:is>
      </x:c>
    </x:row>
    <x:row r="29" ht="44" customHeight="1">
      <x:c r="A29" s="7" t="inlineStr">
        <x:is>
          <x:t xml:space="preserve">R025</x:t>
        </x:is>
      </x:c>
      <x:c r="B29" s="21" t="inlineStr">
        <x:is>
          <x:t xml:space="preserve"/>
        </x:is>
      </x:c>
      <x:c r="C29" s="21" t="inlineStr">
        <x:is>
          <x:t xml:space="preserve"/>
        </x:is>
      </x:c>
      <x:c r="D29" s="21" t="inlineStr">
        <x:is>
          <x:t xml:space="preserve"/>
        </x:is>
      </x:c>
      <x:c r="E29" s="21" t="inlineStr">
        <x:is>
          <x:t xml:space="preserve"/>
        </x:is>
      </x:c>
      <x:c r="F29" s="21" t="inlineStr">
        <x:is>
          <x:t xml:space="preserve"/>
        </x:is>
      </x:c>
      <x:c r="G29" s="21" t="inlineStr">
        <x:is>
          <x:t xml:space="preserve">Speed Limit</x:t>
        </x:is>
      </x:c>
      <x:c r="H29" s="21" t="inlineStr">
        <x:is>
          <x:t xml:space="preserve"/>
        </x:is>
      </x:c>
      <x:c r="I29" s="21" t="inlineStr">
        <x:is>
          <x:t xml:space="preserve"/>
        </x:is>
      </x:c>
      <x:c r="J29" s="21" t="inlineStr">
        <x:is>
          <x:t xml:space="preserve"/>
        </x:is>
      </x:c>
      <x:c r="K29" s="21" t="inlineStr">
        <x:is>
          <x:t xml:space="preserve">Field Photo</x:t>
        </x:is>
      </x:c>
      <x:c r="L29" s="21" t="inlineStr">
        <x:is>
          <x:t xml:space="preserve">D - Unverified</x:t>
        </x:is>
      </x:c>
      <x:c r="M29" s="21" t="inlineStr">
        <x:is>
          <x:t xml:space="preserve"/>
        </x:is>
      </x:c>
      <x:c r="N29" s="21" t="inlineStr">
        <x:is>
          <x:t xml:space="preserve"/>
        </x:is>
      </x:c>
      <x:c r="O29" s="21" t="inlineStr">
        <x:is>
          <x:t xml:space="preserve"/>
        </x:is>
      </x:c>
      <x:c r="P29" s="21" t="inlineStr">
        <x:is>
          <x:t xml:space="preserve"/>
        </x:is>
      </x:c>
      <x:c r="Q29" s="21" t="inlineStr">
        <x:is>
          <x:t xml:space="preserve">Not Started</x:t>
        </x:is>
      </x:c>
      <x:c r="R29" s="21" t="inlineStr">
        <x:is>
          <x:t xml:space="preserve"/>
        </x:is>
      </x:c>
    </x:row>
    <x:row r="30" ht="44" customHeight="1">
      <x:c r="A30" s="5" t="inlineStr">
        <x:is>
          <x:t xml:space="preserve">R026</x:t>
        </x:is>
      </x:c>
      <x:c r="B30" s="21" t="inlineStr">
        <x:is>
          <x:t xml:space="preserve"/>
        </x:is>
      </x:c>
      <x:c r="C30" s="21" t="inlineStr">
        <x:is>
          <x:t xml:space="preserve"/>
        </x:is>
      </x:c>
      <x:c r="D30" s="21" t="inlineStr">
        <x:is>
          <x:t xml:space="preserve"/>
        </x:is>
      </x:c>
      <x:c r="E30" s="21" t="inlineStr">
        <x:is>
          <x:t xml:space="preserve"/>
        </x:is>
      </x:c>
      <x:c r="F30" s="21" t="inlineStr">
        <x:is>
          <x:t xml:space="preserve"/>
        </x:is>
      </x:c>
      <x:c r="G30" s="21" t="inlineStr">
        <x:is>
          <x:t xml:space="preserve">Speed Limit</x:t>
        </x:is>
      </x:c>
      <x:c r="H30" s="21" t="inlineStr">
        <x:is>
          <x:t xml:space="preserve"/>
        </x:is>
      </x:c>
      <x:c r="I30" s="21" t="inlineStr">
        <x:is>
          <x:t xml:space="preserve"/>
        </x:is>
      </x:c>
      <x:c r="J30" s="21" t="inlineStr">
        <x:is>
          <x:t xml:space="preserve"/>
        </x:is>
      </x:c>
      <x:c r="K30" s="21" t="inlineStr">
        <x:is>
          <x:t xml:space="preserve">Field Photo</x:t>
        </x:is>
      </x:c>
      <x:c r="L30" s="21" t="inlineStr">
        <x:is>
          <x:t xml:space="preserve">D - Unverified</x:t>
        </x:is>
      </x:c>
      <x:c r="M30" s="21" t="inlineStr">
        <x:is>
          <x:t xml:space="preserve"/>
        </x:is>
      </x:c>
      <x:c r="N30" s="21" t="inlineStr">
        <x:is>
          <x:t xml:space="preserve"/>
        </x:is>
      </x:c>
      <x:c r="O30" s="21" t="inlineStr">
        <x:is>
          <x:t xml:space="preserve"/>
        </x:is>
      </x:c>
      <x:c r="P30" s="21" t="inlineStr">
        <x:is>
          <x:t xml:space="preserve"/>
        </x:is>
      </x:c>
      <x:c r="Q30" s="21" t="inlineStr">
        <x:is>
          <x:t xml:space="preserve">Not Started</x:t>
        </x:is>
      </x:c>
      <x:c r="R30" s="21" t="inlineStr">
        <x:is>
          <x:t xml:space="preserve"/>
        </x:is>
      </x:c>
    </x:row>
    <x:row r="31" ht="44" customHeight="1">
      <x:c r="A31" s="7" t="inlineStr">
        <x:is>
          <x:t xml:space="preserve">R027</x:t>
        </x:is>
      </x:c>
      <x:c r="B31" s="21" t="inlineStr">
        <x:is>
          <x:t xml:space="preserve"/>
        </x:is>
      </x:c>
      <x:c r="C31" s="21" t="inlineStr">
        <x:is>
          <x:t xml:space="preserve"/>
        </x:is>
      </x:c>
      <x:c r="D31" s="21" t="inlineStr">
        <x:is>
          <x:t xml:space="preserve"/>
        </x:is>
      </x:c>
      <x:c r="E31" s="21" t="inlineStr">
        <x:is>
          <x:t xml:space="preserve"/>
        </x:is>
      </x:c>
      <x:c r="F31" s="21" t="inlineStr">
        <x:is>
          <x:t xml:space="preserve"/>
        </x:is>
      </x:c>
      <x:c r="G31" s="21" t="inlineStr">
        <x:is>
          <x:t xml:space="preserve">Speed Limit</x:t>
        </x:is>
      </x:c>
      <x:c r="H31" s="21" t="inlineStr">
        <x:is>
          <x:t xml:space="preserve"/>
        </x:is>
      </x:c>
      <x:c r="I31" s="21" t="inlineStr">
        <x:is>
          <x:t xml:space="preserve"/>
        </x:is>
      </x:c>
      <x:c r="J31" s="21" t="inlineStr">
        <x:is>
          <x:t xml:space="preserve"/>
        </x:is>
      </x:c>
      <x:c r="K31" s="21" t="inlineStr">
        <x:is>
          <x:t xml:space="preserve">Field Photo</x:t>
        </x:is>
      </x:c>
      <x:c r="L31" s="21" t="inlineStr">
        <x:is>
          <x:t xml:space="preserve">D - Unverified</x:t>
        </x:is>
      </x:c>
      <x:c r="M31" s="21" t="inlineStr">
        <x:is>
          <x:t xml:space="preserve"/>
        </x:is>
      </x:c>
      <x:c r="N31" s="21" t="inlineStr">
        <x:is>
          <x:t xml:space="preserve"/>
        </x:is>
      </x:c>
      <x:c r="O31" s="21" t="inlineStr">
        <x:is>
          <x:t xml:space="preserve"/>
        </x:is>
      </x:c>
      <x:c r="P31" s="21" t="inlineStr">
        <x:is>
          <x:t xml:space="preserve"/>
        </x:is>
      </x:c>
      <x:c r="Q31" s="21" t="inlineStr">
        <x:is>
          <x:t xml:space="preserve">Not Started</x:t>
        </x:is>
      </x:c>
      <x:c r="R31" s="21" t="inlineStr">
        <x:is>
          <x:t xml:space="preserve"/>
        </x:is>
      </x:c>
    </x:row>
    <x:row r="32" ht="44" customHeight="1">
      <x:c r="A32" s="5" t="inlineStr">
        <x:is>
          <x:t xml:space="preserve">R028</x:t>
        </x:is>
      </x:c>
      <x:c r="B32" s="21" t="inlineStr">
        <x:is>
          <x:t xml:space="preserve"/>
        </x:is>
      </x:c>
      <x:c r="C32" s="21" t="inlineStr">
        <x:is>
          <x:t xml:space="preserve"/>
        </x:is>
      </x:c>
      <x:c r="D32" s="21" t="inlineStr">
        <x:is>
          <x:t xml:space="preserve"/>
        </x:is>
      </x:c>
      <x:c r="E32" s="21" t="inlineStr">
        <x:is>
          <x:t xml:space="preserve"/>
        </x:is>
      </x:c>
      <x:c r="F32" s="21" t="inlineStr">
        <x:is>
          <x:t xml:space="preserve"/>
        </x:is>
      </x:c>
      <x:c r="G32" s="21" t="inlineStr">
        <x:is>
          <x:t xml:space="preserve">Speed Limit</x:t>
        </x:is>
      </x:c>
      <x:c r="H32" s="21" t="inlineStr">
        <x:is>
          <x:t xml:space="preserve"/>
        </x:is>
      </x:c>
      <x:c r="I32" s="21" t="inlineStr">
        <x:is>
          <x:t xml:space="preserve"/>
        </x:is>
      </x:c>
      <x:c r="J32" s="21" t="inlineStr">
        <x:is>
          <x:t xml:space="preserve"/>
        </x:is>
      </x:c>
      <x:c r="K32" s="21" t="inlineStr">
        <x:is>
          <x:t xml:space="preserve">Field Photo</x:t>
        </x:is>
      </x:c>
      <x:c r="L32" s="21" t="inlineStr">
        <x:is>
          <x:t xml:space="preserve">D - Unverified</x:t>
        </x:is>
      </x:c>
      <x:c r="M32" s="21" t="inlineStr">
        <x:is>
          <x:t xml:space="preserve"/>
        </x:is>
      </x:c>
      <x:c r="N32" s="21" t="inlineStr">
        <x:is>
          <x:t xml:space="preserve"/>
        </x:is>
      </x:c>
      <x:c r="O32" s="21" t="inlineStr">
        <x:is>
          <x:t xml:space="preserve"/>
        </x:is>
      </x:c>
      <x:c r="P32" s="21" t="inlineStr">
        <x:is>
          <x:t xml:space="preserve"/>
        </x:is>
      </x:c>
      <x:c r="Q32" s="21" t="inlineStr">
        <x:is>
          <x:t xml:space="preserve">Not Started</x:t>
        </x:is>
      </x:c>
      <x:c r="R32" s="21" t="inlineStr">
        <x:is>
          <x:t xml:space="preserve"/>
        </x:is>
      </x:c>
    </x:row>
    <x:row r="33" ht="44" customHeight="1">
      <x:c r="A33" s="7" t="inlineStr">
        <x:is>
          <x:t xml:space="preserve">R029</x:t>
        </x:is>
      </x:c>
      <x:c r="B33" s="21" t="inlineStr">
        <x:is>
          <x:t xml:space="preserve"/>
        </x:is>
      </x:c>
      <x:c r="C33" s="21" t="inlineStr">
        <x:is>
          <x:t xml:space="preserve"/>
        </x:is>
      </x:c>
      <x:c r="D33" s="21" t="inlineStr">
        <x:is>
          <x:t xml:space="preserve"/>
        </x:is>
      </x:c>
      <x:c r="E33" s="21" t="inlineStr">
        <x:is>
          <x:t xml:space="preserve"/>
        </x:is>
      </x:c>
      <x:c r="F33" s="21" t="inlineStr">
        <x:is>
          <x:t xml:space="preserve"/>
        </x:is>
      </x:c>
      <x:c r="G33" s="21" t="inlineStr">
        <x:is>
          <x:t xml:space="preserve">Speed Limit</x:t>
        </x:is>
      </x:c>
      <x:c r="H33" s="21" t="inlineStr">
        <x:is>
          <x:t xml:space="preserve"/>
        </x:is>
      </x:c>
      <x:c r="I33" s="21" t="inlineStr">
        <x:is>
          <x:t xml:space="preserve"/>
        </x:is>
      </x:c>
      <x:c r="J33" s="21" t="inlineStr">
        <x:is>
          <x:t xml:space="preserve"/>
        </x:is>
      </x:c>
      <x:c r="K33" s="21" t="inlineStr">
        <x:is>
          <x:t xml:space="preserve">Field Photo</x:t>
        </x:is>
      </x:c>
      <x:c r="L33" s="21" t="inlineStr">
        <x:is>
          <x:t xml:space="preserve">D - Unverified</x:t>
        </x:is>
      </x:c>
      <x:c r="M33" s="21" t="inlineStr">
        <x:is>
          <x:t xml:space="preserve"/>
        </x:is>
      </x:c>
      <x:c r="N33" s="21" t="inlineStr">
        <x:is>
          <x:t xml:space="preserve"/>
        </x:is>
      </x:c>
      <x:c r="O33" s="21" t="inlineStr">
        <x:is>
          <x:t xml:space="preserve"/>
        </x:is>
      </x:c>
      <x:c r="P33" s="21" t="inlineStr">
        <x:is>
          <x:t xml:space="preserve"/>
        </x:is>
      </x:c>
      <x:c r="Q33" s="21" t="inlineStr">
        <x:is>
          <x:t xml:space="preserve">Not Started</x:t>
        </x:is>
      </x:c>
      <x:c r="R33" s="21" t="inlineStr">
        <x:is>
          <x:t xml:space="preserve"/>
        </x:is>
      </x:c>
    </x:row>
    <x:row r="34" ht="44" customHeight="1">
      <x:c r="A34" s="5" t="inlineStr">
        <x:is>
          <x:t xml:space="preserve">R030</x:t>
        </x:is>
      </x:c>
      <x:c r="B34" s="21" t="inlineStr">
        <x:is>
          <x:t xml:space="preserve"/>
        </x:is>
      </x:c>
      <x:c r="C34" s="21" t="inlineStr">
        <x:is>
          <x:t xml:space="preserve"/>
        </x:is>
      </x:c>
      <x:c r="D34" s="21" t="inlineStr">
        <x:is>
          <x:t xml:space="preserve"/>
        </x:is>
      </x:c>
      <x:c r="E34" s="21" t="inlineStr">
        <x:is>
          <x:t xml:space="preserve"/>
        </x:is>
      </x:c>
      <x:c r="F34" s="21" t="inlineStr">
        <x:is>
          <x:t xml:space="preserve"/>
        </x:is>
      </x:c>
      <x:c r="G34" s="21" t="inlineStr">
        <x:is>
          <x:t xml:space="preserve">Speed Limit</x:t>
        </x:is>
      </x:c>
      <x:c r="H34" s="21" t="inlineStr">
        <x:is>
          <x:t xml:space="preserve"/>
        </x:is>
      </x:c>
      <x:c r="I34" s="21" t="inlineStr">
        <x:is>
          <x:t xml:space="preserve"/>
        </x:is>
      </x:c>
      <x:c r="J34" s="21" t="inlineStr">
        <x:is>
          <x:t xml:space="preserve"/>
        </x:is>
      </x:c>
      <x:c r="K34" s="21" t="inlineStr">
        <x:is>
          <x:t xml:space="preserve">Field Photo</x:t>
        </x:is>
      </x:c>
      <x:c r="L34" s="21" t="inlineStr">
        <x:is>
          <x:t xml:space="preserve">D - Unverified</x:t>
        </x:is>
      </x:c>
      <x:c r="M34" s="21" t="inlineStr">
        <x:is>
          <x:t xml:space="preserve"/>
        </x:is>
      </x:c>
      <x:c r="N34" s="21" t="inlineStr">
        <x:is>
          <x:t xml:space="preserve"/>
        </x:is>
      </x:c>
      <x:c r="O34" s="21" t="inlineStr">
        <x:is>
          <x:t xml:space="preserve"/>
        </x:is>
      </x:c>
      <x:c r="P34" s="21" t="inlineStr">
        <x:is>
          <x:t xml:space="preserve"/>
        </x:is>
      </x:c>
      <x:c r="Q34" s="21" t="inlineStr">
        <x:is>
          <x:t xml:space="preserve">Not Started</x:t>
        </x:is>
      </x:c>
      <x:c r="R34" s="21" t="inlineStr">
        <x:is>
          <x:t xml:space="preserve"/>
        </x:is>
      </x:c>
    </x:row>
    <x:row r="35" ht="44" customHeight="1">
      <x:c r="A35" s="7" t="inlineStr">
        <x:is>
          <x:t xml:space="preserve">R031</x:t>
        </x:is>
      </x:c>
      <x:c r="B35" s="21" t="inlineStr">
        <x:is>
          <x:t xml:space="preserve"/>
        </x:is>
      </x:c>
      <x:c r="C35" s="21" t="inlineStr">
        <x:is>
          <x:t xml:space="preserve"/>
        </x:is>
      </x:c>
      <x:c r="D35" s="21" t="inlineStr">
        <x:is>
          <x:t xml:space="preserve"/>
        </x:is>
      </x:c>
      <x:c r="E35" s="21" t="inlineStr">
        <x:is>
          <x:t xml:space="preserve"/>
        </x:is>
      </x:c>
      <x:c r="F35" s="21" t="inlineStr">
        <x:is>
          <x:t xml:space="preserve"/>
        </x:is>
      </x:c>
      <x:c r="G35" s="21" t="inlineStr">
        <x:is>
          <x:t xml:space="preserve">Speed Limit</x:t>
        </x:is>
      </x:c>
      <x:c r="H35" s="21" t="inlineStr">
        <x:is>
          <x:t xml:space="preserve"/>
        </x:is>
      </x:c>
      <x:c r="I35" s="21" t="inlineStr">
        <x:is>
          <x:t xml:space="preserve"/>
        </x:is>
      </x:c>
      <x:c r="J35" s="21" t="inlineStr">
        <x:is>
          <x:t xml:space="preserve"/>
        </x:is>
      </x:c>
      <x:c r="K35" s="21" t="inlineStr">
        <x:is>
          <x:t xml:space="preserve">Field Photo</x:t>
        </x:is>
      </x:c>
      <x:c r="L35" s="21" t="inlineStr">
        <x:is>
          <x:t xml:space="preserve">D - Unverified</x:t>
        </x:is>
      </x:c>
      <x:c r="M35" s="21" t="inlineStr">
        <x:is>
          <x:t xml:space="preserve"/>
        </x:is>
      </x:c>
      <x:c r="N35" s="21" t="inlineStr">
        <x:is>
          <x:t xml:space="preserve"/>
        </x:is>
      </x:c>
      <x:c r="O35" s="21" t="inlineStr">
        <x:is>
          <x:t xml:space="preserve"/>
        </x:is>
      </x:c>
      <x:c r="P35" s="21" t="inlineStr">
        <x:is>
          <x:t xml:space="preserve"/>
        </x:is>
      </x:c>
      <x:c r="Q35" s="21" t="inlineStr">
        <x:is>
          <x:t xml:space="preserve">Not Started</x:t>
        </x:is>
      </x:c>
      <x:c r="R35" s="21" t="inlineStr">
        <x:is>
          <x:t xml:space="preserve"/>
        </x:is>
      </x:c>
    </x:row>
    <x:row r="36" ht="44" customHeight="1">
      <x:c r="A36" s="5" t="inlineStr">
        <x:is>
          <x:t xml:space="preserve">R032</x:t>
        </x:is>
      </x:c>
      <x:c r="B36" s="21" t="inlineStr">
        <x:is>
          <x:t xml:space="preserve"/>
        </x:is>
      </x:c>
      <x:c r="C36" s="21" t="inlineStr">
        <x:is>
          <x:t xml:space="preserve"/>
        </x:is>
      </x:c>
      <x:c r="D36" s="21" t="inlineStr">
        <x:is>
          <x:t xml:space="preserve"/>
        </x:is>
      </x:c>
      <x:c r="E36" s="21" t="inlineStr">
        <x:is>
          <x:t xml:space="preserve"/>
        </x:is>
      </x:c>
      <x:c r="F36" s="21" t="inlineStr">
        <x:is>
          <x:t xml:space="preserve"/>
        </x:is>
      </x:c>
      <x:c r="G36" s="21" t="inlineStr">
        <x:is>
          <x:t xml:space="preserve">Speed Limit</x:t>
        </x:is>
      </x:c>
      <x:c r="H36" s="21" t="inlineStr">
        <x:is>
          <x:t xml:space="preserve"/>
        </x:is>
      </x:c>
      <x:c r="I36" s="21" t="inlineStr">
        <x:is>
          <x:t xml:space="preserve"/>
        </x:is>
      </x:c>
      <x:c r="J36" s="21" t="inlineStr">
        <x:is>
          <x:t xml:space="preserve"/>
        </x:is>
      </x:c>
      <x:c r="K36" s="21" t="inlineStr">
        <x:is>
          <x:t xml:space="preserve">Field Photo</x:t>
        </x:is>
      </x:c>
      <x:c r="L36" s="21" t="inlineStr">
        <x:is>
          <x:t xml:space="preserve">D - Unverified</x:t>
        </x:is>
      </x:c>
      <x:c r="M36" s="21" t="inlineStr">
        <x:is>
          <x:t xml:space="preserve"/>
        </x:is>
      </x:c>
      <x:c r="N36" s="21" t="inlineStr">
        <x:is>
          <x:t xml:space="preserve"/>
        </x:is>
      </x:c>
      <x:c r="O36" s="21" t="inlineStr">
        <x:is>
          <x:t xml:space="preserve"/>
        </x:is>
      </x:c>
      <x:c r="P36" s="21" t="inlineStr">
        <x:is>
          <x:t xml:space="preserve"/>
        </x:is>
      </x:c>
      <x:c r="Q36" s="21" t="inlineStr">
        <x:is>
          <x:t xml:space="preserve">Not Started</x:t>
        </x:is>
      </x:c>
      <x:c r="R36" s="21" t="inlineStr">
        <x:is>
          <x:t xml:space="preserve"/>
        </x:is>
      </x:c>
    </x:row>
    <x:row r="37" ht="44" customHeight="1">
      <x:c r="A37" s="7" t="inlineStr">
        <x:is>
          <x:t xml:space="preserve">R033</x:t>
        </x:is>
      </x:c>
      <x:c r="B37" s="21" t="inlineStr">
        <x:is>
          <x:t xml:space="preserve"/>
        </x:is>
      </x:c>
      <x:c r="C37" s="21" t="inlineStr">
        <x:is>
          <x:t xml:space="preserve"/>
        </x:is>
      </x:c>
      <x:c r="D37" s="21" t="inlineStr">
        <x:is>
          <x:t xml:space="preserve"/>
        </x:is>
      </x:c>
      <x:c r="E37" s="21" t="inlineStr">
        <x:is>
          <x:t xml:space="preserve"/>
        </x:is>
      </x:c>
      <x:c r="F37" s="21" t="inlineStr">
        <x:is>
          <x:t xml:space="preserve"/>
        </x:is>
      </x:c>
      <x:c r="G37" s="21" t="inlineStr">
        <x:is>
          <x:t xml:space="preserve">Speed Limit</x:t>
        </x:is>
      </x:c>
      <x:c r="H37" s="21" t="inlineStr">
        <x:is>
          <x:t xml:space="preserve"/>
        </x:is>
      </x:c>
      <x:c r="I37" s="21" t="inlineStr">
        <x:is>
          <x:t xml:space="preserve"/>
        </x:is>
      </x:c>
      <x:c r="J37" s="21" t="inlineStr">
        <x:is>
          <x:t xml:space="preserve"/>
        </x:is>
      </x:c>
      <x:c r="K37" s="21" t="inlineStr">
        <x:is>
          <x:t xml:space="preserve">Field Photo</x:t>
        </x:is>
      </x:c>
      <x:c r="L37" s="21" t="inlineStr">
        <x:is>
          <x:t xml:space="preserve">D - Unverified</x:t>
        </x:is>
      </x:c>
      <x:c r="M37" s="21" t="inlineStr">
        <x:is>
          <x:t xml:space="preserve"/>
        </x:is>
      </x:c>
      <x:c r="N37" s="21" t="inlineStr">
        <x:is>
          <x:t xml:space="preserve"/>
        </x:is>
      </x:c>
      <x:c r="O37" s="21" t="inlineStr">
        <x:is>
          <x:t xml:space="preserve"/>
        </x:is>
      </x:c>
      <x:c r="P37" s="21" t="inlineStr">
        <x:is>
          <x:t xml:space="preserve"/>
        </x:is>
      </x:c>
      <x:c r="Q37" s="21" t="inlineStr">
        <x:is>
          <x:t xml:space="preserve">Not Started</x:t>
        </x:is>
      </x:c>
      <x:c r="R37" s="21" t="inlineStr">
        <x:is>
          <x:t xml:space="preserve"/>
        </x:is>
      </x:c>
    </x:row>
    <x:row r="38" ht="44" customHeight="1">
      <x:c r="A38" s="5" t="inlineStr">
        <x:is>
          <x:t xml:space="preserve">R034</x:t>
        </x:is>
      </x:c>
      <x:c r="B38" s="21" t="inlineStr">
        <x:is>
          <x:t xml:space="preserve"/>
        </x:is>
      </x:c>
      <x:c r="C38" s="21" t="inlineStr">
        <x:is>
          <x:t xml:space="preserve"/>
        </x:is>
      </x:c>
      <x:c r="D38" s="21" t="inlineStr">
        <x:is>
          <x:t xml:space="preserve"/>
        </x:is>
      </x:c>
      <x:c r="E38" s="21" t="inlineStr">
        <x:is>
          <x:t xml:space="preserve"/>
        </x:is>
      </x:c>
      <x:c r="F38" s="21" t="inlineStr">
        <x:is>
          <x:t xml:space="preserve"/>
        </x:is>
      </x:c>
      <x:c r="G38" s="21" t="inlineStr">
        <x:is>
          <x:t xml:space="preserve">Speed Limit</x:t>
        </x:is>
      </x:c>
      <x:c r="H38" s="21" t="inlineStr">
        <x:is>
          <x:t xml:space="preserve"/>
        </x:is>
      </x:c>
      <x:c r="I38" s="21" t="inlineStr">
        <x:is>
          <x:t xml:space="preserve"/>
        </x:is>
      </x:c>
      <x:c r="J38" s="21" t="inlineStr">
        <x:is>
          <x:t xml:space="preserve"/>
        </x:is>
      </x:c>
      <x:c r="K38" s="21" t="inlineStr">
        <x:is>
          <x:t xml:space="preserve">Field Photo</x:t>
        </x:is>
      </x:c>
      <x:c r="L38" s="21" t="inlineStr">
        <x:is>
          <x:t xml:space="preserve">D - Unverified</x:t>
        </x:is>
      </x:c>
      <x:c r="M38" s="21" t="inlineStr">
        <x:is>
          <x:t xml:space="preserve"/>
        </x:is>
      </x:c>
      <x:c r="N38" s="21" t="inlineStr">
        <x:is>
          <x:t xml:space="preserve"/>
        </x:is>
      </x:c>
      <x:c r="O38" s="21" t="inlineStr">
        <x:is>
          <x:t xml:space="preserve"/>
        </x:is>
      </x:c>
      <x:c r="P38" s="21" t="inlineStr">
        <x:is>
          <x:t xml:space="preserve"/>
        </x:is>
      </x:c>
      <x:c r="Q38" s="21" t="inlineStr">
        <x:is>
          <x:t xml:space="preserve">Not Started</x:t>
        </x:is>
      </x:c>
      <x:c r="R38" s="21" t="inlineStr">
        <x:is>
          <x:t xml:space="preserve"/>
        </x:is>
      </x:c>
    </x:row>
    <x:row r="39" ht="44" customHeight="1">
      <x:c r="A39" s="7" t="inlineStr">
        <x:is>
          <x:t xml:space="preserve">R035</x:t>
        </x:is>
      </x:c>
      <x:c r="B39" s="21" t="inlineStr">
        <x:is>
          <x:t xml:space="preserve"/>
        </x:is>
      </x:c>
      <x:c r="C39" s="21" t="inlineStr">
        <x:is>
          <x:t xml:space="preserve"/>
        </x:is>
      </x:c>
      <x:c r="D39" s="21" t="inlineStr">
        <x:is>
          <x:t xml:space="preserve"/>
        </x:is>
      </x:c>
      <x:c r="E39" s="21" t="inlineStr">
        <x:is>
          <x:t xml:space="preserve"/>
        </x:is>
      </x:c>
      <x:c r="F39" s="21" t="inlineStr">
        <x:is>
          <x:t xml:space="preserve"/>
        </x:is>
      </x:c>
      <x:c r="G39" s="21" t="inlineStr">
        <x:is>
          <x:t xml:space="preserve">Speed Limit</x:t>
        </x:is>
      </x:c>
      <x:c r="H39" s="21" t="inlineStr">
        <x:is>
          <x:t xml:space="preserve"/>
        </x:is>
      </x:c>
      <x:c r="I39" s="21" t="inlineStr">
        <x:is>
          <x:t xml:space="preserve"/>
        </x:is>
      </x:c>
      <x:c r="J39" s="21" t="inlineStr">
        <x:is>
          <x:t xml:space="preserve"/>
        </x:is>
      </x:c>
      <x:c r="K39" s="21" t="inlineStr">
        <x:is>
          <x:t xml:space="preserve">Field Photo</x:t>
        </x:is>
      </x:c>
      <x:c r="L39" s="21" t="inlineStr">
        <x:is>
          <x:t xml:space="preserve">D - Unverified</x:t>
        </x:is>
      </x:c>
      <x:c r="M39" s="21" t="inlineStr">
        <x:is>
          <x:t xml:space="preserve"/>
        </x:is>
      </x:c>
      <x:c r="N39" s="21" t="inlineStr">
        <x:is>
          <x:t xml:space="preserve"/>
        </x:is>
      </x:c>
      <x:c r="O39" s="21" t="inlineStr">
        <x:is>
          <x:t xml:space="preserve"/>
        </x:is>
      </x:c>
      <x:c r="P39" s="21" t="inlineStr">
        <x:is>
          <x:t xml:space="preserve"/>
        </x:is>
      </x:c>
      <x:c r="Q39" s="21" t="inlineStr">
        <x:is>
          <x:t xml:space="preserve">Not Started</x:t>
        </x:is>
      </x:c>
      <x:c r="R39" s="21" t="inlineStr">
        <x:is>
          <x:t xml:space="preserve"/>
        </x:is>
      </x:c>
    </x:row>
    <x:row r="40" ht="44" customHeight="1">
      <x:c r="A40" s="5" t="inlineStr">
        <x:is>
          <x:t xml:space="preserve">R036</x:t>
        </x:is>
      </x:c>
      <x:c r="B40" s="21" t="inlineStr">
        <x:is>
          <x:t xml:space="preserve"/>
        </x:is>
      </x:c>
      <x:c r="C40" s="21" t="inlineStr">
        <x:is>
          <x:t xml:space="preserve"/>
        </x:is>
      </x:c>
      <x:c r="D40" s="21" t="inlineStr">
        <x:is>
          <x:t xml:space="preserve"/>
        </x:is>
      </x:c>
      <x:c r="E40" s="21" t="inlineStr">
        <x:is>
          <x:t xml:space="preserve"/>
        </x:is>
      </x:c>
      <x:c r="F40" s="21" t="inlineStr">
        <x:is>
          <x:t xml:space="preserve"/>
        </x:is>
      </x:c>
      <x:c r="G40" s="21" t="inlineStr">
        <x:is>
          <x:t xml:space="preserve">Speed Limit</x:t>
        </x:is>
      </x:c>
      <x:c r="H40" s="21" t="inlineStr">
        <x:is>
          <x:t xml:space="preserve"/>
        </x:is>
      </x:c>
      <x:c r="I40" s="21" t="inlineStr">
        <x:is>
          <x:t xml:space="preserve"/>
        </x:is>
      </x:c>
      <x:c r="J40" s="21" t="inlineStr">
        <x:is>
          <x:t xml:space="preserve"/>
        </x:is>
      </x:c>
      <x:c r="K40" s="21" t="inlineStr">
        <x:is>
          <x:t xml:space="preserve">Field Photo</x:t>
        </x:is>
      </x:c>
      <x:c r="L40" s="21" t="inlineStr">
        <x:is>
          <x:t xml:space="preserve">D - Unverified</x:t>
        </x:is>
      </x:c>
      <x:c r="M40" s="21" t="inlineStr">
        <x:is>
          <x:t xml:space="preserve"/>
        </x:is>
      </x:c>
      <x:c r="N40" s="21" t="inlineStr">
        <x:is>
          <x:t xml:space="preserve"/>
        </x:is>
      </x:c>
      <x:c r="O40" s="21" t="inlineStr">
        <x:is>
          <x:t xml:space="preserve"/>
        </x:is>
      </x:c>
      <x:c r="P40" s="21" t="inlineStr">
        <x:is>
          <x:t xml:space="preserve"/>
        </x:is>
      </x:c>
      <x:c r="Q40" s="21" t="inlineStr">
        <x:is>
          <x:t xml:space="preserve">Not Started</x:t>
        </x:is>
      </x:c>
      <x:c r="R40" s="21" t="inlineStr">
        <x:is>
          <x:t xml:space="preserve"/>
        </x:is>
      </x:c>
    </x:row>
    <x:row r="41" ht="44" customHeight="1">
      <x:c r="A41" s="7" t="inlineStr">
        <x:is>
          <x:t xml:space="preserve">R037</x:t>
        </x:is>
      </x:c>
      <x:c r="B41" s="21" t="inlineStr">
        <x:is>
          <x:t xml:space="preserve"/>
        </x:is>
      </x:c>
      <x:c r="C41" s="21" t="inlineStr">
        <x:is>
          <x:t xml:space="preserve"/>
        </x:is>
      </x:c>
      <x:c r="D41" s="21" t="inlineStr">
        <x:is>
          <x:t xml:space="preserve"/>
        </x:is>
      </x:c>
      <x:c r="E41" s="21" t="inlineStr">
        <x:is>
          <x:t xml:space="preserve"/>
        </x:is>
      </x:c>
      <x:c r="F41" s="21" t="inlineStr">
        <x:is>
          <x:t xml:space="preserve"/>
        </x:is>
      </x:c>
      <x:c r="G41" s="21" t="inlineStr">
        <x:is>
          <x:t xml:space="preserve">Speed Limit</x:t>
        </x:is>
      </x:c>
      <x:c r="H41" s="21" t="inlineStr">
        <x:is>
          <x:t xml:space="preserve"/>
        </x:is>
      </x:c>
      <x:c r="I41" s="21" t="inlineStr">
        <x:is>
          <x:t xml:space="preserve"/>
        </x:is>
      </x:c>
      <x:c r="J41" s="21" t="inlineStr">
        <x:is>
          <x:t xml:space="preserve"/>
        </x:is>
      </x:c>
      <x:c r="K41" s="21" t="inlineStr">
        <x:is>
          <x:t xml:space="preserve">Field Photo</x:t>
        </x:is>
      </x:c>
      <x:c r="L41" s="21" t="inlineStr">
        <x:is>
          <x:t xml:space="preserve">D - Unverified</x:t>
        </x:is>
      </x:c>
      <x:c r="M41" s="21" t="inlineStr">
        <x:is>
          <x:t xml:space="preserve"/>
        </x:is>
      </x:c>
      <x:c r="N41" s="21" t="inlineStr">
        <x:is>
          <x:t xml:space="preserve"/>
        </x:is>
      </x:c>
      <x:c r="O41" s="21" t="inlineStr">
        <x:is>
          <x:t xml:space="preserve"/>
        </x:is>
      </x:c>
      <x:c r="P41" s="21" t="inlineStr">
        <x:is>
          <x:t xml:space="preserve"/>
        </x:is>
      </x:c>
      <x:c r="Q41" s="21" t="inlineStr">
        <x:is>
          <x:t xml:space="preserve">Not Started</x:t>
        </x:is>
      </x:c>
      <x:c r="R41" s="21" t="inlineStr">
        <x:is>
          <x:t xml:space="preserve"/>
        </x:is>
      </x:c>
    </x:row>
    <x:row r="42" ht="44" customHeight="1">
      <x:c r="A42" s="5" t="inlineStr">
        <x:is>
          <x:t xml:space="preserve">R038</x:t>
        </x:is>
      </x:c>
      <x:c r="B42" s="21" t="inlineStr">
        <x:is>
          <x:t xml:space="preserve"/>
        </x:is>
      </x:c>
      <x:c r="C42" s="21" t="inlineStr">
        <x:is>
          <x:t xml:space="preserve"/>
        </x:is>
      </x:c>
      <x:c r="D42" s="21" t="inlineStr">
        <x:is>
          <x:t xml:space="preserve"/>
        </x:is>
      </x:c>
      <x:c r="E42" s="21" t="inlineStr">
        <x:is>
          <x:t xml:space="preserve"/>
        </x:is>
      </x:c>
      <x:c r="F42" s="21" t="inlineStr">
        <x:is>
          <x:t xml:space="preserve"/>
        </x:is>
      </x:c>
      <x:c r="G42" s="21" t="inlineStr">
        <x:is>
          <x:t xml:space="preserve">Speed Limit</x:t>
        </x:is>
      </x:c>
      <x:c r="H42" s="21" t="inlineStr">
        <x:is>
          <x:t xml:space="preserve"/>
        </x:is>
      </x:c>
      <x:c r="I42" s="21" t="inlineStr">
        <x:is>
          <x:t xml:space="preserve"/>
        </x:is>
      </x:c>
      <x:c r="J42" s="21" t="inlineStr">
        <x:is>
          <x:t xml:space="preserve"/>
        </x:is>
      </x:c>
      <x:c r="K42" s="21" t="inlineStr">
        <x:is>
          <x:t xml:space="preserve">Field Photo</x:t>
        </x:is>
      </x:c>
      <x:c r="L42" s="21" t="inlineStr">
        <x:is>
          <x:t xml:space="preserve">D - Unverified</x:t>
        </x:is>
      </x:c>
      <x:c r="M42" s="21" t="inlineStr">
        <x:is>
          <x:t xml:space="preserve"/>
        </x:is>
      </x:c>
      <x:c r="N42" s="21" t="inlineStr">
        <x:is>
          <x:t xml:space="preserve"/>
        </x:is>
      </x:c>
      <x:c r="O42" s="21" t="inlineStr">
        <x:is>
          <x:t xml:space="preserve"/>
        </x:is>
      </x:c>
      <x:c r="P42" s="21" t="inlineStr">
        <x:is>
          <x:t xml:space="preserve"/>
        </x:is>
      </x:c>
      <x:c r="Q42" s="21" t="inlineStr">
        <x:is>
          <x:t xml:space="preserve">Not Started</x:t>
        </x:is>
      </x:c>
      <x:c r="R42" s="21" t="inlineStr">
        <x:is>
          <x:t xml:space="preserve"/>
        </x:is>
      </x:c>
    </x:row>
    <x:row r="43" ht="44" customHeight="1">
      <x:c r="A43" s="7" t="inlineStr">
        <x:is>
          <x:t xml:space="preserve">R039</x:t>
        </x:is>
      </x:c>
      <x:c r="B43" s="21" t="inlineStr">
        <x:is>
          <x:t xml:space="preserve"/>
        </x:is>
      </x:c>
      <x:c r="C43" s="21" t="inlineStr">
        <x:is>
          <x:t xml:space="preserve"/>
        </x:is>
      </x:c>
      <x:c r="D43" s="21" t="inlineStr">
        <x:is>
          <x:t xml:space="preserve"/>
        </x:is>
      </x:c>
      <x:c r="E43" s="21" t="inlineStr">
        <x:is>
          <x:t xml:space="preserve"/>
        </x:is>
      </x:c>
      <x:c r="F43" s="21" t="inlineStr">
        <x:is>
          <x:t xml:space="preserve"/>
        </x:is>
      </x:c>
      <x:c r="G43" s="21" t="inlineStr">
        <x:is>
          <x:t xml:space="preserve">Speed Limit</x:t>
        </x:is>
      </x:c>
      <x:c r="H43" s="21" t="inlineStr">
        <x:is>
          <x:t xml:space="preserve"/>
        </x:is>
      </x:c>
      <x:c r="I43" s="21" t="inlineStr">
        <x:is>
          <x:t xml:space="preserve"/>
        </x:is>
      </x:c>
      <x:c r="J43" s="21" t="inlineStr">
        <x:is>
          <x:t xml:space="preserve"/>
        </x:is>
      </x:c>
      <x:c r="K43" s="21" t="inlineStr">
        <x:is>
          <x:t xml:space="preserve">Field Photo</x:t>
        </x:is>
      </x:c>
      <x:c r="L43" s="21" t="inlineStr">
        <x:is>
          <x:t xml:space="preserve">D - Unverified</x:t>
        </x:is>
      </x:c>
      <x:c r="M43" s="21" t="inlineStr">
        <x:is>
          <x:t xml:space="preserve"/>
        </x:is>
      </x:c>
      <x:c r="N43" s="21" t="inlineStr">
        <x:is>
          <x:t xml:space="preserve"/>
        </x:is>
      </x:c>
      <x:c r="O43" s="21" t="inlineStr">
        <x:is>
          <x:t xml:space="preserve"/>
        </x:is>
      </x:c>
      <x:c r="P43" s="21" t="inlineStr">
        <x:is>
          <x:t xml:space="preserve"/>
        </x:is>
      </x:c>
      <x:c r="Q43" s="21" t="inlineStr">
        <x:is>
          <x:t xml:space="preserve">Not Started</x:t>
        </x:is>
      </x:c>
      <x:c r="R43" s="21" t="inlineStr">
        <x:is>
          <x:t xml:space="preserve"/>
        </x:is>
      </x:c>
    </x:row>
    <x:row r="44" ht="44" customHeight="1">
      <x:c r="A44" s="5" t="inlineStr">
        <x:is>
          <x:t xml:space="preserve">R040</x:t>
        </x:is>
      </x:c>
      <x:c r="B44" s="21" t="inlineStr">
        <x:is>
          <x:t xml:space="preserve"/>
        </x:is>
      </x:c>
      <x:c r="C44" s="21" t="inlineStr">
        <x:is>
          <x:t xml:space="preserve"/>
        </x:is>
      </x:c>
      <x:c r="D44" s="21" t="inlineStr">
        <x:is>
          <x:t xml:space="preserve"/>
        </x:is>
      </x:c>
      <x:c r="E44" s="21" t="inlineStr">
        <x:is>
          <x:t xml:space="preserve"/>
        </x:is>
      </x:c>
      <x:c r="F44" s="21" t="inlineStr">
        <x:is>
          <x:t xml:space="preserve"/>
        </x:is>
      </x:c>
      <x:c r="G44" s="21" t="inlineStr">
        <x:is>
          <x:t xml:space="preserve">Speed Limit</x:t>
        </x:is>
      </x:c>
      <x:c r="H44" s="21" t="inlineStr">
        <x:is>
          <x:t xml:space="preserve"/>
        </x:is>
      </x:c>
      <x:c r="I44" s="21" t="inlineStr">
        <x:is>
          <x:t xml:space="preserve"/>
        </x:is>
      </x:c>
      <x:c r="J44" s="21" t="inlineStr">
        <x:is>
          <x:t xml:space="preserve"/>
        </x:is>
      </x:c>
      <x:c r="K44" s="21" t="inlineStr">
        <x:is>
          <x:t xml:space="preserve">Field Photo</x:t>
        </x:is>
      </x:c>
      <x:c r="L44" s="21" t="inlineStr">
        <x:is>
          <x:t xml:space="preserve">D - Unverified</x:t>
        </x:is>
      </x:c>
      <x:c r="M44" s="21" t="inlineStr">
        <x:is>
          <x:t xml:space="preserve"/>
        </x:is>
      </x:c>
      <x:c r="N44" s="21" t="inlineStr">
        <x:is>
          <x:t xml:space="preserve"/>
        </x:is>
      </x:c>
      <x:c r="O44" s="21" t="inlineStr">
        <x:is>
          <x:t xml:space="preserve"/>
        </x:is>
      </x:c>
      <x:c r="P44" s="21" t="inlineStr">
        <x:is>
          <x:t xml:space="preserve"/>
        </x:is>
      </x:c>
      <x:c r="Q44" s="21" t="inlineStr">
        <x:is>
          <x:t xml:space="preserve">Not Started</x:t>
        </x:is>
      </x:c>
      <x:c r="R44" s="21" t="inlineStr">
        <x:is>
          <x:t xml:space="preserve"/>
        </x:is>
      </x:c>
    </x:row>
    <x:row r="45" ht="44" customHeight="1">
      <x:c r="A45" s="7" t="inlineStr">
        <x:is>
          <x:t xml:space="preserve">R041</x:t>
        </x:is>
      </x:c>
      <x:c r="B45" s="21" t="inlineStr">
        <x:is>
          <x:t xml:space="preserve"/>
        </x:is>
      </x:c>
      <x:c r="C45" s="21" t="inlineStr">
        <x:is>
          <x:t xml:space="preserve"/>
        </x:is>
      </x:c>
      <x:c r="D45" s="21" t="inlineStr">
        <x:is>
          <x:t xml:space="preserve"/>
        </x:is>
      </x:c>
      <x:c r="E45" s="21" t="inlineStr">
        <x:is>
          <x:t xml:space="preserve"/>
        </x:is>
      </x:c>
      <x:c r="F45" s="21" t="inlineStr">
        <x:is>
          <x:t xml:space="preserve"/>
        </x:is>
      </x:c>
      <x:c r="G45" s="21" t="inlineStr">
        <x:is>
          <x:t xml:space="preserve">Speed Limit</x:t>
        </x:is>
      </x:c>
      <x:c r="H45" s="21" t="inlineStr">
        <x:is>
          <x:t xml:space="preserve"/>
        </x:is>
      </x:c>
      <x:c r="I45" s="21" t="inlineStr">
        <x:is>
          <x:t xml:space="preserve"/>
        </x:is>
      </x:c>
      <x:c r="J45" s="21" t="inlineStr">
        <x:is>
          <x:t xml:space="preserve"/>
        </x:is>
      </x:c>
      <x:c r="K45" s="21" t="inlineStr">
        <x:is>
          <x:t xml:space="preserve">Field Photo</x:t>
        </x:is>
      </x:c>
      <x:c r="L45" s="21" t="inlineStr">
        <x:is>
          <x:t xml:space="preserve">D - Unverified</x:t>
        </x:is>
      </x:c>
      <x:c r="M45" s="21" t="inlineStr">
        <x:is>
          <x:t xml:space="preserve"/>
        </x:is>
      </x:c>
      <x:c r="N45" s="21" t="inlineStr">
        <x:is>
          <x:t xml:space="preserve"/>
        </x:is>
      </x:c>
      <x:c r="O45" s="21" t="inlineStr">
        <x:is>
          <x:t xml:space="preserve"/>
        </x:is>
      </x:c>
      <x:c r="P45" s="21" t="inlineStr">
        <x:is>
          <x:t xml:space="preserve"/>
        </x:is>
      </x:c>
      <x:c r="Q45" s="21" t="inlineStr">
        <x:is>
          <x:t xml:space="preserve">Not Started</x:t>
        </x:is>
      </x:c>
      <x:c r="R45" s="21" t="inlineStr">
        <x:is>
          <x:t xml:space="preserve"/>
        </x:is>
      </x:c>
    </x:row>
    <x:row r="46" ht="44" customHeight="1">
      <x:c r="A46" s="5" t="inlineStr">
        <x:is>
          <x:t xml:space="preserve">R042</x:t>
        </x:is>
      </x:c>
      <x:c r="B46" s="21" t="inlineStr">
        <x:is>
          <x:t xml:space="preserve"/>
        </x:is>
      </x:c>
      <x:c r="C46" s="21" t="inlineStr">
        <x:is>
          <x:t xml:space="preserve"/>
        </x:is>
      </x:c>
      <x:c r="D46" s="21" t="inlineStr">
        <x:is>
          <x:t xml:space="preserve"/>
        </x:is>
      </x:c>
      <x:c r="E46" s="21" t="inlineStr">
        <x:is>
          <x:t xml:space="preserve"/>
        </x:is>
      </x:c>
      <x:c r="F46" s="21" t="inlineStr">
        <x:is>
          <x:t xml:space="preserve"/>
        </x:is>
      </x:c>
      <x:c r="G46" s="21" t="inlineStr">
        <x:is>
          <x:t xml:space="preserve">Speed Limit</x:t>
        </x:is>
      </x:c>
      <x:c r="H46" s="21" t="inlineStr">
        <x:is>
          <x:t xml:space="preserve"/>
        </x:is>
      </x:c>
      <x:c r="I46" s="21" t="inlineStr">
        <x:is>
          <x:t xml:space="preserve"/>
        </x:is>
      </x:c>
      <x:c r="J46" s="21" t="inlineStr">
        <x:is>
          <x:t xml:space="preserve"/>
        </x:is>
      </x:c>
      <x:c r="K46" s="21" t="inlineStr">
        <x:is>
          <x:t xml:space="preserve">Field Photo</x:t>
        </x:is>
      </x:c>
      <x:c r="L46" s="21" t="inlineStr">
        <x:is>
          <x:t xml:space="preserve">D - Unverified</x:t>
        </x:is>
      </x:c>
      <x:c r="M46" s="21" t="inlineStr">
        <x:is>
          <x:t xml:space="preserve"/>
        </x:is>
      </x:c>
      <x:c r="N46" s="21" t="inlineStr">
        <x:is>
          <x:t xml:space="preserve"/>
        </x:is>
      </x:c>
      <x:c r="O46" s="21" t="inlineStr">
        <x:is>
          <x:t xml:space="preserve"/>
        </x:is>
      </x:c>
      <x:c r="P46" s="21" t="inlineStr">
        <x:is>
          <x:t xml:space="preserve"/>
        </x:is>
      </x:c>
      <x:c r="Q46" s="21" t="inlineStr">
        <x:is>
          <x:t xml:space="preserve">Not Started</x:t>
        </x:is>
      </x:c>
      <x:c r="R46" s="21" t="inlineStr">
        <x:is>
          <x:t xml:space="preserve"/>
        </x:is>
      </x:c>
    </x:row>
    <x:row r="47" ht="44" customHeight="1">
      <x:c r="A47" s="7" t="inlineStr">
        <x:is>
          <x:t xml:space="preserve">R043</x:t>
        </x:is>
      </x:c>
      <x:c r="B47" s="21" t="inlineStr">
        <x:is>
          <x:t xml:space="preserve"/>
        </x:is>
      </x:c>
      <x:c r="C47" s="21" t="inlineStr">
        <x:is>
          <x:t xml:space="preserve"/>
        </x:is>
      </x:c>
      <x:c r="D47" s="21" t="inlineStr">
        <x:is>
          <x:t xml:space="preserve"/>
        </x:is>
      </x:c>
      <x:c r="E47" s="21" t="inlineStr">
        <x:is>
          <x:t xml:space="preserve"/>
        </x:is>
      </x:c>
      <x:c r="F47" s="21" t="inlineStr">
        <x:is>
          <x:t xml:space="preserve"/>
        </x:is>
      </x:c>
      <x:c r="G47" s="21" t="inlineStr">
        <x:is>
          <x:t xml:space="preserve">Speed Limit</x:t>
        </x:is>
      </x:c>
      <x:c r="H47" s="21" t="inlineStr">
        <x:is>
          <x:t xml:space="preserve"/>
        </x:is>
      </x:c>
      <x:c r="I47" s="21" t="inlineStr">
        <x:is>
          <x:t xml:space="preserve"/>
        </x:is>
      </x:c>
      <x:c r="J47" s="21" t="inlineStr">
        <x:is>
          <x:t xml:space="preserve"/>
        </x:is>
      </x:c>
      <x:c r="K47" s="21" t="inlineStr">
        <x:is>
          <x:t xml:space="preserve">Field Photo</x:t>
        </x:is>
      </x:c>
      <x:c r="L47" s="21" t="inlineStr">
        <x:is>
          <x:t xml:space="preserve">D - Unverified</x:t>
        </x:is>
      </x:c>
      <x:c r="M47" s="21" t="inlineStr">
        <x:is>
          <x:t xml:space="preserve"/>
        </x:is>
      </x:c>
      <x:c r="N47" s="21" t="inlineStr">
        <x:is>
          <x:t xml:space="preserve"/>
        </x:is>
      </x:c>
      <x:c r="O47" s="21" t="inlineStr">
        <x:is>
          <x:t xml:space="preserve"/>
        </x:is>
      </x:c>
      <x:c r="P47" s="21" t="inlineStr">
        <x:is>
          <x:t xml:space="preserve"/>
        </x:is>
      </x:c>
      <x:c r="Q47" s="21" t="inlineStr">
        <x:is>
          <x:t xml:space="preserve">Not Started</x:t>
        </x:is>
      </x:c>
      <x:c r="R47" s="21" t="inlineStr">
        <x:is>
          <x:t xml:space="preserve"/>
        </x:is>
      </x:c>
    </x:row>
    <x:row r="48" ht="44" customHeight="1">
      <x:c r="A48" s="5" t="inlineStr">
        <x:is>
          <x:t xml:space="preserve">R044</x:t>
        </x:is>
      </x:c>
      <x:c r="B48" s="21" t="inlineStr">
        <x:is>
          <x:t xml:space="preserve"/>
        </x:is>
      </x:c>
      <x:c r="C48" s="21" t="inlineStr">
        <x:is>
          <x:t xml:space="preserve"/>
        </x:is>
      </x:c>
      <x:c r="D48" s="21" t="inlineStr">
        <x:is>
          <x:t xml:space="preserve"/>
        </x:is>
      </x:c>
      <x:c r="E48" s="21" t="inlineStr">
        <x:is>
          <x:t xml:space="preserve"/>
        </x:is>
      </x:c>
      <x:c r="F48" s="21" t="inlineStr">
        <x:is>
          <x:t xml:space="preserve"/>
        </x:is>
      </x:c>
      <x:c r="G48" s="21" t="inlineStr">
        <x:is>
          <x:t xml:space="preserve">Speed Limit</x:t>
        </x:is>
      </x:c>
      <x:c r="H48" s="21" t="inlineStr">
        <x:is>
          <x:t xml:space="preserve"/>
        </x:is>
      </x:c>
      <x:c r="I48" s="21" t="inlineStr">
        <x:is>
          <x:t xml:space="preserve"/>
        </x:is>
      </x:c>
      <x:c r="J48" s="21" t="inlineStr">
        <x:is>
          <x:t xml:space="preserve"/>
        </x:is>
      </x:c>
      <x:c r="K48" s="21" t="inlineStr">
        <x:is>
          <x:t xml:space="preserve">Field Photo</x:t>
        </x:is>
      </x:c>
      <x:c r="L48" s="21" t="inlineStr">
        <x:is>
          <x:t xml:space="preserve">D - Unverified</x:t>
        </x:is>
      </x:c>
      <x:c r="M48" s="21" t="inlineStr">
        <x:is>
          <x:t xml:space="preserve"/>
        </x:is>
      </x:c>
      <x:c r="N48" s="21" t="inlineStr">
        <x:is>
          <x:t xml:space="preserve"/>
        </x:is>
      </x:c>
      <x:c r="O48" s="21" t="inlineStr">
        <x:is>
          <x:t xml:space="preserve"/>
        </x:is>
      </x:c>
      <x:c r="P48" s="21" t="inlineStr">
        <x:is>
          <x:t xml:space="preserve"/>
        </x:is>
      </x:c>
      <x:c r="Q48" s="21" t="inlineStr">
        <x:is>
          <x:t xml:space="preserve">Not Started</x:t>
        </x:is>
      </x:c>
      <x:c r="R48" s="21" t="inlineStr">
        <x:is>
          <x:t xml:space="preserve"/>
        </x:is>
      </x:c>
    </x:row>
    <x:row r="49" ht="44" customHeight="1">
      <x:c r="A49" s="7" t="inlineStr">
        <x:is>
          <x:t xml:space="preserve">R045</x:t>
        </x:is>
      </x:c>
      <x:c r="B49" s="21" t="inlineStr">
        <x:is>
          <x:t xml:space="preserve"/>
        </x:is>
      </x:c>
      <x:c r="C49" s="21" t="inlineStr">
        <x:is>
          <x:t xml:space="preserve"/>
        </x:is>
      </x:c>
      <x:c r="D49" s="21" t="inlineStr">
        <x:is>
          <x:t xml:space="preserve"/>
        </x:is>
      </x:c>
      <x:c r="E49" s="21" t="inlineStr">
        <x:is>
          <x:t xml:space="preserve"/>
        </x:is>
      </x:c>
      <x:c r="F49" s="21" t="inlineStr">
        <x:is>
          <x:t xml:space="preserve"/>
        </x:is>
      </x:c>
      <x:c r="G49" s="21" t="inlineStr">
        <x:is>
          <x:t xml:space="preserve">Speed Limit</x:t>
        </x:is>
      </x:c>
      <x:c r="H49" s="21" t="inlineStr">
        <x:is>
          <x:t xml:space="preserve"/>
        </x:is>
      </x:c>
      <x:c r="I49" s="21" t="inlineStr">
        <x:is>
          <x:t xml:space="preserve"/>
        </x:is>
      </x:c>
      <x:c r="J49" s="21" t="inlineStr">
        <x:is>
          <x:t xml:space="preserve"/>
        </x:is>
      </x:c>
      <x:c r="K49" s="21" t="inlineStr">
        <x:is>
          <x:t xml:space="preserve">Field Photo</x:t>
        </x:is>
      </x:c>
      <x:c r="L49" s="21" t="inlineStr">
        <x:is>
          <x:t xml:space="preserve">D - Unverified</x:t>
        </x:is>
      </x:c>
      <x:c r="M49" s="21" t="inlineStr">
        <x:is>
          <x:t xml:space="preserve"/>
        </x:is>
      </x:c>
      <x:c r="N49" s="21" t="inlineStr">
        <x:is>
          <x:t xml:space="preserve"/>
        </x:is>
      </x:c>
      <x:c r="O49" s="21" t="inlineStr">
        <x:is>
          <x:t xml:space="preserve"/>
        </x:is>
      </x:c>
      <x:c r="P49" s="21" t="inlineStr">
        <x:is>
          <x:t xml:space="preserve"/>
        </x:is>
      </x:c>
      <x:c r="Q49" s="21" t="inlineStr">
        <x:is>
          <x:t xml:space="preserve">Not Started</x:t>
        </x:is>
      </x:c>
      <x:c r="R49" s="21" t="inlineStr">
        <x:is>
          <x:t xml:space="preserve"/>
        </x:is>
      </x:c>
    </x:row>
    <x:row r="50" ht="44" customHeight="1">
      <x:c r="A50" s="5" t="inlineStr">
        <x:is>
          <x:t xml:space="preserve">R046</x:t>
        </x:is>
      </x:c>
      <x:c r="B50" s="21" t="inlineStr">
        <x:is>
          <x:t xml:space="preserve"/>
        </x:is>
      </x:c>
      <x:c r="C50" s="21" t="inlineStr">
        <x:is>
          <x:t xml:space="preserve"/>
        </x:is>
      </x:c>
      <x:c r="D50" s="21" t="inlineStr">
        <x:is>
          <x:t xml:space="preserve"/>
        </x:is>
      </x:c>
      <x:c r="E50" s="21" t="inlineStr">
        <x:is>
          <x:t xml:space="preserve"/>
        </x:is>
      </x:c>
      <x:c r="F50" s="21" t="inlineStr">
        <x:is>
          <x:t xml:space="preserve"/>
        </x:is>
      </x:c>
      <x:c r="G50" s="21" t="inlineStr">
        <x:is>
          <x:t xml:space="preserve">Speed Limit</x:t>
        </x:is>
      </x:c>
      <x:c r="H50" s="21" t="inlineStr">
        <x:is>
          <x:t xml:space="preserve"/>
        </x:is>
      </x:c>
      <x:c r="I50" s="21" t="inlineStr">
        <x:is>
          <x:t xml:space="preserve"/>
        </x:is>
      </x:c>
      <x:c r="J50" s="21" t="inlineStr">
        <x:is>
          <x:t xml:space="preserve"/>
        </x:is>
      </x:c>
      <x:c r="K50" s="21" t="inlineStr">
        <x:is>
          <x:t xml:space="preserve">Field Photo</x:t>
        </x:is>
      </x:c>
      <x:c r="L50" s="21" t="inlineStr">
        <x:is>
          <x:t xml:space="preserve">D - Unverified</x:t>
        </x:is>
      </x:c>
      <x:c r="M50" s="21" t="inlineStr">
        <x:is>
          <x:t xml:space="preserve"/>
        </x:is>
      </x:c>
      <x:c r="N50" s="21" t="inlineStr">
        <x:is>
          <x:t xml:space="preserve"/>
        </x:is>
      </x:c>
      <x:c r="O50" s="21" t="inlineStr">
        <x:is>
          <x:t xml:space="preserve"/>
        </x:is>
      </x:c>
      <x:c r="P50" s="21" t="inlineStr">
        <x:is>
          <x:t xml:space="preserve"/>
        </x:is>
      </x:c>
      <x:c r="Q50" s="21" t="inlineStr">
        <x:is>
          <x:t xml:space="preserve">Not Started</x:t>
        </x:is>
      </x:c>
      <x:c r="R50" s="21" t="inlineStr">
        <x:is>
          <x:t xml:space="preserve"/>
        </x:is>
      </x:c>
    </x:row>
    <x:row r="51" ht="44" customHeight="1">
      <x:c r="A51" s="7" t="inlineStr">
        <x:is>
          <x:t xml:space="preserve">R047</x:t>
        </x:is>
      </x:c>
      <x:c r="B51" s="21" t="inlineStr">
        <x:is>
          <x:t xml:space="preserve"/>
        </x:is>
      </x:c>
      <x:c r="C51" s="21" t="inlineStr">
        <x:is>
          <x:t xml:space="preserve"/>
        </x:is>
      </x:c>
      <x:c r="D51" s="21" t="inlineStr">
        <x:is>
          <x:t xml:space="preserve"/>
        </x:is>
      </x:c>
      <x:c r="E51" s="21" t="inlineStr">
        <x:is>
          <x:t xml:space="preserve"/>
        </x:is>
      </x:c>
      <x:c r="F51" s="21" t="inlineStr">
        <x:is>
          <x:t xml:space="preserve"/>
        </x:is>
      </x:c>
      <x:c r="G51" s="21" t="inlineStr">
        <x:is>
          <x:t xml:space="preserve">Speed Limit</x:t>
        </x:is>
      </x:c>
      <x:c r="H51" s="21" t="inlineStr">
        <x:is>
          <x:t xml:space="preserve"/>
        </x:is>
      </x:c>
      <x:c r="I51" s="21" t="inlineStr">
        <x:is>
          <x:t xml:space="preserve"/>
        </x:is>
      </x:c>
      <x:c r="J51" s="21" t="inlineStr">
        <x:is>
          <x:t xml:space="preserve"/>
        </x:is>
      </x:c>
      <x:c r="K51" s="21" t="inlineStr">
        <x:is>
          <x:t xml:space="preserve">Field Photo</x:t>
        </x:is>
      </x:c>
      <x:c r="L51" s="21" t="inlineStr">
        <x:is>
          <x:t xml:space="preserve">D - Unverified</x:t>
        </x:is>
      </x:c>
      <x:c r="M51" s="21" t="inlineStr">
        <x:is>
          <x:t xml:space="preserve"/>
        </x:is>
      </x:c>
      <x:c r="N51" s="21" t="inlineStr">
        <x:is>
          <x:t xml:space="preserve"/>
        </x:is>
      </x:c>
      <x:c r="O51" s="21" t="inlineStr">
        <x:is>
          <x:t xml:space="preserve"/>
        </x:is>
      </x:c>
      <x:c r="P51" s="21" t="inlineStr">
        <x:is>
          <x:t xml:space="preserve"/>
        </x:is>
      </x:c>
      <x:c r="Q51" s="21" t="inlineStr">
        <x:is>
          <x:t xml:space="preserve">Not Started</x:t>
        </x:is>
      </x:c>
      <x:c r="R51" s="21" t="inlineStr">
        <x:is>
          <x:t xml:space="preserve"/>
        </x:is>
      </x:c>
    </x:row>
    <x:row r="52" ht="44" customHeight="1">
      <x:c r="A52" s="5" t="inlineStr">
        <x:is>
          <x:t xml:space="preserve">R048</x:t>
        </x:is>
      </x:c>
      <x:c r="B52" s="21" t="inlineStr">
        <x:is>
          <x:t xml:space="preserve"/>
        </x:is>
      </x:c>
      <x:c r="C52" s="21" t="inlineStr">
        <x:is>
          <x:t xml:space="preserve"/>
        </x:is>
      </x:c>
      <x:c r="D52" s="21" t="inlineStr">
        <x:is>
          <x:t xml:space="preserve"/>
        </x:is>
      </x:c>
      <x:c r="E52" s="21" t="inlineStr">
        <x:is>
          <x:t xml:space="preserve"/>
        </x:is>
      </x:c>
      <x:c r="F52" s="21" t="inlineStr">
        <x:is>
          <x:t xml:space="preserve"/>
        </x:is>
      </x:c>
      <x:c r="G52" s="21" t="inlineStr">
        <x:is>
          <x:t xml:space="preserve">Speed Limit</x:t>
        </x:is>
      </x:c>
      <x:c r="H52" s="21" t="inlineStr">
        <x:is>
          <x:t xml:space="preserve"/>
        </x:is>
      </x:c>
      <x:c r="I52" s="21" t="inlineStr">
        <x:is>
          <x:t xml:space="preserve"/>
        </x:is>
      </x:c>
      <x:c r="J52" s="21" t="inlineStr">
        <x:is>
          <x:t xml:space="preserve"/>
        </x:is>
      </x:c>
      <x:c r="K52" s="21" t="inlineStr">
        <x:is>
          <x:t xml:space="preserve">Field Photo</x:t>
        </x:is>
      </x:c>
      <x:c r="L52" s="21" t="inlineStr">
        <x:is>
          <x:t xml:space="preserve">D - Unverified</x:t>
        </x:is>
      </x:c>
      <x:c r="M52" s="21" t="inlineStr">
        <x:is>
          <x:t xml:space="preserve"/>
        </x:is>
      </x:c>
      <x:c r="N52" s="21" t="inlineStr">
        <x:is>
          <x:t xml:space="preserve"/>
        </x:is>
      </x:c>
      <x:c r="O52" s="21" t="inlineStr">
        <x:is>
          <x:t xml:space="preserve"/>
        </x:is>
      </x:c>
      <x:c r="P52" s="21" t="inlineStr">
        <x:is>
          <x:t xml:space="preserve"/>
        </x:is>
      </x:c>
      <x:c r="Q52" s="21" t="inlineStr">
        <x:is>
          <x:t xml:space="preserve">Not Started</x:t>
        </x:is>
      </x:c>
      <x:c r="R52" s="21" t="inlineStr">
        <x:is>
          <x:t xml:space="preserve"/>
        </x:is>
      </x:c>
    </x:row>
    <x:row r="53" ht="44" customHeight="1">
      <x:c r="A53" s="7" t="inlineStr">
        <x:is>
          <x:t xml:space="preserve">R049</x:t>
        </x:is>
      </x:c>
      <x:c r="B53" s="21" t="inlineStr">
        <x:is>
          <x:t xml:space="preserve"/>
        </x:is>
      </x:c>
      <x:c r="C53" s="21" t="inlineStr">
        <x:is>
          <x:t xml:space="preserve"/>
        </x:is>
      </x:c>
      <x:c r="D53" s="21" t="inlineStr">
        <x:is>
          <x:t xml:space="preserve"/>
        </x:is>
      </x:c>
      <x:c r="E53" s="21" t="inlineStr">
        <x:is>
          <x:t xml:space="preserve"/>
        </x:is>
      </x:c>
      <x:c r="F53" s="21" t="inlineStr">
        <x:is>
          <x:t xml:space="preserve"/>
        </x:is>
      </x:c>
      <x:c r="G53" s="21" t="inlineStr">
        <x:is>
          <x:t xml:space="preserve">Speed Limit</x:t>
        </x:is>
      </x:c>
      <x:c r="H53" s="21" t="inlineStr">
        <x:is>
          <x:t xml:space="preserve"/>
        </x:is>
      </x:c>
      <x:c r="I53" s="21" t="inlineStr">
        <x:is>
          <x:t xml:space="preserve"/>
        </x:is>
      </x:c>
      <x:c r="J53" s="21" t="inlineStr">
        <x:is>
          <x:t xml:space="preserve"/>
        </x:is>
      </x:c>
      <x:c r="K53" s="21" t="inlineStr">
        <x:is>
          <x:t xml:space="preserve">Field Photo</x:t>
        </x:is>
      </x:c>
      <x:c r="L53" s="21" t="inlineStr">
        <x:is>
          <x:t xml:space="preserve">D - Unverified</x:t>
        </x:is>
      </x:c>
      <x:c r="M53" s="21" t="inlineStr">
        <x:is>
          <x:t xml:space="preserve"/>
        </x:is>
      </x:c>
      <x:c r="N53" s="21" t="inlineStr">
        <x:is>
          <x:t xml:space="preserve"/>
        </x:is>
      </x:c>
      <x:c r="O53" s="21" t="inlineStr">
        <x:is>
          <x:t xml:space="preserve"/>
        </x:is>
      </x:c>
      <x:c r="P53" s="21" t="inlineStr">
        <x:is>
          <x:t xml:space="preserve"/>
        </x:is>
      </x:c>
      <x:c r="Q53" s="21" t="inlineStr">
        <x:is>
          <x:t xml:space="preserve">Not Started</x:t>
        </x:is>
      </x:c>
      <x:c r="R53" s="21" t="inlineStr">
        <x:is>
          <x:t xml:space="preserve"/>
        </x:is>
      </x:c>
    </x:row>
    <x:row r="54" ht="44" customHeight="1">
      <x:c r="A54" s="5" t="inlineStr">
        <x:is>
          <x:t xml:space="preserve">R050</x:t>
        </x:is>
      </x:c>
      <x:c r="B54" s="21" t="inlineStr">
        <x:is>
          <x:t xml:space="preserve"/>
        </x:is>
      </x:c>
      <x:c r="C54" s="21" t="inlineStr">
        <x:is>
          <x:t xml:space="preserve"/>
        </x:is>
      </x:c>
      <x:c r="D54" s="21" t="inlineStr">
        <x:is>
          <x:t xml:space="preserve"/>
        </x:is>
      </x:c>
      <x:c r="E54" s="21" t="inlineStr">
        <x:is>
          <x:t xml:space="preserve"/>
        </x:is>
      </x:c>
      <x:c r="F54" s="21" t="inlineStr">
        <x:is>
          <x:t xml:space="preserve"/>
        </x:is>
      </x:c>
      <x:c r="G54" s="21" t="inlineStr">
        <x:is>
          <x:t xml:space="preserve">Speed Limit</x:t>
        </x:is>
      </x:c>
      <x:c r="H54" s="21" t="inlineStr">
        <x:is>
          <x:t xml:space="preserve"/>
        </x:is>
      </x:c>
      <x:c r="I54" s="21" t="inlineStr">
        <x:is>
          <x:t xml:space="preserve"/>
        </x:is>
      </x:c>
      <x:c r="J54" s="21" t="inlineStr">
        <x:is>
          <x:t xml:space="preserve"/>
        </x:is>
      </x:c>
      <x:c r="K54" s="21" t="inlineStr">
        <x:is>
          <x:t xml:space="preserve">Field Photo</x:t>
        </x:is>
      </x:c>
      <x:c r="L54" s="21" t="inlineStr">
        <x:is>
          <x:t xml:space="preserve">D - Unverified</x:t>
        </x:is>
      </x:c>
      <x:c r="M54" s="21" t="inlineStr">
        <x:is>
          <x:t xml:space="preserve"/>
        </x:is>
      </x:c>
      <x:c r="N54" s="21" t="inlineStr">
        <x:is>
          <x:t xml:space="preserve"/>
        </x:is>
      </x:c>
      <x:c r="O54" s="21" t="inlineStr">
        <x:is>
          <x:t xml:space="preserve"/>
        </x:is>
      </x:c>
      <x:c r="P54" s="21" t="inlineStr">
        <x:is>
          <x:t xml:space="preserve"/>
        </x:is>
      </x:c>
      <x:c r="Q54" s="21" t="inlineStr">
        <x:is>
          <x:t xml:space="preserve">Not Started</x:t>
        </x:is>
      </x:c>
      <x:c r="R54" s="21" t="inlineStr">
        <x:is>
          <x:t xml:space="preserve"/>
        </x:is>
      </x:c>
    </x:row>
    <x:row r="55" ht="44" customHeight="1">
      <x:c r="A55" s="7" t="inlineStr">
        <x:is>
          <x:t xml:space="preserve">R051</x:t>
        </x:is>
      </x:c>
      <x:c r="B55" s="21" t="inlineStr">
        <x:is>
          <x:t xml:space="preserve"/>
        </x:is>
      </x:c>
      <x:c r="C55" s="21" t="inlineStr">
        <x:is>
          <x:t xml:space="preserve"/>
        </x:is>
      </x:c>
      <x:c r="D55" s="21" t="inlineStr">
        <x:is>
          <x:t xml:space="preserve"/>
        </x:is>
      </x:c>
      <x:c r="E55" s="21" t="inlineStr">
        <x:is>
          <x:t xml:space="preserve"/>
        </x:is>
      </x:c>
      <x:c r="F55" s="21" t="inlineStr">
        <x:is>
          <x:t xml:space="preserve"/>
        </x:is>
      </x:c>
      <x:c r="G55" s="21" t="inlineStr">
        <x:is>
          <x:t xml:space="preserve">Speed Limit</x:t>
        </x:is>
      </x:c>
      <x:c r="H55" s="21" t="inlineStr">
        <x:is>
          <x:t xml:space="preserve"/>
        </x:is>
      </x:c>
      <x:c r="I55" s="21" t="inlineStr">
        <x:is>
          <x:t xml:space="preserve"/>
        </x:is>
      </x:c>
      <x:c r="J55" s="21" t="inlineStr">
        <x:is>
          <x:t xml:space="preserve"/>
        </x:is>
      </x:c>
      <x:c r="K55" s="21" t="inlineStr">
        <x:is>
          <x:t xml:space="preserve">Field Photo</x:t>
        </x:is>
      </x:c>
      <x:c r="L55" s="21" t="inlineStr">
        <x:is>
          <x:t xml:space="preserve">D - Unverified</x:t>
        </x:is>
      </x:c>
      <x:c r="M55" s="21" t="inlineStr">
        <x:is>
          <x:t xml:space="preserve"/>
        </x:is>
      </x:c>
      <x:c r="N55" s="21" t="inlineStr">
        <x:is>
          <x:t xml:space="preserve"/>
        </x:is>
      </x:c>
      <x:c r="O55" s="21" t="inlineStr">
        <x:is>
          <x:t xml:space="preserve"/>
        </x:is>
      </x:c>
      <x:c r="P55" s="21" t="inlineStr">
        <x:is>
          <x:t xml:space="preserve"/>
        </x:is>
      </x:c>
      <x:c r="Q55" s="21" t="inlineStr">
        <x:is>
          <x:t xml:space="preserve">Not Started</x:t>
        </x:is>
      </x:c>
      <x:c r="R55" s="21" t="inlineStr">
        <x:is>
          <x:t xml:space="preserve"/>
        </x:is>
      </x:c>
    </x:row>
    <x:row r="56" ht="44" customHeight="1">
      <x:c r="A56" s="5" t="inlineStr">
        <x:is>
          <x:t xml:space="preserve">R052</x:t>
        </x:is>
      </x:c>
      <x:c r="B56" s="21" t="inlineStr">
        <x:is>
          <x:t xml:space="preserve"/>
        </x:is>
      </x:c>
      <x:c r="C56" s="21" t="inlineStr">
        <x:is>
          <x:t xml:space="preserve"/>
        </x:is>
      </x:c>
      <x:c r="D56" s="21" t="inlineStr">
        <x:is>
          <x:t xml:space="preserve"/>
        </x:is>
      </x:c>
      <x:c r="E56" s="21" t="inlineStr">
        <x:is>
          <x:t xml:space="preserve"/>
        </x:is>
      </x:c>
      <x:c r="F56" s="21" t="inlineStr">
        <x:is>
          <x:t xml:space="preserve"/>
        </x:is>
      </x:c>
      <x:c r="G56" s="21" t="inlineStr">
        <x:is>
          <x:t xml:space="preserve">Speed Limit</x:t>
        </x:is>
      </x:c>
      <x:c r="H56" s="21" t="inlineStr">
        <x:is>
          <x:t xml:space="preserve"/>
        </x:is>
      </x:c>
      <x:c r="I56" s="21" t="inlineStr">
        <x:is>
          <x:t xml:space="preserve"/>
        </x:is>
      </x:c>
      <x:c r="J56" s="21" t="inlineStr">
        <x:is>
          <x:t xml:space="preserve"/>
        </x:is>
      </x:c>
      <x:c r="K56" s="21" t="inlineStr">
        <x:is>
          <x:t xml:space="preserve">Field Photo</x:t>
        </x:is>
      </x:c>
      <x:c r="L56" s="21" t="inlineStr">
        <x:is>
          <x:t xml:space="preserve">D - Unverified</x:t>
        </x:is>
      </x:c>
      <x:c r="M56" s="21" t="inlineStr">
        <x:is>
          <x:t xml:space="preserve"/>
        </x:is>
      </x:c>
      <x:c r="N56" s="21" t="inlineStr">
        <x:is>
          <x:t xml:space="preserve"/>
        </x:is>
      </x:c>
      <x:c r="O56" s="21" t="inlineStr">
        <x:is>
          <x:t xml:space="preserve"/>
        </x:is>
      </x:c>
      <x:c r="P56" s="21" t="inlineStr">
        <x:is>
          <x:t xml:space="preserve"/>
        </x:is>
      </x:c>
      <x:c r="Q56" s="21" t="inlineStr">
        <x:is>
          <x:t xml:space="preserve">Not Started</x:t>
        </x:is>
      </x:c>
      <x:c r="R56" s="21" t="inlineStr">
        <x:is>
          <x:t xml:space="preserve"/>
        </x:is>
      </x:c>
    </x:row>
    <x:row r="57" ht="44" customHeight="1">
      <x:c r="A57" s="7" t="inlineStr">
        <x:is>
          <x:t xml:space="preserve">R053</x:t>
        </x:is>
      </x:c>
      <x:c r="B57" s="21" t="inlineStr">
        <x:is>
          <x:t xml:space="preserve"/>
        </x:is>
      </x:c>
      <x:c r="C57" s="21" t="inlineStr">
        <x:is>
          <x:t xml:space="preserve"/>
        </x:is>
      </x:c>
      <x:c r="D57" s="21" t="inlineStr">
        <x:is>
          <x:t xml:space="preserve"/>
        </x:is>
      </x:c>
      <x:c r="E57" s="21" t="inlineStr">
        <x:is>
          <x:t xml:space="preserve"/>
        </x:is>
      </x:c>
      <x:c r="F57" s="21" t="inlineStr">
        <x:is>
          <x:t xml:space="preserve"/>
        </x:is>
      </x:c>
      <x:c r="G57" s="21" t="inlineStr">
        <x:is>
          <x:t xml:space="preserve">Speed Limit</x:t>
        </x:is>
      </x:c>
      <x:c r="H57" s="21" t="inlineStr">
        <x:is>
          <x:t xml:space="preserve"/>
        </x:is>
      </x:c>
      <x:c r="I57" s="21" t="inlineStr">
        <x:is>
          <x:t xml:space="preserve"/>
        </x:is>
      </x:c>
      <x:c r="J57" s="21" t="inlineStr">
        <x:is>
          <x:t xml:space="preserve"/>
        </x:is>
      </x:c>
      <x:c r="K57" s="21" t="inlineStr">
        <x:is>
          <x:t xml:space="preserve">Field Photo</x:t>
        </x:is>
      </x:c>
      <x:c r="L57" s="21" t="inlineStr">
        <x:is>
          <x:t xml:space="preserve">D - Unverified</x:t>
        </x:is>
      </x:c>
      <x:c r="M57" s="21" t="inlineStr">
        <x:is>
          <x:t xml:space="preserve"/>
        </x:is>
      </x:c>
      <x:c r="N57" s="21" t="inlineStr">
        <x:is>
          <x:t xml:space="preserve"/>
        </x:is>
      </x:c>
      <x:c r="O57" s="21" t="inlineStr">
        <x:is>
          <x:t xml:space="preserve"/>
        </x:is>
      </x:c>
      <x:c r="P57" s="21" t="inlineStr">
        <x:is>
          <x:t xml:space="preserve"/>
        </x:is>
      </x:c>
      <x:c r="Q57" s="21" t="inlineStr">
        <x:is>
          <x:t xml:space="preserve">Not Started</x:t>
        </x:is>
      </x:c>
      <x:c r="R57" s="21" t="inlineStr">
        <x:is>
          <x:t xml:space="preserve"/>
        </x:is>
      </x:c>
    </x:row>
    <x:row r="58" ht="44" customHeight="1">
      <x:c r="A58" s="5" t="inlineStr">
        <x:is>
          <x:t xml:space="preserve">R054</x:t>
        </x:is>
      </x:c>
      <x:c r="B58" s="21" t="inlineStr">
        <x:is>
          <x:t xml:space="preserve"/>
        </x:is>
      </x:c>
      <x:c r="C58" s="21" t="inlineStr">
        <x:is>
          <x:t xml:space="preserve"/>
        </x:is>
      </x:c>
      <x:c r="D58" s="21" t="inlineStr">
        <x:is>
          <x:t xml:space="preserve"/>
        </x:is>
      </x:c>
      <x:c r="E58" s="21" t="inlineStr">
        <x:is>
          <x:t xml:space="preserve"/>
        </x:is>
      </x:c>
      <x:c r="F58" s="21" t="inlineStr">
        <x:is>
          <x:t xml:space="preserve"/>
        </x:is>
      </x:c>
      <x:c r="G58" s="21" t="inlineStr">
        <x:is>
          <x:t xml:space="preserve">Speed Limit</x:t>
        </x:is>
      </x:c>
      <x:c r="H58" s="21" t="inlineStr">
        <x:is>
          <x:t xml:space="preserve"/>
        </x:is>
      </x:c>
      <x:c r="I58" s="21" t="inlineStr">
        <x:is>
          <x:t xml:space="preserve"/>
        </x:is>
      </x:c>
      <x:c r="J58" s="21" t="inlineStr">
        <x:is>
          <x:t xml:space="preserve"/>
        </x:is>
      </x:c>
      <x:c r="K58" s="21" t="inlineStr">
        <x:is>
          <x:t xml:space="preserve">Field Photo</x:t>
        </x:is>
      </x:c>
      <x:c r="L58" s="21" t="inlineStr">
        <x:is>
          <x:t xml:space="preserve">D - Unverified</x:t>
        </x:is>
      </x:c>
      <x:c r="M58" s="21" t="inlineStr">
        <x:is>
          <x:t xml:space="preserve"/>
        </x:is>
      </x:c>
      <x:c r="N58" s="21" t="inlineStr">
        <x:is>
          <x:t xml:space="preserve"/>
        </x:is>
      </x:c>
      <x:c r="O58" s="21" t="inlineStr">
        <x:is>
          <x:t xml:space="preserve"/>
        </x:is>
      </x:c>
      <x:c r="P58" s="21" t="inlineStr">
        <x:is>
          <x:t xml:space="preserve"/>
        </x:is>
      </x:c>
      <x:c r="Q58" s="21" t="inlineStr">
        <x:is>
          <x:t xml:space="preserve">Not Started</x:t>
        </x:is>
      </x:c>
      <x:c r="R58" s="21" t="inlineStr">
        <x:is>
          <x:t xml:space="preserve"/>
        </x:is>
      </x:c>
    </x:row>
    <x:row r="59" ht="44" customHeight="1">
      <x:c r="A59" s="7" t="inlineStr">
        <x:is>
          <x:t xml:space="preserve">R055</x:t>
        </x:is>
      </x:c>
      <x:c r="B59" s="21" t="inlineStr">
        <x:is>
          <x:t xml:space="preserve"/>
        </x:is>
      </x:c>
      <x:c r="C59" s="21" t="inlineStr">
        <x:is>
          <x:t xml:space="preserve"/>
        </x:is>
      </x:c>
      <x:c r="D59" s="21" t="inlineStr">
        <x:is>
          <x:t xml:space="preserve"/>
        </x:is>
      </x:c>
      <x:c r="E59" s="21" t="inlineStr">
        <x:is>
          <x:t xml:space="preserve"/>
        </x:is>
      </x:c>
      <x:c r="F59" s="21" t="inlineStr">
        <x:is>
          <x:t xml:space="preserve"/>
        </x:is>
      </x:c>
      <x:c r="G59" s="21" t="inlineStr">
        <x:is>
          <x:t xml:space="preserve">Speed Limit</x:t>
        </x:is>
      </x:c>
      <x:c r="H59" s="21" t="inlineStr">
        <x:is>
          <x:t xml:space="preserve"/>
        </x:is>
      </x:c>
      <x:c r="I59" s="21" t="inlineStr">
        <x:is>
          <x:t xml:space="preserve"/>
        </x:is>
      </x:c>
      <x:c r="J59" s="21" t="inlineStr">
        <x:is>
          <x:t xml:space="preserve"/>
        </x:is>
      </x:c>
      <x:c r="K59" s="21" t="inlineStr">
        <x:is>
          <x:t xml:space="preserve">Field Photo</x:t>
        </x:is>
      </x:c>
      <x:c r="L59" s="21" t="inlineStr">
        <x:is>
          <x:t xml:space="preserve">D - Unverified</x:t>
        </x:is>
      </x:c>
      <x:c r="M59" s="21" t="inlineStr">
        <x:is>
          <x:t xml:space="preserve"/>
        </x:is>
      </x:c>
      <x:c r="N59" s="21" t="inlineStr">
        <x:is>
          <x:t xml:space="preserve"/>
        </x:is>
      </x:c>
      <x:c r="O59" s="21" t="inlineStr">
        <x:is>
          <x:t xml:space="preserve"/>
        </x:is>
      </x:c>
      <x:c r="P59" s="21" t="inlineStr">
        <x:is>
          <x:t xml:space="preserve"/>
        </x:is>
      </x:c>
      <x:c r="Q59" s="21" t="inlineStr">
        <x:is>
          <x:t xml:space="preserve">Not Started</x:t>
        </x:is>
      </x:c>
      <x:c r="R59" s="21" t="inlineStr">
        <x:is>
          <x:t xml:space="preserve"/>
        </x:is>
      </x:c>
    </x:row>
    <x:row r="60" ht="44" customHeight="1">
      <x:c r="A60" s="5" t="inlineStr">
        <x:is>
          <x:t xml:space="preserve">R056</x:t>
        </x:is>
      </x:c>
      <x:c r="B60" s="21" t="inlineStr">
        <x:is>
          <x:t xml:space="preserve"/>
        </x:is>
      </x:c>
      <x:c r="C60" s="21" t="inlineStr">
        <x:is>
          <x:t xml:space="preserve"/>
        </x:is>
      </x:c>
      <x:c r="D60" s="21" t="inlineStr">
        <x:is>
          <x:t xml:space="preserve"/>
        </x:is>
      </x:c>
      <x:c r="E60" s="21" t="inlineStr">
        <x:is>
          <x:t xml:space="preserve"/>
        </x:is>
      </x:c>
      <x:c r="F60" s="21" t="inlineStr">
        <x:is>
          <x:t xml:space="preserve"/>
        </x:is>
      </x:c>
      <x:c r="G60" s="21" t="inlineStr">
        <x:is>
          <x:t xml:space="preserve">Speed Limit</x:t>
        </x:is>
      </x:c>
      <x:c r="H60" s="21" t="inlineStr">
        <x:is>
          <x:t xml:space="preserve"/>
        </x:is>
      </x:c>
      <x:c r="I60" s="21" t="inlineStr">
        <x:is>
          <x:t xml:space="preserve"/>
        </x:is>
      </x:c>
      <x:c r="J60" s="21" t="inlineStr">
        <x:is>
          <x:t xml:space="preserve"/>
        </x:is>
      </x:c>
      <x:c r="K60" s="21" t="inlineStr">
        <x:is>
          <x:t xml:space="preserve">Field Photo</x:t>
        </x:is>
      </x:c>
      <x:c r="L60" s="21" t="inlineStr">
        <x:is>
          <x:t xml:space="preserve">D - Unverified</x:t>
        </x:is>
      </x:c>
      <x:c r="M60" s="21" t="inlineStr">
        <x:is>
          <x:t xml:space="preserve"/>
        </x:is>
      </x:c>
      <x:c r="N60" s="21" t="inlineStr">
        <x:is>
          <x:t xml:space="preserve"/>
        </x:is>
      </x:c>
      <x:c r="O60" s="21" t="inlineStr">
        <x:is>
          <x:t xml:space="preserve"/>
        </x:is>
      </x:c>
      <x:c r="P60" s="21" t="inlineStr">
        <x:is>
          <x:t xml:space="preserve"/>
        </x:is>
      </x:c>
      <x:c r="Q60" s="21" t="inlineStr">
        <x:is>
          <x:t xml:space="preserve">Not Started</x:t>
        </x:is>
      </x:c>
      <x:c r="R60" s="21" t="inlineStr">
        <x:is>
          <x:t xml:space="preserve"/>
        </x:is>
      </x:c>
    </x:row>
    <x:row r="61" ht="44" customHeight="1">
      <x:c r="A61" s="7" t="inlineStr">
        <x:is>
          <x:t xml:space="preserve">R057</x:t>
        </x:is>
      </x:c>
      <x:c r="B61" s="21" t="inlineStr">
        <x:is>
          <x:t xml:space="preserve"/>
        </x:is>
      </x:c>
      <x:c r="C61" s="21" t="inlineStr">
        <x:is>
          <x:t xml:space="preserve"/>
        </x:is>
      </x:c>
      <x:c r="D61" s="21" t="inlineStr">
        <x:is>
          <x:t xml:space="preserve"/>
        </x:is>
      </x:c>
      <x:c r="E61" s="21" t="inlineStr">
        <x:is>
          <x:t xml:space="preserve"/>
        </x:is>
      </x:c>
      <x:c r="F61" s="21" t="inlineStr">
        <x:is>
          <x:t xml:space="preserve"/>
        </x:is>
      </x:c>
      <x:c r="G61" s="21" t="inlineStr">
        <x:is>
          <x:t xml:space="preserve">Speed Limit</x:t>
        </x:is>
      </x:c>
      <x:c r="H61" s="21" t="inlineStr">
        <x:is>
          <x:t xml:space="preserve"/>
        </x:is>
      </x:c>
      <x:c r="I61" s="21" t="inlineStr">
        <x:is>
          <x:t xml:space="preserve"/>
        </x:is>
      </x:c>
      <x:c r="J61" s="21" t="inlineStr">
        <x:is>
          <x:t xml:space="preserve"/>
        </x:is>
      </x:c>
      <x:c r="K61" s="21" t="inlineStr">
        <x:is>
          <x:t xml:space="preserve">Field Photo</x:t>
        </x:is>
      </x:c>
      <x:c r="L61" s="21" t="inlineStr">
        <x:is>
          <x:t xml:space="preserve">D - Unverified</x:t>
        </x:is>
      </x:c>
      <x:c r="M61" s="21" t="inlineStr">
        <x:is>
          <x:t xml:space="preserve"/>
        </x:is>
      </x:c>
      <x:c r="N61" s="21" t="inlineStr">
        <x:is>
          <x:t xml:space="preserve"/>
        </x:is>
      </x:c>
      <x:c r="O61" s="21" t="inlineStr">
        <x:is>
          <x:t xml:space="preserve"/>
        </x:is>
      </x:c>
      <x:c r="P61" s="21" t="inlineStr">
        <x:is>
          <x:t xml:space="preserve"/>
        </x:is>
      </x:c>
      <x:c r="Q61" s="21" t="inlineStr">
        <x:is>
          <x:t xml:space="preserve">Not Started</x:t>
        </x:is>
      </x:c>
      <x:c r="R61" s="21" t="inlineStr">
        <x:is>
          <x:t xml:space="preserve"/>
        </x:is>
      </x:c>
    </x:row>
    <x:row r="62" ht="44" customHeight="1">
      <x:c r="A62" s="5" t="inlineStr">
        <x:is>
          <x:t xml:space="preserve">R058</x:t>
        </x:is>
      </x:c>
      <x:c r="B62" s="21" t="inlineStr">
        <x:is>
          <x:t xml:space="preserve"/>
        </x:is>
      </x:c>
      <x:c r="C62" s="21" t="inlineStr">
        <x:is>
          <x:t xml:space="preserve"/>
        </x:is>
      </x:c>
      <x:c r="D62" s="21" t="inlineStr">
        <x:is>
          <x:t xml:space="preserve"/>
        </x:is>
      </x:c>
      <x:c r="E62" s="21" t="inlineStr">
        <x:is>
          <x:t xml:space="preserve"/>
        </x:is>
      </x:c>
      <x:c r="F62" s="21" t="inlineStr">
        <x:is>
          <x:t xml:space="preserve"/>
        </x:is>
      </x:c>
      <x:c r="G62" s="21" t="inlineStr">
        <x:is>
          <x:t xml:space="preserve">Speed Limit</x:t>
        </x:is>
      </x:c>
      <x:c r="H62" s="21" t="inlineStr">
        <x:is>
          <x:t xml:space="preserve"/>
        </x:is>
      </x:c>
      <x:c r="I62" s="21" t="inlineStr">
        <x:is>
          <x:t xml:space="preserve"/>
        </x:is>
      </x:c>
      <x:c r="J62" s="21" t="inlineStr">
        <x:is>
          <x:t xml:space="preserve"/>
        </x:is>
      </x:c>
      <x:c r="K62" s="21" t="inlineStr">
        <x:is>
          <x:t xml:space="preserve">Field Photo</x:t>
        </x:is>
      </x:c>
      <x:c r="L62" s="21" t="inlineStr">
        <x:is>
          <x:t xml:space="preserve">D - Unverified</x:t>
        </x:is>
      </x:c>
      <x:c r="M62" s="21" t="inlineStr">
        <x:is>
          <x:t xml:space="preserve"/>
        </x:is>
      </x:c>
      <x:c r="N62" s="21" t="inlineStr">
        <x:is>
          <x:t xml:space="preserve"/>
        </x:is>
      </x:c>
      <x:c r="O62" s="21" t="inlineStr">
        <x:is>
          <x:t xml:space="preserve"/>
        </x:is>
      </x:c>
      <x:c r="P62" s="21" t="inlineStr">
        <x:is>
          <x:t xml:space="preserve"/>
        </x:is>
      </x:c>
      <x:c r="Q62" s="21" t="inlineStr">
        <x:is>
          <x:t xml:space="preserve">Not Started</x:t>
        </x:is>
      </x:c>
      <x:c r="R62" s="21" t="inlineStr">
        <x:is>
          <x:t xml:space="preserve"/>
        </x:is>
      </x:c>
    </x:row>
    <x:row r="63" ht="44" customHeight="1">
      <x:c r="A63" s="7" t="inlineStr">
        <x:is>
          <x:t xml:space="preserve">R059</x:t>
        </x:is>
      </x:c>
      <x:c r="B63" s="21" t="inlineStr">
        <x:is>
          <x:t xml:space="preserve"/>
        </x:is>
      </x:c>
      <x:c r="C63" s="21" t="inlineStr">
        <x:is>
          <x:t xml:space="preserve"/>
        </x:is>
      </x:c>
      <x:c r="D63" s="21" t="inlineStr">
        <x:is>
          <x:t xml:space="preserve"/>
        </x:is>
      </x:c>
      <x:c r="E63" s="21" t="inlineStr">
        <x:is>
          <x:t xml:space="preserve"/>
        </x:is>
      </x:c>
      <x:c r="F63" s="21" t="inlineStr">
        <x:is>
          <x:t xml:space="preserve"/>
        </x:is>
      </x:c>
      <x:c r="G63" s="21" t="inlineStr">
        <x:is>
          <x:t xml:space="preserve">Speed Limit</x:t>
        </x:is>
      </x:c>
      <x:c r="H63" s="21" t="inlineStr">
        <x:is>
          <x:t xml:space="preserve"/>
        </x:is>
      </x:c>
      <x:c r="I63" s="21" t="inlineStr">
        <x:is>
          <x:t xml:space="preserve"/>
        </x:is>
      </x:c>
      <x:c r="J63" s="21" t="inlineStr">
        <x:is>
          <x:t xml:space="preserve"/>
        </x:is>
      </x:c>
      <x:c r="K63" s="21" t="inlineStr">
        <x:is>
          <x:t xml:space="preserve">Field Photo</x:t>
        </x:is>
      </x:c>
      <x:c r="L63" s="21" t="inlineStr">
        <x:is>
          <x:t xml:space="preserve">D - Unverified</x:t>
        </x:is>
      </x:c>
      <x:c r="M63" s="21" t="inlineStr">
        <x:is>
          <x:t xml:space="preserve"/>
        </x:is>
      </x:c>
      <x:c r="N63" s="21" t="inlineStr">
        <x:is>
          <x:t xml:space="preserve"/>
        </x:is>
      </x:c>
      <x:c r="O63" s="21" t="inlineStr">
        <x:is>
          <x:t xml:space="preserve"/>
        </x:is>
      </x:c>
      <x:c r="P63" s="21" t="inlineStr">
        <x:is>
          <x:t xml:space="preserve"/>
        </x:is>
      </x:c>
      <x:c r="Q63" s="21" t="inlineStr">
        <x:is>
          <x:t xml:space="preserve">Not Started</x:t>
        </x:is>
      </x:c>
      <x:c r="R63" s="21" t="inlineStr">
        <x:is>
          <x:t xml:space="preserve"/>
        </x:is>
      </x:c>
    </x:row>
    <x:row r="64" ht="44" customHeight="1">
      <x:c r="A64" s="5" t="inlineStr">
        <x:is>
          <x:t xml:space="preserve">R060</x:t>
        </x:is>
      </x:c>
      <x:c r="B64" s="21" t="inlineStr">
        <x:is>
          <x:t xml:space="preserve"/>
        </x:is>
      </x:c>
      <x:c r="C64" s="21" t="inlineStr">
        <x:is>
          <x:t xml:space="preserve"/>
        </x:is>
      </x:c>
      <x:c r="D64" s="21" t="inlineStr">
        <x:is>
          <x:t xml:space="preserve"/>
        </x:is>
      </x:c>
      <x:c r="E64" s="21" t="inlineStr">
        <x:is>
          <x:t xml:space="preserve"/>
        </x:is>
      </x:c>
      <x:c r="F64" s="21" t="inlineStr">
        <x:is>
          <x:t xml:space="preserve"/>
        </x:is>
      </x:c>
      <x:c r="G64" s="21" t="inlineStr">
        <x:is>
          <x:t xml:space="preserve">Speed Limit</x:t>
        </x:is>
      </x:c>
      <x:c r="H64" s="21" t="inlineStr">
        <x:is>
          <x:t xml:space="preserve"/>
        </x:is>
      </x:c>
      <x:c r="I64" s="21" t="inlineStr">
        <x:is>
          <x:t xml:space="preserve"/>
        </x:is>
      </x:c>
      <x:c r="J64" s="21" t="inlineStr">
        <x:is>
          <x:t xml:space="preserve"/>
        </x:is>
      </x:c>
      <x:c r="K64" s="21" t="inlineStr">
        <x:is>
          <x:t xml:space="preserve">Field Photo</x:t>
        </x:is>
      </x:c>
      <x:c r="L64" s="21" t="inlineStr">
        <x:is>
          <x:t xml:space="preserve">D - Unverified</x:t>
        </x:is>
      </x:c>
      <x:c r="M64" s="21" t="inlineStr">
        <x:is>
          <x:t xml:space="preserve"/>
        </x:is>
      </x:c>
      <x:c r="N64" s="21" t="inlineStr">
        <x:is>
          <x:t xml:space="preserve"/>
        </x:is>
      </x:c>
      <x:c r="O64" s="21" t="inlineStr">
        <x:is>
          <x:t xml:space="preserve"/>
        </x:is>
      </x:c>
      <x:c r="P64" s="21" t="inlineStr">
        <x:is>
          <x:t xml:space="preserve"/>
        </x:is>
      </x:c>
      <x:c r="Q64" s="21" t="inlineStr">
        <x:is>
          <x:t xml:space="preserve">Not Started</x:t>
        </x:is>
      </x:c>
      <x:c r="R64" s="21" t="inlineStr">
        <x:is>
          <x:t xml:space="preserve"/>
        </x:is>
      </x:c>
    </x:row>
    <x:row r="65"/>
    <x:row r="66"/>
    <x:row r="67"/>
    <x:row r="68" ht="24" customHeight="1">
      <x:c r="A68" s="11" t="inlineStr">
        <x:is>
          <x:t xml:space="preserve">Confidence definitions</x:t>
        </x:is>
      </x:c>
      <x:c r="B68" s="11" t="n"/>
      <x:c r="C68" s="11" t="n"/>
      <x:c r="D68" s="11" t="n"/>
      <x:c r="E68" s="11" t="n"/>
      <x:c r="F68" s="11" t="n"/>
      <x:c r="G68" s="11" t="n"/>
      <x:c r="H68" s="11" t="n"/>
      <x:c r="I68" s="11" t="n"/>
      <x:c r="J68" s="11" t="n"/>
      <x:c r="K68" s="11" t="n"/>
      <x:c r="L68" s="11" t="n"/>
      <x:c r="M68" s="11" t="n"/>
      <x:c r="N68" s="11" t="n"/>
      <x:c r="O68" s="11" t="n"/>
      <x:c r="P68" s="11" t="n"/>
      <x:c r="Q68" s="11" t="n"/>
    </x:row>
    <x:row r="69" ht="32" customHeight="1">
      <x:c r="A69" s="9" t="inlineStr">
        <x:is>
          <x:t xml:space="preserve">Level</x:t>
        </x:is>
      </x:c>
      <x:c r="B69" s="9" t="inlineStr">
        <x:is>
          <x:t xml:space="preserve">Definition</x:t>
        </x:is>
      </x:c>
      <x:c r="C69" s="9" t="inlineStr">
        <x:is>
          <x:t xml:space="preserve">Use in app/content</x:t>
        </x:is>
      </x:c>
    </x:row>
    <x:row r="70">
      <x:c r="A70" s="5" t="inlineStr">
        <x:is>
          <x:t xml:space="preserve">A - Confirmed</x:t>
        </x:is>
      </x:c>
      <x:c r="B70" s="5" t="inlineStr">
        <x:is>
          <x:t xml:space="preserve">Official or directly verified with strong evidence.</x:t>
        </x:is>
      </x:c>
      <x:c r="C70" s="5" t="inlineStr">
        <x:is>
          <x:t xml:space="preserve">Can be presented as confirmed with date/source.</x:t>
        </x:is>
      </x:c>
    </x:row>
    <x:row r="71">
      <x:c r="A71" s="7" t="inlineStr">
        <x:is>
          <x:t xml:space="preserve">B - Strong</x:t>
        </x:is>
      </x:c>
      <x:c r="B71" s="7" t="inlineStr">
        <x:is>
          <x:t xml:space="preserve">Official lead plus field/photo confirmation or multiple strong independent confirmations.</x:t>
        </x:is>
      </x:c>
      <x:c r="C71" s="7" t="inlineStr">
        <x:is>
          <x:t xml:space="preserve">Show with source date/caution.</x:t>
        </x:is>
      </x:c>
    </x:row>
    <x:row r="72">
      <x:c r="A72" s="5" t="inlineStr">
        <x:is>
          <x:t xml:space="preserve">C - Community</x:t>
        </x:is>
      </x:c>
      <x:c r="B72" s="5" t="inlineStr">
        <x:is>
          <x:t xml:space="preserve">Multiple recent community reports but not fully verified.</x:t>
        </x:is>
      </x:c>
      <x:c r="C72" s="5" t="inlineStr">
        <x:is>
          <x:t xml:space="preserve">Use internally or label as community report.</x:t>
        </x:is>
      </x:c>
    </x:row>
    <x:row r="73">
      <x:c r="A73" s="7" t="inlineStr">
        <x:is>
          <x:t xml:space="preserve">D - Unverified</x:t>
        </x:is>
      </x:c>
      <x:c r="B73" s="7" t="inlineStr">
        <x:is>
          <x:t xml:space="preserve">Single lead, media mention, or uncertain report.</x:t>
        </x:is>
      </x:c>
      <x:c r="C73" s="7" t="inlineStr">
        <x:is>
          <x:t xml:space="preserve">Do not present as confirmed.</x:t>
        </x:is>
      </x:c>
    </x:row>
  </x:sheetData>
  <x:dataValidations count="2">
    <x:dataValidation type="list" allowBlank="1" showDropDown="0" showInputMessage="0" showErrorMessage="0" sqref="L5:L64">
      <x:formula1>=Lists!$D$5:$D$8</x:formula1>
    </x:dataValidation>
    <x:dataValidation type="list" allowBlank="1" showDropDown="0" showInputMessage="0" showErrorMessage="0" sqref="Q5:Q64">
      <x:formula1>=Lists!$A$5:$A$10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e289397c1646e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5" customWidth="1"/>
    <x:col min="3" max="3" width="16" customWidth="1"/>
    <x:col min="4" max="4" width="42" customWidth="1"/>
    <x:col min="5" max="5" width="48" customWidth="1"/>
    <x:col min="6" max="6" width="12" customWidth="1"/>
    <x:col min="7" max="7" width="12" customWidth="1"/>
    <x:col min="8" max="8" width="12" customWidth="1"/>
    <x:col min="9" max="9" width="18" customWidth="1"/>
    <x:col min="10" max="10" width="16" customWidth="1"/>
    <x:col min="11" max="11" width="14" customWidth="1"/>
    <x:col min="12" max="12" width="28" customWidth="1"/>
    <x:col min="13" max="13" width="22" customWidth="1"/>
    <x:col min="14" max="14" width="24" customWidth="1"/>
  </x:cols>
  <x:sheetData>
    <x:row r="1" ht="30" customHeight="1">
      <x:c r="A1" s="1" t="n"/>
      <x:c r="B1" s="1" t="inlineStr">
        <x:is>
          <x:t xml:space="preserve">Product Backlog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2" ht="34" customHeight="1">
      <x:c r="A2" s="2" t="n"/>
      <x:c r="B2" s="2" t="inlineStr">
        <x:is>
          <x:t xml:space="preserve">Fix the thing blocking activation and trust before building nice-to-have features.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/>
    <x:row r="4" ht="32" customHeight="1">
      <x:c r="A4" s="10" t="inlineStr">
        <x:is>
          <x:t xml:space="preserve">ID</x:t>
        </x:is>
      </x:c>
      <x:c r="B4" s="10" t="inlineStr">
        <x:is>
          <x:t xml:space="preserve">Priority</x:t>
        </x:is>
      </x:c>
      <x:c r="C4" s="10" t="inlineStr">
        <x:is>
          <x:t xml:space="preserve">Type</x:t>
        </x:is>
      </x:c>
      <x:c r="D4" s="10" t="inlineStr">
        <x:is>
          <x:t xml:space="preserve">Issue / Feature</x:t>
        </x:is>
      </x:c>
      <x:c r="E4" s="10" t="inlineStr">
        <x:is>
          <x:t xml:space="preserve">User Problem</x:t>
        </x:is>
      </x:c>
      <x:c r="F4" s="10" t="inlineStr">
        <x:is>
          <x:t xml:space="preserve">Impact</x:t>
        </x:is>
      </x:c>
      <x:c r="G4" s="10" t="inlineStr">
        <x:is>
          <x:t xml:space="preserve">Effort</x:t>
        </x:is>
      </x:c>
      <x:c r="H4" s="10" t="inlineStr">
        <x:is>
          <x:t xml:space="preserve">Score</x:t>
        </x:is>
      </x:c>
      <x:c r="I4" s="10" t="inlineStr">
        <x:is>
          <x:t xml:space="preserve">Owner</x:t>
        </x:is>
      </x:c>
      <x:c r="J4" s="10" t="inlineStr">
        <x:is>
          <x:t xml:space="preserve">Status</x:t>
        </x:is>
      </x:c>
      <x:c r="K4" s="10" t="inlineStr">
        <x:is>
          <x:t xml:space="preserve">Target Week</x:t>
        </x:is>
      </x:c>
      <x:c r="L4" s="10" t="inlineStr">
        <x:is>
          <x:t xml:space="preserve">Acceptance Criteria</x:t>
        </x:is>
      </x:c>
      <x:c r="M4" s="10" t="inlineStr">
        <x:is>
          <x:t xml:space="preserve">Source/User</x:t>
        </x:is>
      </x:c>
      <x:c r="N4" s="10" t="inlineStr">
        <x:is>
          <x:t xml:space="preserve">Notes</x:t>
        </x:is>
      </x:c>
    </x:row>
    <x:row r="5" ht="44" customHeight="1">
      <x:c r="A5" s="7" t="inlineStr">
        <x:is>
          <x:t xml:space="preserve">B001</x:t>
        </x:is>
      </x:c>
      <x:c r="B5" s="21" t="inlineStr">
        <x:is>
          <x:t xml:space="preserve">P0</x:t>
        </x:is>
      </x:c>
      <x:c r="C5" s="21" t="inlineStr">
        <x:is>
          <x:t xml:space="preserve">Infrastructure</x:t>
        </x:is>
      </x:c>
      <x:c r="D5" s="21" t="inlineStr">
        <x:is>
          <x:t xml:space="preserve">Replit uptime, backup and recovery</x:t>
        </x:is>
      </x:c>
      <x:c r="E5" s="21" t="inlineStr">
        <x:is>
          <x:t xml:space="preserve">A live paid app cannot depend on undocumented recovery. </x:t>
        </x:is>
      </x:c>
      <x:c r="F5" s="21" t="n">
        <x:v>5</x:v>
      </x:c>
      <x:c r="G5" s="21" t="n">
        <x:v>2</x:v>
      </x:c>
      <x:c r="H5" s="14" t="n">
        <x:f>IF(OR(F5=0,G5=0),0,F5/G5)</x:f>
        <x:v>2.5</x:v>
      </x:c>
      <x:c r="I5" s="21" t="inlineStr">
        <x:is>
          <x:t xml:space="preserve">Founder</x:t>
        </x:is>
      </x:c>
      <x:c r="J5" s="21" t="inlineStr">
        <x:is>
          <x:t xml:space="preserve">Backlog</x:t>
        </x:is>
      </x:c>
      <x:c r="K5" s="21" t="n">
        <x:v>1</x:v>
      </x:c>
      <x:c r="L5" s="21" t="inlineStr">
        <x:is>
          <x:t xml:space="preserve">Document backup; restore test; alert path.</x:t>
        </x:is>
      </x:c>
      <x:c r="M5" s="21" t="inlineStr">
        <x:is>
          <x:t xml:space="preserve">Founder/Operations</x:t>
        </x:is>
      </x:c>
      <x:c r="N5" s="21" t="inlineStr">
        <x:is>
          <x:t xml:space="preserve"/>
        </x:is>
      </x:c>
    </x:row>
    <x:row r="6" ht="44" customHeight="1">
      <x:c r="A6" s="5" t="inlineStr">
        <x:is>
          <x:t xml:space="preserve">B002</x:t>
        </x:is>
      </x:c>
      <x:c r="B6" s="21" t="inlineStr">
        <x:is>
          <x:t xml:space="preserve">P0</x:t>
        </x:is>
      </x:c>
      <x:c r="C6" s="21" t="inlineStr">
        <x:is>
          <x:t xml:space="preserve">Analytics</x:t>
        </x:is>
      </x:c>
      <x:c r="D6" s="21" t="inlineStr">
        <x:is>
          <x:t xml:space="preserve">Subscription event reconciliation</x:t>
        </x:is>
      </x:c>
      <x:c r="E6" s="21" t="inlineStr">
        <x:is>
          <x:t xml:space="preserve">Gross sales, active paid, cancellations and cash must reconcile.</x:t>
        </x:is>
      </x:c>
      <x:c r="F6" s="21" t="n">
        <x:v>5</x:v>
      </x:c>
      <x:c r="G6" s="21" t="n">
        <x:v>2</x:v>
      </x:c>
      <x:c r="H6" s="14" t="n">
        <x:f>IF(OR(F6=0,G6=0),0,F6/G6)</x:f>
        <x:v>2.5</x:v>
      </x:c>
      <x:c r="I6" s="21" t="inlineStr">
        <x:is>
          <x:t xml:space="preserve">Founder</x:t>
        </x:is>
      </x:c>
      <x:c r="J6" s="21" t="inlineStr">
        <x:is>
          <x:t xml:space="preserve">Backlog</x:t>
        </x:is>
      </x:c>
      <x:c r="K6" s="21" t="n">
        <x:v>1</x:v>
      </x:c>
      <x:c r="L6" s="21" t="inlineStr">
        <x:is>
          <x:t xml:space="preserve">Weekly numbers match store reports and Money Log.</x:t>
        </x:is>
      </x:c>
      <x:c r="M6" s="21" t="inlineStr">
        <x:is>
          <x:t xml:space="preserve">Revenue &amp; Subscriptions</x:t>
        </x:is>
      </x:c>
      <x:c r="N6" s="21" t="inlineStr">
        <x:is>
          <x:t xml:space="preserve"/>
        </x:is>
      </x:c>
    </x:row>
    <x:row r="7" ht="44" customHeight="1">
      <x:c r="A7" s="7" t="inlineStr">
        <x:is>
          <x:t xml:space="preserve">B003</x:t>
        </x:is>
      </x:c>
      <x:c r="B7" s="21" t="inlineStr">
        <x:is>
          <x:t xml:space="preserve">P0</x:t>
        </x:is>
      </x:c>
      <x:c r="C7" s="21" t="inlineStr">
        <x:is>
          <x:t xml:space="preserve">UX</x:t>
        </x:is>
      </x:c>
      <x:c r="D7" s="21" t="inlineStr">
        <x:is>
          <x:t xml:space="preserve">Onboarding to first value</x:t>
        </x:is>
      </x:c>
      <x:c r="E7" s="21" t="inlineStr">
        <x:is>
          <x:t xml:space="preserve">Downloads do not matter if a user cannot reach the useful moment.</x:t>
        </x:is>
      </x:c>
      <x:c r="F7" s="21" t="n">
        <x:v>5</x:v>
      </x:c>
      <x:c r="G7" s="21" t="n">
        <x:v>3</x:v>
      </x:c>
      <x:c r="H7" s="14" t="n">
        <x:f>IF(OR(F7=0,G7=0),0,F7/G7)</x:f>
        <x:v>1.6666666666666667</x:v>
      </x:c>
      <x:c r="I7" s="21" t="inlineStr">
        <x:is>
          <x:t xml:space="preserve">Founder</x:t>
        </x:is>
      </x:c>
      <x:c r="J7" s="21" t="inlineStr">
        <x:is>
          <x:t xml:space="preserve">Backlog</x:t>
        </x:is>
      </x:c>
      <x:c r="K7" s="21" t="n">
        <x:v>2</x:v>
      </x:c>
      <x:c r="L7" s="21" t="inlineStr">
        <x:is>
          <x:t xml:space="preserve">New user completes key action without founder support.</x:t>
        </x:is>
      </x:c>
      <x:c r="M7" s="21" t="inlineStr">
        <x:is>
          <x:t xml:space="preserve">User Research</x:t>
        </x:is>
      </x:c>
      <x:c r="N7" s="21" t="inlineStr">
        <x:is>
          <x:t xml:space="preserve"/>
        </x:is>
      </x:c>
    </x:row>
    <x:row r="8" ht="44" customHeight="1">
      <x:c r="A8" s="5" t="inlineStr">
        <x:is>
          <x:t xml:space="preserve">B004</x:t>
        </x:is>
      </x:c>
      <x:c r="B8" s="21" t="inlineStr">
        <x:is>
          <x:t xml:space="preserve">P1</x:t>
        </x:is>
      </x:c>
      <x:c r="C8" s="21" t="inlineStr">
        <x:is>
          <x:t xml:space="preserve">Monetization</x:t>
        </x:is>
      </x:c>
      <x:c r="D8" s="21" t="inlineStr">
        <x:is>
          <x:t xml:space="preserve">Paywall value and trust clarity</x:t>
        </x:is>
      </x:c>
      <x:c r="E8" s="21" t="inlineStr">
        <x:is>
          <x:t xml:space="preserve">Users need to understand why to pay and how cancellation works.</x:t>
        </x:is>
      </x:c>
      <x:c r="F8" s="21" t="n">
        <x:v>4</x:v>
      </x:c>
      <x:c r="G8" s="21" t="n">
        <x:v>2</x:v>
      </x:c>
      <x:c r="H8" s="14" t="n">
        <x:f>IF(OR(F8=0,G8=0),0,F8/G8)</x:f>
        <x:v>2</x:v>
      </x:c>
      <x:c r="I8" s="21" t="inlineStr">
        <x:is>
          <x:t xml:space="preserve">Founder</x:t>
        </x:is>
      </x:c>
      <x:c r="J8" s="21" t="inlineStr">
        <x:is>
          <x:t xml:space="preserve">Backlog</x:t>
        </x:is>
      </x:c>
      <x:c r="K8" s="21" t="n">
        <x:v>3</x:v>
      </x:c>
      <x:c r="L8" s="21" t="inlineStr">
        <x:is>
          <x:t xml:space="preserve">Comprehension improves in five user checks.</x:t>
        </x:is>
      </x:c>
      <x:c r="M8" s="21" t="inlineStr">
        <x:is>
          <x:t xml:space="preserve">Paying users</x:t>
        </x:is>
      </x:c>
      <x:c r="N8" s="21" t="inlineStr">
        <x:is>
          <x:t xml:space="preserve"/>
        </x:is>
      </x:c>
    </x:row>
    <x:row r="9" ht="44" customHeight="1">
      <x:c r="A9" s="7" t="inlineStr">
        <x:is>
          <x:t xml:space="preserve">B005</x:t>
        </x:is>
      </x:c>
      <x:c r="B9" s="21" t="inlineStr">
        <x:is>
          <x:t xml:space="preserve">P1</x:t>
        </x:is>
      </x:c>
      <x:c r="C9" s="21" t="inlineStr">
        <x:is>
          <x:t xml:space="preserve">Support</x:t>
        </x:is>
      </x:c>
      <x:c r="D9" s="21" t="inlineStr">
        <x:is>
          <x:t xml:space="preserve">Restore purchase, cancel and refund guidance</x:t>
        </x:is>
      </x:c>
      <x:c r="E9" s="21" t="inlineStr">
        <x:is>
          <x:t xml:space="preserve">Subscription friction damages trust and reviews.</x:t>
        </x:is>
      </x:c>
      <x:c r="F9" s="21" t="n">
        <x:v>4</x:v>
      </x:c>
      <x:c r="G9" s="21" t="n">
        <x:v>2</x:v>
      </x:c>
      <x:c r="H9" s="14" t="n">
        <x:f>IF(OR(F9=0,G9=0),0,F9/G9)</x:f>
        <x:v>2</x:v>
      </x:c>
      <x:c r="I9" s="21" t="inlineStr">
        <x:is>
          <x:t xml:space="preserve">Founder</x:t>
        </x:is>
      </x:c>
      <x:c r="J9" s="21" t="inlineStr">
        <x:is>
          <x:t xml:space="preserve">Backlog</x:t>
        </x:is>
      </x:c>
      <x:c r="K9" s="21" t="n">
        <x:v>2</x:v>
      </x:c>
      <x:c r="L9" s="21" t="inlineStr">
        <x:is>
          <x:t xml:space="preserve">Paths tested on Android/iOS; FAQ published.</x:t>
        </x:is>
      </x:c>
      <x:c r="M9" s="21" t="inlineStr">
        <x:is>
          <x:t xml:space="preserve">Support</x:t>
        </x:is>
      </x:c>
      <x:c r="N9" s="21" t="inlineStr">
        <x:is>
          <x:t xml:space="preserve"/>
        </x:is>
      </x:c>
    </x:row>
    <x:row r="10" ht="44" customHeight="1">
      <x:c r="A10" s="5" t="inlineStr">
        <x:is>
          <x:t xml:space="preserve">B006</x:t>
        </x:is>
      </x:c>
      <x:c r="B10" s="21" t="inlineStr">
        <x:is>
          <x:t xml:space="preserve">P2</x:t>
        </x:is>
      </x:c>
      <x:c r="C10" s="21" t="inlineStr">
        <x:is>
          <x:t xml:space="preserve">Feature</x:t>
        </x:is>
      </x:c>
      <x:c r="D10" s="21" t="inlineStr">
        <x:is>
          <x:t xml:space="preserve"/>
        </x:is>
      </x:c>
      <x:c r="E10" s="21" t="inlineStr">
        <x:is>
          <x:t xml:space="preserve"/>
        </x:is>
      </x:c>
      <x:c r="F10" s="21" t="n">
        <x:v>1</x:v>
      </x:c>
      <x:c r="G10" s="21" t="n">
        <x:v>1</x:v>
      </x:c>
      <x:c r="H10" s="14" t="n">
        <x:f>IF(OR(F10=0,G10=0),0,F10/G10)</x:f>
        <x:v>1</x:v>
      </x:c>
      <x:c r="I10" s="21" t="inlineStr">
        <x:is>
          <x:t xml:space="preserve">Founder</x:t>
        </x:is>
      </x:c>
      <x:c r="J10" s="21" t="inlineStr">
        <x:is>
          <x:t xml:space="preserve">Backlog</x:t>
        </x:is>
      </x:c>
      <x:c r="K10" s="21" t="inlineStr">
        <x:is>
          <x:t xml:space="preserve"/>
        </x:is>
      </x:c>
      <x:c r="L10" s="21" t="inlineStr">
        <x:is>
          <x:t xml:space="preserve"/>
        </x:is>
      </x:c>
      <x:c r="M10" s="21" t="inlineStr">
        <x:is>
          <x:t xml:space="preserve"/>
        </x:is>
      </x:c>
      <x:c r="N10" s="21" t="inlineStr">
        <x:is>
          <x:t xml:space="preserve"/>
        </x:is>
      </x:c>
    </x:row>
    <x:row r="11" ht="44" customHeight="1">
      <x:c r="A11" s="7" t="inlineStr">
        <x:is>
          <x:t xml:space="preserve">B007</x:t>
        </x:is>
      </x:c>
      <x:c r="B11" s="21" t="inlineStr">
        <x:is>
          <x:t xml:space="preserve">P2</x:t>
        </x:is>
      </x:c>
      <x:c r="C11" s="21" t="inlineStr">
        <x:is>
          <x:t xml:space="preserve">Feature</x:t>
        </x:is>
      </x:c>
      <x:c r="D11" s="21" t="inlineStr">
        <x:is>
          <x:t xml:space="preserve"/>
        </x:is>
      </x:c>
      <x:c r="E11" s="21" t="inlineStr">
        <x:is>
          <x:t xml:space="preserve"/>
        </x:is>
      </x:c>
      <x:c r="F11" s="21" t="n">
        <x:v>1</x:v>
      </x:c>
      <x:c r="G11" s="21" t="n">
        <x:v>1</x:v>
      </x:c>
      <x:c r="H11" s="14" t="n">
        <x:f>IF(OR(F11=0,G11=0),0,F11/G11)</x:f>
        <x:v>1</x:v>
      </x:c>
      <x:c r="I11" s="21" t="inlineStr">
        <x:is>
          <x:t xml:space="preserve">Founder</x:t>
        </x:is>
      </x:c>
      <x:c r="J11" s="21" t="inlineStr">
        <x:is>
          <x:t xml:space="preserve">Backlog</x:t>
        </x:is>
      </x:c>
      <x:c r="K11" s="21" t="inlineStr">
        <x:is>
          <x:t xml:space="preserve"/>
        </x:is>
      </x:c>
      <x:c r="L11" s="21" t="inlineStr">
        <x:is>
          <x:t xml:space="preserve"/>
        </x:is>
      </x:c>
      <x:c r="M11" s="21" t="inlineStr">
        <x:is>
          <x:t xml:space="preserve"/>
        </x:is>
      </x:c>
      <x:c r="N11" s="21" t="inlineStr">
        <x:is>
          <x:t xml:space="preserve"/>
        </x:is>
      </x:c>
    </x:row>
    <x:row r="12" ht="44" customHeight="1">
      <x:c r="A12" s="5" t="inlineStr">
        <x:is>
          <x:t xml:space="preserve">B008</x:t>
        </x:is>
      </x:c>
      <x:c r="B12" s="21" t="inlineStr">
        <x:is>
          <x:t xml:space="preserve">P2</x:t>
        </x:is>
      </x:c>
      <x:c r="C12" s="21" t="inlineStr">
        <x:is>
          <x:t xml:space="preserve">Feature</x:t>
        </x:is>
      </x:c>
      <x:c r="D12" s="21" t="inlineStr">
        <x:is>
          <x:t xml:space="preserve"/>
        </x:is>
      </x:c>
      <x:c r="E12" s="21" t="inlineStr">
        <x:is>
          <x:t xml:space="preserve"/>
        </x:is>
      </x:c>
      <x:c r="F12" s="21" t="n">
        <x:v>1</x:v>
      </x:c>
      <x:c r="G12" s="21" t="n">
        <x:v>1</x:v>
      </x:c>
      <x:c r="H12" s="14" t="n">
        <x:f>IF(OR(F12=0,G12=0),0,F12/G12)</x:f>
        <x:v>1</x:v>
      </x:c>
      <x:c r="I12" s="21" t="inlineStr">
        <x:is>
          <x:t xml:space="preserve">Founder</x:t>
        </x:is>
      </x:c>
      <x:c r="J12" s="21" t="inlineStr">
        <x:is>
          <x:t xml:space="preserve">Backlog</x:t>
        </x:is>
      </x:c>
      <x:c r="K12" s="21" t="inlineStr">
        <x:is>
          <x:t xml:space="preserve"/>
        </x:is>
      </x:c>
      <x:c r="L12" s="21" t="inlineStr">
        <x:is>
          <x:t xml:space="preserve"/>
        </x:is>
      </x:c>
      <x:c r="M12" s="21" t="inlineStr">
        <x:is>
          <x:t xml:space="preserve"/>
        </x:is>
      </x:c>
      <x:c r="N12" s="21" t="inlineStr">
        <x:is>
          <x:t xml:space="preserve"/>
        </x:is>
      </x:c>
    </x:row>
    <x:row r="13" ht="44" customHeight="1">
      <x:c r="A13" s="7" t="inlineStr">
        <x:is>
          <x:t xml:space="preserve">B009</x:t>
        </x:is>
      </x:c>
      <x:c r="B13" s="21" t="inlineStr">
        <x:is>
          <x:t xml:space="preserve">P2</x:t>
        </x:is>
      </x:c>
      <x:c r="C13" s="21" t="inlineStr">
        <x:is>
          <x:t xml:space="preserve">Feature</x:t>
        </x:is>
      </x:c>
      <x:c r="D13" s="21" t="inlineStr">
        <x:is>
          <x:t xml:space="preserve"/>
        </x:is>
      </x:c>
      <x:c r="E13" s="21" t="inlineStr">
        <x:is>
          <x:t xml:space="preserve"/>
        </x:is>
      </x:c>
      <x:c r="F13" s="21" t="n">
        <x:v>1</x:v>
      </x:c>
      <x:c r="G13" s="21" t="n">
        <x:v>1</x:v>
      </x:c>
      <x:c r="H13" s="14" t="n">
        <x:f>IF(OR(F13=0,G13=0),0,F13/G13)</x:f>
        <x:v>1</x:v>
      </x:c>
      <x:c r="I13" s="21" t="inlineStr">
        <x:is>
          <x:t xml:space="preserve">Founder</x:t>
        </x:is>
      </x:c>
      <x:c r="J13" s="21" t="inlineStr">
        <x:is>
          <x:t xml:space="preserve">Backlog</x:t>
        </x:is>
      </x:c>
      <x:c r="K13" s="21" t="inlineStr">
        <x:is>
          <x:t xml:space="preserve"/>
        </x:is>
      </x:c>
      <x:c r="L13" s="21" t="inlineStr">
        <x:is>
          <x:t xml:space="preserve"/>
        </x:is>
      </x:c>
      <x:c r="M13" s="21" t="inlineStr">
        <x:is>
          <x:t xml:space="preserve"/>
        </x:is>
      </x:c>
      <x:c r="N13" s="21" t="inlineStr">
        <x:is>
          <x:t xml:space="preserve"/>
        </x:is>
      </x:c>
    </x:row>
    <x:row r="14" ht="44" customHeight="1">
      <x:c r="A14" s="5" t="inlineStr">
        <x:is>
          <x:t xml:space="preserve">B010</x:t>
        </x:is>
      </x:c>
      <x:c r="B14" s="21" t="inlineStr">
        <x:is>
          <x:t xml:space="preserve">P2</x:t>
        </x:is>
      </x:c>
      <x:c r="C14" s="21" t="inlineStr">
        <x:is>
          <x:t xml:space="preserve">Feature</x:t>
        </x:is>
      </x:c>
      <x:c r="D14" s="21" t="inlineStr">
        <x:is>
          <x:t xml:space="preserve"/>
        </x:is>
      </x:c>
      <x:c r="E14" s="21" t="inlineStr">
        <x:is>
          <x:t xml:space="preserve"/>
        </x:is>
      </x:c>
      <x:c r="F14" s="21" t="n">
        <x:v>1</x:v>
      </x:c>
      <x:c r="G14" s="21" t="n">
        <x:v>1</x:v>
      </x:c>
      <x:c r="H14" s="14" t="n">
        <x:f>IF(OR(F14=0,G14=0),0,F14/G14)</x:f>
        <x:v>1</x:v>
      </x:c>
      <x:c r="I14" s="21" t="inlineStr">
        <x:is>
          <x:t xml:space="preserve">Founder</x:t>
        </x:is>
      </x:c>
      <x:c r="J14" s="21" t="inlineStr">
        <x:is>
          <x:t xml:space="preserve">Backlog</x:t>
        </x:is>
      </x:c>
      <x:c r="K14" s="21" t="inlineStr">
        <x:is>
          <x:t xml:space="preserve"/>
        </x:is>
      </x:c>
      <x:c r="L14" s="21" t="inlineStr">
        <x:is>
          <x:t xml:space="preserve"/>
        </x:is>
      </x:c>
      <x:c r="M14" s="21" t="inlineStr">
        <x:is>
          <x:t xml:space="preserve"/>
        </x:is>
      </x:c>
      <x:c r="N14" s="21" t="inlineStr">
        <x:is>
          <x:t xml:space="preserve"/>
        </x:is>
      </x:c>
    </x:row>
    <x:row r="15" ht="44" customHeight="1">
      <x:c r="A15" s="7" t="inlineStr">
        <x:is>
          <x:t xml:space="preserve">B011</x:t>
        </x:is>
      </x:c>
      <x:c r="B15" s="21" t="inlineStr">
        <x:is>
          <x:t xml:space="preserve">P2</x:t>
        </x:is>
      </x:c>
      <x:c r="C15" s="21" t="inlineStr">
        <x:is>
          <x:t xml:space="preserve">Feature</x:t>
        </x:is>
      </x:c>
      <x:c r="D15" s="21" t="inlineStr">
        <x:is>
          <x:t xml:space="preserve"/>
        </x:is>
      </x:c>
      <x:c r="E15" s="21" t="inlineStr">
        <x:is>
          <x:t xml:space="preserve"/>
        </x:is>
      </x:c>
      <x:c r="F15" s="21" t="n">
        <x:v>1</x:v>
      </x:c>
      <x:c r="G15" s="21" t="n">
        <x:v>1</x:v>
      </x:c>
      <x:c r="H15" s="14" t="n">
        <x:f>IF(OR(F15=0,G15=0),0,F15/G15)</x:f>
        <x:v>1</x:v>
      </x:c>
      <x:c r="I15" s="21" t="inlineStr">
        <x:is>
          <x:t xml:space="preserve">Founder</x:t>
        </x:is>
      </x:c>
      <x:c r="J15" s="21" t="inlineStr">
        <x:is>
          <x:t xml:space="preserve">Backlog</x:t>
        </x:is>
      </x:c>
      <x:c r="K15" s="21" t="inlineStr">
        <x:is>
          <x:t xml:space="preserve"/>
        </x:is>
      </x:c>
      <x:c r="L15" s="21" t="inlineStr">
        <x:is>
          <x:t xml:space="preserve"/>
        </x:is>
      </x:c>
      <x:c r="M15" s="21" t="inlineStr">
        <x:is>
          <x:t xml:space="preserve"/>
        </x:is>
      </x:c>
      <x:c r="N15" s="21" t="inlineStr">
        <x:is>
          <x:t xml:space="preserve"/>
        </x:is>
      </x:c>
    </x:row>
    <x:row r="16" ht="44" customHeight="1">
      <x:c r="A16" s="5" t="inlineStr">
        <x:is>
          <x:t xml:space="preserve">B012</x:t>
        </x:is>
      </x:c>
      <x:c r="B16" s="21" t="inlineStr">
        <x:is>
          <x:t xml:space="preserve">P2</x:t>
        </x:is>
      </x:c>
      <x:c r="C16" s="21" t="inlineStr">
        <x:is>
          <x:t xml:space="preserve">Feature</x:t>
        </x:is>
      </x:c>
      <x:c r="D16" s="21" t="inlineStr">
        <x:is>
          <x:t xml:space="preserve"/>
        </x:is>
      </x:c>
      <x:c r="E16" s="21" t="inlineStr">
        <x:is>
          <x:t xml:space="preserve"/>
        </x:is>
      </x:c>
      <x:c r="F16" s="21" t="n">
        <x:v>1</x:v>
      </x:c>
      <x:c r="G16" s="21" t="n">
        <x:v>1</x:v>
      </x:c>
      <x:c r="H16" s="14" t="n">
        <x:f>IF(OR(F16=0,G16=0),0,F16/G16)</x:f>
        <x:v>1</x:v>
      </x:c>
      <x:c r="I16" s="21" t="inlineStr">
        <x:is>
          <x:t xml:space="preserve">Founder</x:t>
        </x:is>
      </x:c>
      <x:c r="J16" s="21" t="inlineStr">
        <x:is>
          <x:t xml:space="preserve">Backlog</x:t>
        </x:is>
      </x:c>
      <x:c r="K16" s="21" t="inlineStr">
        <x:is>
          <x:t xml:space="preserve"/>
        </x:is>
      </x:c>
      <x:c r="L16" s="21" t="inlineStr">
        <x:is>
          <x:t xml:space="preserve"/>
        </x:is>
      </x:c>
      <x:c r="M16" s="21" t="inlineStr">
        <x:is>
          <x:t xml:space="preserve"/>
        </x:is>
      </x:c>
      <x:c r="N16" s="21" t="inlineStr">
        <x:is>
          <x:t xml:space="preserve"/>
        </x:is>
      </x:c>
    </x:row>
    <x:row r="17" ht="44" customHeight="1">
      <x:c r="A17" s="7" t="inlineStr">
        <x:is>
          <x:t xml:space="preserve">B013</x:t>
        </x:is>
      </x:c>
      <x:c r="B17" s="21" t="inlineStr">
        <x:is>
          <x:t xml:space="preserve">P2</x:t>
        </x:is>
      </x:c>
      <x:c r="C17" s="21" t="inlineStr">
        <x:is>
          <x:t xml:space="preserve">Feature</x:t>
        </x:is>
      </x:c>
      <x:c r="D17" s="21" t="inlineStr">
        <x:is>
          <x:t xml:space="preserve"/>
        </x:is>
      </x:c>
      <x:c r="E17" s="21" t="inlineStr">
        <x:is>
          <x:t xml:space="preserve"/>
        </x:is>
      </x:c>
      <x:c r="F17" s="21" t="n">
        <x:v>1</x:v>
      </x:c>
      <x:c r="G17" s="21" t="n">
        <x:v>1</x:v>
      </x:c>
      <x:c r="H17" s="14" t="n">
        <x:f>IF(OR(F17=0,G17=0),0,F17/G17)</x:f>
        <x:v>1</x:v>
      </x:c>
      <x:c r="I17" s="21" t="inlineStr">
        <x:is>
          <x:t xml:space="preserve">Founder</x:t>
        </x:is>
      </x:c>
      <x:c r="J17" s="21" t="inlineStr">
        <x:is>
          <x:t xml:space="preserve">Backlog</x:t>
        </x:is>
      </x:c>
      <x:c r="K17" s="21" t="inlineStr">
        <x:is>
          <x:t xml:space="preserve"/>
        </x:is>
      </x:c>
      <x:c r="L17" s="21" t="inlineStr">
        <x:is>
          <x:t xml:space="preserve"/>
        </x:is>
      </x:c>
      <x:c r="M17" s="21" t="inlineStr">
        <x:is>
          <x:t xml:space="preserve"/>
        </x:is>
      </x:c>
      <x:c r="N17" s="21" t="inlineStr">
        <x:is>
          <x:t xml:space="preserve"/>
        </x:is>
      </x:c>
    </x:row>
    <x:row r="18" ht="44" customHeight="1">
      <x:c r="A18" s="5" t="inlineStr">
        <x:is>
          <x:t xml:space="preserve">B014</x:t>
        </x:is>
      </x:c>
      <x:c r="B18" s="21" t="inlineStr">
        <x:is>
          <x:t xml:space="preserve">P2</x:t>
        </x:is>
      </x:c>
      <x:c r="C18" s="21" t="inlineStr">
        <x:is>
          <x:t xml:space="preserve">Feature</x:t>
        </x:is>
      </x:c>
      <x:c r="D18" s="21" t="inlineStr">
        <x:is>
          <x:t xml:space="preserve"/>
        </x:is>
      </x:c>
      <x:c r="E18" s="21" t="inlineStr">
        <x:is>
          <x:t xml:space="preserve"/>
        </x:is>
      </x:c>
      <x:c r="F18" s="21" t="n">
        <x:v>1</x:v>
      </x:c>
      <x:c r="G18" s="21" t="n">
        <x:v>1</x:v>
      </x:c>
      <x:c r="H18" s="14" t="n">
        <x:f>IF(OR(F18=0,G18=0),0,F18/G18)</x:f>
        <x:v>1</x:v>
      </x:c>
      <x:c r="I18" s="21" t="inlineStr">
        <x:is>
          <x:t xml:space="preserve">Founder</x:t>
        </x:is>
      </x:c>
      <x:c r="J18" s="21" t="inlineStr">
        <x:is>
          <x:t xml:space="preserve">Backlog</x:t>
        </x:is>
      </x:c>
      <x:c r="K18" s="21" t="inlineStr">
        <x:is>
          <x:t xml:space="preserve"/>
        </x:is>
      </x:c>
      <x:c r="L18" s="21" t="inlineStr">
        <x:is>
          <x:t xml:space="preserve"/>
        </x:is>
      </x:c>
      <x:c r="M18" s="21" t="inlineStr">
        <x:is>
          <x:t xml:space="preserve"/>
        </x:is>
      </x:c>
      <x:c r="N18" s="21" t="inlineStr">
        <x:is>
          <x:t xml:space="preserve"/>
        </x:is>
      </x:c>
    </x:row>
    <x:row r="19" ht="44" customHeight="1">
      <x:c r="A19" s="7" t="inlineStr">
        <x:is>
          <x:t xml:space="preserve">B015</x:t>
        </x:is>
      </x:c>
      <x:c r="B19" s="21" t="inlineStr">
        <x:is>
          <x:t xml:space="preserve">P2</x:t>
        </x:is>
      </x:c>
      <x:c r="C19" s="21" t="inlineStr">
        <x:is>
          <x:t xml:space="preserve">Feature</x:t>
        </x:is>
      </x:c>
      <x:c r="D19" s="21" t="inlineStr">
        <x:is>
          <x:t xml:space="preserve"/>
        </x:is>
      </x:c>
      <x:c r="E19" s="21" t="inlineStr">
        <x:is>
          <x:t xml:space="preserve"/>
        </x:is>
      </x:c>
      <x:c r="F19" s="21" t="n">
        <x:v>1</x:v>
      </x:c>
      <x:c r="G19" s="21" t="n">
        <x:v>1</x:v>
      </x:c>
      <x:c r="H19" s="14" t="n">
        <x:f>IF(OR(F19=0,G19=0),0,F19/G19)</x:f>
        <x:v>1</x:v>
      </x:c>
      <x:c r="I19" s="21" t="inlineStr">
        <x:is>
          <x:t xml:space="preserve">Founder</x:t>
        </x:is>
      </x:c>
      <x:c r="J19" s="21" t="inlineStr">
        <x:is>
          <x:t xml:space="preserve">Backlog</x:t>
        </x:is>
      </x:c>
      <x:c r="K19" s="21" t="inlineStr">
        <x:is>
          <x:t xml:space="preserve"/>
        </x:is>
      </x:c>
      <x:c r="L19" s="21" t="inlineStr">
        <x:is>
          <x:t xml:space="preserve"/>
        </x:is>
      </x:c>
      <x:c r="M19" s="21" t="inlineStr">
        <x:is>
          <x:t xml:space="preserve"/>
        </x:is>
      </x:c>
      <x:c r="N19" s="21" t="inlineStr">
        <x:is>
          <x:t xml:space="preserve"/>
        </x:is>
      </x:c>
    </x:row>
    <x:row r="20" ht="44" customHeight="1">
      <x:c r="A20" s="5" t="inlineStr">
        <x:is>
          <x:t xml:space="preserve">B016</x:t>
        </x:is>
      </x:c>
      <x:c r="B20" s="21" t="inlineStr">
        <x:is>
          <x:t xml:space="preserve">P2</x:t>
        </x:is>
      </x:c>
      <x:c r="C20" s="21" t="inlineStr">
        <x:is>
          <x:t xml:space="preserve">Feature</x:t>
        </x:is>
      </x:c>
      <x:c r="D20" s="21" t="inlineStr">
        <x:is>
          <x:t xml:space="preserve"/>
        </x:is>
      </x:c>
      <x:c r="E20" s="21" t="inlineStr">
        <x:is>
          <x:t xml:space="preserve"/>
        </x:is>
      </x:c>
      <x:c r="F20" s="21" t="n">
        <x:v>1</x:v>
      </x:c>
      <x:c r="G20" s="21" t="n">
        <x:v>1</x:v>
      </x:c>
      <x:c r="H20" s="14" t="n">
        <x:f>IF(OR(F20=0,G20=0),0,F20/G20)</x:f>
        <x:v>1</x:v>
      </x:c>
      <x:c r="I20" s="21" t="inlineStr">
        <x:is>
          <x:t xml:space="preserve">Founder</x:t>
        </x:is>
      </x:c>
      <x:c r="J20" s="21" t="inlineStr">
        <x:is>
          <x:t xml:space="preserve">Backlog</x:t>
        </x:is>
      </x:c>
      <x:c r="K20" s="21" t="inlineStr">
        <x:is>
          <x:t xml:space="preserve"/>
        </x:is>
      </x:c>
      <x:c r="L20" s="21" t="inlineStr">
        <x:is>
          <x:t xml:space="preserve"/>
        </x:is>
      </x:c>
      <x:c r="M20" s="21" t="inlineStr">
        <x:is>
          <x:t xml:space="preserve"/>
        </x:is>
      </x:c>
      <x:c r="N20" s="21" t="inlineStr">
        <x:is>
          <x:t xml:space="preserve"/>
        </x:is>
      </x:c>
    </x:row>
    <x:row r="21" ht="44" customHeight="1">
      <x:c r="A21" s="7" t="inlineStr">
        <x:is>
          <x:t xml:space="preserve">B017</x:t>
        </x:is>
      </x:c>
      <x:c r="B21" s="21" t="inlineStr">
        <x:is>
          <x:t xml:space="preserve">P2</x:t>
        </x:is>
      </x:c>
      <x:c r="C21" s="21" t="inlineStr">
        <x:is>
          <x:t xml:space="preserve">Feature</x:t>
        </x:is>
      </x:c>
      <x:c r="D21" s="21" t="inlineStr">
        <x:is>
          <x:t xml:space="preserve"/>
        </x:is>
      </x:c>
      <x:c r="E21" s="21" t="inlineStr">
        <x:is>
          <x:t xml:space="preserve"/>
        </x:is>
      </x:c>
      <x:c r="F21" s="21" t="n">
        <x:v>1</x:v>
      </x:c>
      <x:c r="G21" s="21" t="n">
        <x:v>1</x:v>
      </x:c>
      <x:c r="H21" s="14" t="n">
        <x:f>IF(OR(F21=0,G21=0),0,F21/G21)</x:f>
        <x:v>1</x:v>
      </x:c>
      <x:c r="I21" s="21" t="inlineStr">
        <x:is>
          <x:t xml:space="preserve">Founder</x:t>
        </x:is>
      </x:c>
      <x:c r="J21" s="21" t="inlineStr">
        <x:is>
          <x:t xml:space="preserve">Backlog</x:t>
        </x:is>
      </x:c>
      <x:c r="K21" s="21" t="inlineStr">
        <x:is>
          <x:t xml:space="preserve"/>
        </x:is>
      </x:c>
      <x:c r="L21" s="21" t="inlineStr">
        <x:is>
          <x:t xml:space="preserve"/>
        </x:is>
      </x:c>
      <x:c r="M21" s="21" t="inlineStr">
        <x:is>
          <x:t xml:space="preserve"/>
        </x:is>
      </x:c>
      <x:c r="N21" s="21" t="inlineStr">
        <x:is>
          <x:t xml:space="preserve"/>
        </x:is>
      </x:c>
    </x:row>
    <x:row r="22" ht="44" customHeight="1">
      <x:c r="A22" s="5" t="inlineStr">
        <x:is>
          <x:t xml:space="preserve">B018</x:t>
        </x:is>
      </x:c>
      <x:c r="B22" s="21" t="inlineStr">
        <x:is>
          <x:t xml:space="preserve">P2</x:t>
        </x:is>
      </x:c>
      <x:c r="C22" s="21" t="inlineStr">
        <x:is>
          <x:t xml:space="preserve">Feature</x:t>
        </x:is>
      </x:c>
      <x:c r="D22" s="21" t="inlineStr">
        <x:is>
          <x:t xml:space="preserve"/>
        </x:is>
      </x:c>
      <x:c r="E22" s="21" t="inlineStr">
        <x:is>
          <x:t xml:space="preserve"/>
        </x:is>
      </x:c>
      <x:c r="F22" s="21" t="n">
        <x:v>1</x:v>
      </x:c>
      <x:c r="G22" s="21" t="n">
        <x:v>1</x:v>
      </x:c>
      <x:c r="H22" s="14" t="n">
        <x:f>IF(OR(F22=0,G22=0),0,F22/G22)</x:f>
        <x:v>1</x:v>
      </x:c>
      <x:c r="I22" s="21" t="inlineStr">
        <x:is>
          <x:t xml:space="preserve">Founder</x:t>
        </x:is>
      </x:c>
      <x:c r="J22" s="21" t="inlineStr">
        <x:is>
          <x:t xml:space="preserve">Backlog</x:t>
        </x:is>
      </x:c>
      <x:c r="K22" s="21" t="inlineStr">
        <x:is>
          <x:t xml:space="preserve"/>
        </x:is>
      </x:c>
      <x:c r="L22" s="21" t="inlineStr">
        <x:is>
          <x:t xml:space="preserve"/>
        </x:is>
      </x:c>
      <x:c r="M22" s="21" t="inlineStr">
        <x:is>
          <x:t xml:space="preserve"/>
        </x:is>
      </x:c>
      <x:c r="N22" s="21" t="inlineStr">
        <x:is>
          <x:t xml:space="preserve"/>
        </x:is>
      </x:c>
    </x:row>
    <x:row r="23" ht="44" customHeight="1">
      <x:c r="A23" s="7" t="inlineStr">
        <x:is>
          <x:t xml:space="preserve">B019</x:t>
        </x:is>
      </x:c>
      <x:c r="B23" s="21" t="inlineStr">
        <x:is>
          <x:t xml:space="preserve">P2</x:t>
        </x:is>
      </x:c>
      <x:c r="C23" s="21" t="inlineStr">
        <x:is>
          <x:t xml:space="preserve">Feature</x:t>
        </x:is>
      </x:c>
      <x:c r="D23" s="21" t="inlineStr">
        <x:is>
          <x:t xml:space="preserve"/>
        </x:is>
      </x:c>
      <x:c r="E23" s="21" t="inlineStr">
        <x:is>
          <x:t xml:space="preserve"/>
        </x:is>
      </x:c>
      <x:c r="F23" s="21" t="n">
        <x:v>1</x:v>
      </x:c>
      <x:c r="G23" s="21" t="n">
        <x:v>1</x:v>
      </x:c>
      <x:c r="H23" s="14" t="n">
        <x:f>IF(OR(F23=0,G23=0),0,F23/G23)</x:f>
        <x:v>1</x:v>
      </x:c>
      <x:c r="I23" s="21" t="inlineStr">
        <x:is>
          <x:t xml:space="preserve">Founder</x:t>
        </x:is>
      </x:c>
      <x:c r="J23" s="21" t="inlineStr">
        <x:is>
          <x:t xml:space="preserve">Backlog</x:t>
        </x:is>
      </x:c>
      <x:c r="K23" s="21" t="inlineStr">
        <x:is>
          <x:t xml:space="preserve"/>
        </x:is>
      </x:c>
      <x:c r="L23" s="21" t="inlineStr">
        <x:is>
          <x:t xml:space="preserve"/>
        </x:is>
      </x:c>
      <x:c r="M23" s="21" t="inlineStr">
        <x:is>
          <x:t xml:space="preserve"/>
        </x:is>
      </x:c>
      <x:c r="N23" s="21" t="inlineStr">
        <x:is>
          <x:t xml:space="preserve"/>
        </x:is>
      </x:c>
    </x:row>
    <x:row r="24" ht="44" customHeight="1">
      <x:c r="A24" s="5" t="inlineStr">
        <x:is>
          <x:t xml:space="preserve">B020</x:t>
        </x:is>
      </x:c>
      <x:c r="B24" s="21" t="inlineStr">
        <x:is>
          <x:t xml:space="preserve">P2</x:t>
        </x:is>
      </x:c>
      <x:c r="C24" s="21" t="inlineStr">
        <x:is>
          <x:t xml:space="preserve">Feature</x:t>
        </x:is>
      </x:c>
      <x:c r="D24" s="21" t="inlineStr">
        <x:is>
          <x:t xml:space="preserve"/>
        </x:is>
      </x:c>
      <x:c r="E24" s="21" t="inlineStr">
        <x:is>
          <x:t xml:space="preserve"/>
        </x:is>
      </x:c>
      <x:c r="F24" s="21" t="n">
        <x:v>1</x:v>
      </x:c>
      <x:c r="G24" s="21" t="n">
        <x:v>1</x:v>
      </x:c>
      <x:c r="H24" s="14" t="n">
        <x:f>IF(OR(F24=0,G24=0),0,F24/G24)</x:f>
        <x:v>1</x:v>
      </x:c>
      <x:c r="I24" s="21" t="inlineStr">
        <x:is>
          <x:t xml:space="preserve">Founder</x:t>
        </x:is>
      </x:c>
      <x:c r="J24" s="21" t="inlineStr">
        <x:is>
          <x:t xml:space="preserve">Backlog</x:t>
        </x:is>
      </x:c>
      <x:c r="K24" s="21" t="inlineStr">
        <x:is>
          <x:t xml:space="preserve"/>
        </x:is>
      </x:c>
      <x:c r="L24" s="21" t="inlineStr">
        <x:is>
          <x:t xml:space="preserve"/>
        </x:is>
      </x:c>
      <x:c r="M24" s="21" t="inlineStr">
        <x:is>
          <x:t xml:space="preserve"/>
        </x:is>
      </x:c>
      <x:c r="N24" s="21" t="inlineStr">
        <x:is>
          <x:t xml:space="preserve"/>
        </x:is>
      </x:c>
    </x:row>
    <x:row r="25" ht="44" customHeight="1">
      <x:c r="A25" s="7" t="inlineStr">
        <x:is>
          <x:t xml:space="preserve">B021</x:t>
        </x:is>
      </x:c>
      <x:c r="B25" s="21" t="inlineStr">
        <x:is>
          <x:t xml:space="preserve">P2</x:t>
        </x:is>
      </x:c>
      <x:c r="C25" s="21" t="inlineStr">
        <x:is>
          <x:t xml:space="preserve">Feature</x:t>
        </x:is>
      </x:c>
      <x:c r="D25" s="21" t="inlineStr">
        <x:is>
          <x:t xml:space="preserve"/>
        </x:is>
      </x:c>
      <x:c r="E25" s="21" t="inlineStr">
        <x:is>
          <x:t xml:space="preserve"/>
        </x:is>
      </x:c>
      <x:c r="F25" s="21" t="n">
        <x:v>1</x:v>
      </x:c>
      <x:c r="G25" s="21" t="n">
        <x:v>1</x:v>
      </x:c>
      <x:c r="H25" s="14" t="n">
        <x:f>IF(OR(F25=0,G25=0),0,F25/G25)</x:f>
        <x:v>1</x:v>
      </x:c>
      <x:c r="I25" s="21" t="inlineStr">
        <x:is>
          <x:t xml:space="preserve">Founder</x:t>
        </x:is>
      </x:c>
      <x:c r="J25" s="21" t="inlineStr">
        <x:is>
          <x:t xml:space="preserve">Backlog</x:t>
        </x:is>
      </x:c>
      <x:c r="K25" s="21" t="inlineStr">
        <x:is>
          <x:t xml:space="preserve"/>
        </x:is>
      </x:c>
      <x:c r="L25" s="21" t="inlineStr">
        <x:is>
          <x:t xml:space="preserve"/>
        </x:is>
      </x:c>
      <x:c r="M25" s="21" t="inlineStr">
        <x:is>
          <x:t xml:space="preserve"/>
        </x:is>
      </x:c>
      <x:c r="N25" s="21" t="inlineStr">
        <x:is>
          <x:t xml:space="preserve"/>
        </x:is>
      </x:c>
    </x:row>
    <x:row r="26" ht="44" customHeight="1">
      <x:c r="A26" s="5" t="inlineStr">
        <x:is>
          <x:t xml:space="preserve">B022</x:t>
        </x:is>
      </x:c>
      <x:c r="B26" s="21" t="inlineStr">
        <x:is>
          <x:t xml:space="preserve">P2</x:t>
        </x:is>
      </x:c>
      <x:c r="C26" s="21" t="inlineStr">
        <x:is>
          <x:t xml:space="preserve">Feature</x:t>
        </x:is>
      </x:c>
      <x:c r="D26" s="21" t="inlineStr">
        <x:is>
          <x:t xml:space="preserve"/>
        </x:is>
      </x:c>
      <x:c r="E26" s="21" t="inlineStr">
        <x:is>
          <x:t xml:space="preserve"/>
        </x:is>
      </x:c>
      <x:c r="F26" s="21" t="n">
        <x:v>1</x:v>
      </x:c>
      <x:c r="G26" s="21" t="n">
        <x:v>1</x:v>
      </x:c>
      <x:c r="H26" s="14" t="n">
        <x:f>IF(OR(F26=0,G26=0),0,F26/G26)</x:f>
        <x:v>1</x:v>
      </x:c>
      <x:c r="I26" s="21" t="inlineStr">
        <x:is>
          <x:t xml:space="preserve">Founder</x:t>
        </x:is>
      </x:c>
      <x:c r="J26" s="21" t="inlineStr">
        <x:is>
          <x:t xml:space="preserve">Backlog</x:t>
        </x:is>
      </x:c>
      <x:c r="K26" s="21" t="inlineStr">
        <x:is>
          <x:t xml:space="preserve"/>
        </x:is>
      </x:c>
      <x:c r="L26" s="21" t="inlineStr">
        <x:is>
          <x:t xml:space="preserve"/>
        </x:is>
      </x:c>
      <x:c r="M26" s="21" t="inlineStr">
        <x:is>
          <x:t xml:space="preserve"/>
        </x:is>
      </x:c>
      <x:c r="N26" s="21" t="inlineStr">
        <x:is>
          <x:t xml:space="preserve"/>
        </x:is>
      </x:c>
    </x:row>
    <x:row r="27" ht="44" customHeight="1">
      <x:c r="A27" s="7" t="inlineStr">
        <x:is>
          <x:t xml:space="preserve">B023</x:t>
        </x:is>
      </x:c>
      <x:c r="B27" s="21" t="inlineStr">
        <x:is>
          <x:t xml:space="preserve">P2</x:t>
        </x:is>
      </x:c>
      <x:c r="C27" s="21" t="inlineStr">
        <x:is>
          <x:t xml:space="preserve">Feature</x:t>
        </x:is>
      </x:c>
      <x:c r="D27" s="21" t="inlineStr">
        <x:is>
          <x:t xml:space="preserve"/>
        </x:is>
      </x:c>
      <x:c r="E27" s="21" t="inlineStr">
        <x:is>
          <x:t xml:space="preserve"/>
        </x:is>
      </x:c>
      <x:c r="F27" s="21" t="n">
        <x:v>1</x:v>
      </x:c>
      <x:c r="G27" s="21" t="n">
        <x:v>1</x:v>
      </x:c>
      <x:c r="H27" s="14" t="n">
        <x:f>IF(OR(F27=0,G27=0),0,F27/G27)</x:f>
        <x:v>1</x:v>
      </x:c>
      <x:c r="I27" s="21" t="inlineStr">
        <x:is>
          <x:t xml:space="preserve">Founder</x:t>
        </x:is>
      </x:c>
      <x:c r="J27" s="21" t="inlineStr">
        <x:is>
          <x:t xml:space="preserve">Backlog</x:t>
        </x:is>
      </x:c>
      <x:c r="K27" s="21" t="inlineStr">
        <x:is>
          <x:t xml:space="preserve"/>
        </x:is>
      </x:c>
      <x:c r="L27" s="21" t="inlineStr">
        <x:is>
          <x:t xml:space="preserve"/>
        </x:is>
      </x:c>
      <x:c r="M27" s="21" t="inlineStr">
        <x:is>
          <x:t xml:space="preserve"/>
        </x:is>
      </x:c>
      <x:c r="N27" s="21" t="inlineStr">
        <x:is>
          <x:t xml:space="preserve"/>
        </x:is>
      </x:c>
    </x:row>
    <x:row r="28" ht="44" customHeight="1">
      <x:c r="A28" s="5" t="inlineStr">
        <x:is>
          <x:t xml:space="preserve">B024</x:t>
        </x:is>
      </x:c>
      <x:c r="B28" s="21" t="inlineStr">
        <x:is>
          <x:t xml:space="preserve">P2</x:t>
        </x:is>
      </x:c>
      <x:c r="C28" s="21" t="inlineStr">
        <x:is>
          <x:t xml:space="preserve">Feature</x:t>
        </x:is>
      </x:c>
      <x:c r="D28" s="21" t="inlineStr">
        <x:is>
          <x:t xml:space="preserve"/>
        </x:is>
      </x:c>
      <x:c r="E28" s="21" t="inlineStr">
        <x:is>
          <x:t xml:space="preserve"/>
        </x:is>
      </x:c>
      <x:c r="F28" s="21" t="n">
        <x:v>1</x:v>
      </x:c>
      <x:c r="G28" s="21" t="n">
        <x:v>1</x:v>
      </x:c>
      <x:c r="H28" s="14" t="n">
        <x:f>IF(OR(F28=0,G28=0),0,F28/G28)</x:f>
        <x:v>1</x:v>
      </x:c>
      <x:c r="I28" s="21" t="inlineStr">
        <x:is>
          <x:t xml:space="preserve">Founder</x:t>
        </x:is>
      </x:c>
      <x:c r="J28" s="21" t="inlineStr">
        <x:is>
          <x:t xml:space="preserve">Backlog</x:t>
        </x:is>
      </x:c>
      <x:c r="K28" s="21" t="inlineStr">
        <x:is>
          <x:t xml:space="preserve"/>
        </x:is>
      </x:c>
      <x:c r="L28" s="21" t="inlineStr">
        <x:is>
          <x:t xml:space="preserve"/>
        </x:is>
      </x:c>
      <x:c r="M28" s="21" t="inlineStr">
        <x:is>
          <x:t xml:space="preserve"/>
        </x:is>
      </x:c>
      <x:c r="N28" s="21" t="inlineStr">
        <x:is>
          <x:t xml:space="preserve"/>
        </x:is>
      </x:c>
    </x:row>
    <x:row r="29" ht="44" customHeight="1">
      <x:c r="A29" s="7" t="inlineStr">
        <x:is>
          <x:t xml:space="preserve">B025</x:t>
        </x:is>
      </x:c>
      <x:c r="B29" s="21" t="inlineStr">
        <x:is>
          <x:t xml:space="preserve">P2</x:t>
        </x:is>
      </x:c>
      <x:c r="C29" s="21" t="inlineStr">
        <x:is>
          <x:t xml:space="preserve">Feature</x:t>
        </x:is>
      </x:c>
      <x:c r="D29" s="21" t="inlineStr">
        <x:is>
          <x:t xml:space="preserve"/>
        </x:is>
      </x:c>
      <x:c r="E29" s="21" t="inlineStr">
        <x:is>
          <x:t xml:space="preserve"/>
        </x:is>
      </x:c>
      <x:c r="F29" s="21" t="n">
        <x:v>1</x:v>
      </x:c>
      <x:c r="G29" s="21" t="n">
        <x:v>1</x:v>
      </x:c>
      <x:c r="H29" s="14" t="n">
        <x:f>IF(OR(F29=0,G29=0),0,F29/G29)</x:f>
        <x:v>1</x:v>
      </x:c>
      <x:c r="I29" s="21" t="inlineStr">
        <x:is>
          <x:t xml:space="preserve">Founder</x:t>
        </x:is>
      </x:c>
      <x:c r="J29" s="21" t="inlineStr">
        <x:is>
          <x:t xml:space="preserve">Backlog</x:t>
        </x:is>
      </x:c>
      <x:c r="K29" s="21" t="inlineStr">
        <x:is>
          <x:t xml:space="preserve"/>
        </x:is>
      </x:c>
      <x:c r="L29" s="21" t="inlineStr">
        <x:is>
          <x:t xml:space="preserve"/>
        </x:is>
      </x:c>
      <x:c r="M29" s="21" t="inlineStr">
        <x:is>
          <x:t xml:space="preserve"/>
        </x:is>
      </x:c>
      <x:c r="N29" s="21" t="inlineStr">
        <x:is>
          <x:t xml:space="preserve"/>
        </x:is>
      </x:c>
    </x:row>
    <x:row r="30" ht="44" customHeight="1">
      <x:c r="A30" s="5" t="inlineStr">
        <x:is>
          <x:t xml:space="preserve">B026</x:t>
        </x:is>
      </x:c>
      <x:c r="B30" s="21" t="inlineStr">
        <x:is>
          <x:t xml:space="preserve">P2</x:t>
        </x:is>
      </x:c>
      <x:c r="C30" s="21" t="inlineStr">
        <x:is>
          <x:t xml:space="preserve">Feature</x:t>
        </x:is>
      </x:c>
      <x:c r="D30" s="21" t="inlineStr">
        <x:is>
          <x:t xml:space="preserve"/>
        </x:is>
      </x:c>
      <x:c r="E30" s="21" t="inlineStr">
        <x:is>
          <x:t xml:space="preserve"/>
        </x:is>
      </x:c>
      <x:c r="F30" s="21" t="n">
        <x:v>1</x:v>
      </x:c>
      <x:c r="G30" s="21" t="n">
        <x:v>1</x:v>
      </x:c>
      <x:c r="H30" s="14" t="n">
        <x:f>IF(OR(F30=0,G30=0),0,F30/G30)</x:f>
        <x:v>1</x:v>
      </x:c>
      <x:c r="I30" s="21" t="inlineStr">
        <x:is>
          <x:t xml:space="preserve">Founder</x:t>
        </x:is>
      </x:c>
      <x:c r="J30" s="21" t="inlineStr">
        <x:is>
          <x:t xml:space="preserve">Backlog</x:t>
        </x:is>
      </x:c>
      <x:c r="K30" s="21" t="inlineStr">
        <x:is>
          <x:t xml:space="preserve"/>
        </x:is>
      </x:c>
      <x:c r="L30" s="21" t="inlineStr">
        <x:is>
          <x:t xml:space="preserve"/>
        </x:is>
      </x:c>
      <x:c r="M30" s="21" t="inlineStr">
        <x:is>
          <x:t xml:space="preserve"/>
        </x:is>
      </x:c>
      <x:c r="N30" s="21" t="inlineStr">
        <x:is>
          <x:t xml:space="preserve"/>
        </x:is>
      </x:c>
    </x:row>
    <x:row r="31" ht="44" customHeight="1">
      <x:c r="A31" s="7" t="inlineStr">
        <x:is>
          <x:t xml:space="preserve">B027</x:t>
        </x:is>
      </x:c>
      <x:c r="B31" s="21" t="inlineStr">
        <x:is>
          <x:t xml:space="preserve">P2</x:t>
        </x:is>
      </x:c>
      <x:c r="C31" s="21" t="inlineStr">
        <x:is>
          <x:t xml:space="preserve">Feature</x:t>
        </x:is>
      </x:c>
      <x:c r="D31" s="21" t="inlineStr">
        <x:is>
          <x:t xml:space="preserve"/>
        </x:is>
      </x:c>
      <x:c r="E31" s="21" t="inlineStr">
        <x:is>
          <x:t xml:space="preserve"/>
        </x:is>
      </x:c>
      <x:c r="F31" s="21" t="n">
        <x:v>1</x:v>
      </x:c>
      <x:c r="G31" s="21" t="n">
        <x:v>1</x:v>
      </x:c>
      <x:c r="H31" s="14" t="n">
        <x:f>IF(OR(F31=0,G31=0),0,F31/G31)</x:f>
        <x:v>1</x:v>
      </x:c>
      <x:c r="I31" s="21" t="inlineStr">
        <x:is>
          <x:t xml:space="preserve">Founder</x:t>
        </x:is>
      </x:c>
      <x:c r="J31" s="21" t="inlineStr">
        <x:is>
          <x:t xml:space="preserve">Backlog</x:t>
        </x:is>
      </x:c>
      <x:c r="K31" s="21" t="inlineStr">
        <x:is>
          <x:t xml:space="preserve"/>
        </x:is>
      </x:c>
      <x:c r="L31" s="21" t="inlineStr">
        <x:is>
          <x:t xml:space="preserve"/>
        </x:is>
      </x:c>
      <x:c r="M31" s="21" t="inlineStr">
        <x:is>
          <x:t xml:space="preserve"/>
        </x:is>
      </x:c>
      <x:c r="N31" s="21" t="inlineStr">
        <x:is>
          <x:t xml:space="preserve"/>
        </x:is>
      </x:c>
    </x:row>
    <x:row r="32" ht="44" customHeight="1">
      <x:c r="A32" s="5" t="inlineStr">
        <x:is>
          <x:t xml:space="preserve">B028</x:t>
        </x:is>
      </x:c>
      <x:c r="B32" s="21" t="inlineStr">
        <x:is>
          <x:t xml:space="preserve">P2</x:t>
        </x:is>
      </x:c>
      <x:c r="C32" s="21" t="inlineStr">
        <x:is>
          <x:t xml:space="preserve">Feature</x:t>
        </x:is>
      </x:c>
      <x:c r="D32" s="21" t="inlineStr">
        <x:is>
          <x:t xml:space="preserve"/>
        </x:is>
      </x:c>
      <x:c r="E32" s="21" t="inlineStr">
        <x:is>
          <x:t xml:space="preserve"/>
        </x:is>
      </x:c>
      <x:c r="F32" s="21" t="n">
        <x:v>1</x:v>
      </x:c>
      <x:c r="G32" s="21" t="n">
        <x:v>1</x:v>
      </x:c>
      <x:c r="H32" s="14" t="n">
        <x:f>IF(OR(F32=0,G32=0),0,F32/G32)</x:f>
        <x:v>1</x:v>
      </x:c>
      <x:c r="I32" s="21" t="inlineStr">
        <x:is>
          <x:t xml:space="preserve">Founder</x:t>
        </x:is>
      </x:c>
      <x:c r="J32" s="21" t="inlineStr">
        <x:is>
          <x:t xml:space="preserve">Backlog</x:t>
        </x:is>
      </x:c>
      <x:c r="K32" s="21" t="inlineStr">
        <x:is>
          <x:t xml:space="preserve"/>
        </x:is>
      </x:c>
      <x:c r="L32" s="21" t="inlineStr">
        <x:is>
          <x:t xml:space="preserve"/>
        </x:is>
      </x:c>
      <x:c r="M32" s="21" t="inlineStr">
        <x:is>
          <x:t xml:space="preserve"/>
        </x:is>
      </x:c>
      <x:c r="N32" s="21" t="inlineStr">
        <x:is>
          <x:t xml:space="preserve"/>
        </x:is>
      </x:c>
    </x:row>
    <x:row r="33" ht="44" customHeight="1">
      <x:c r="A33" s="7" t="inlineStr">
        <x:is>
          <x:t xml:space="preserve">B029</x:t>
        </x:is>
      </x:c>
      <x:c r="B33" s="21" t="inlineStr">
        <x:is>
          <x:t xml:space="preserve">P2</x:t>
        </x:is>
      </x:c>
      <x:c r="C33" s="21" t="inlineStr">
        <x:is>
          <x:t xml:space="preserve">Feature</x:t>
        </x:is>
      </x:c>
      <x:c r="D33" s="21" t="inlineStr">
        <x:is>
          <x:t xml:space="preserve"/>
        </x:is>
      </x:c>
      <x:c r="E33" s="21" t="inlineStr">
        <x:is>
          <x:t xml:space="preserve"/>
        </x:is>
      </x:c>
      <x:c r="F33" s="21" t="n">
        <x:v>1</x:v>
      </x:c>
      <x:c r="G33" s="21" t="n">
        <x:v>1</x:v>
      </x:c>
      <x:c r="H33" s="14" t="n">
        <x:f>IF(OR(F33=0,G33=0),0,F33/G33)</x:f>
        <x:v>1</x:v>
      </x:c>
      <x:c r="I33" s="21" t="inlineStr">
        <x:is>
          <x:t xml:space="preserve">Founder</x:t>
        </x:is>
      </x:c>
      <x:c r="J33" s="21" t="inlineStr">
        <x:is>
          <x:t xml:space="preserve">Backlog</x:t>
        </x:is>
      </x:c>
      <x:c r="K33" s="21" t="inlineStr">
        <x:is>
          <x:t xml:space="preserve"/>
        </x:is>
      </x:c>
      <x:c r="L33" s="21" t="inlineStr">
        <x:is>
          <x:t xml:space="preserve"/>
        </x:is>
      </x:c>
      <x:c r="M33" s="21" t="inlineStr">
        <x:is>
          <x:t xml:space="preserve"/>
        </x:is>
      </x:c>
      <x:c r="N33" s="21" t="inlineStr">
        <x:is>
          <x:t xml:space="preserve"/>
        </x:is>
      </x:c>
    </x:row>
    <x:row r="34" ht="44" customHeight="1">
      <x:c r="A34" s="5" t="inlineStr">
        <x:is>
          <x:t xml:space="preserve">B030</x:t>
        </x:is>
      </x:c>
      <x:c r="B34" s="21" t="inlineStr">
        <x:is>
          <x:t xml:space="preserve">P2</x:t>
        </x:is>
      </x:c>
      <x:c r="C34" s="21" t="inlineStr">
        <x:is>
          <x:t xml:space="preserve">Feature</x:t>
        </x:is>
      </x:c>
      <x:c r="D34" s="21" t="inlineStr">
        <x:is>
          <x:t xml:space="preserve"/>
        </x:is>
      </x:c>
      <x:c r="E34" s="21" t="inlineStr">
        <x:is>
          <x:t xml:space="preserve"/>
        </x:is>
      </x:c>
      <x:c r="F34" s="21" t="n">
        <x:v>1</x:v>
      </x:c>
      <x:c r="G34" s="21" t="n">
        <x:v>1</x:v>
      </x:c>
      <x:c r="H34" s="14" t="n">
        <x:f>IF(OR(F34=0,G34=0),0,F34/G34)</x:f>
        <x:v>1</x:v>
      </x:c>
      <x:c r="I34" s="21" t="inlineStr">
        <x:is>
          <x:t xml:space="preserve">Founder</x:t>
        </x:is>
      </x:c>
      <x:c r="J34" s="21" t="inlineStr">
        <x:is>
          <x:t xml:space="preserve">Backlog</x:t>
        </x:is>
      </x:c>
      <x:c r="K34" s="21" t="inlineStr">
        <x:is>
          <x:t xml:space="preserve"/>
        </x:is>
      </x:c>
      <x:c r="L34" s="21" t="inlineStr">
        <x:is>
          <x:t xml:space="preserve"/>
        </x:is>
      </x:c>
      <x:c r="M34" s="21" t="inlineStr">
        <x:is>
          <x:t xml:space="preserve"/>
        </x:is>
      </x:c>
      <x:c r="N34" s="21" t="inlineStr">
        <x:is>
          <x:t xml:space="preserve"/>
        </x:is>
      </x:c>
    </x:row>
    <x:row r="35" ht="44" customHeight="1">
      <x:c r="A35" s="7" t="inlineStr">
        <x:is>
          <x:t xml:space="preserve">B031</x:t>
        </x:is>
      </x:c>
      <x:c r="B35" s="21" t="inlineStr">
        <x:is>
          <x:t xml:space="preserve">P2</x:t>
        </x:is>
      </x:c>
      <x:c r="C35" s="21" t="inlineStr">
        <x:is>
          <x:t xml:space="preserve">Feature</x:t>
        </x:is>
      </x:c>
      <x:c r="D35" s="21" t="inlineStr">
        <x:is>
          <x:t xml:space="preserve"/>
        </x:is>
      </x:c>
      <x:c r="E35" s="21" t="inlineStr">
        <x:is>
          <x:t xml:space="preserve"/>
        </x:is>
      </x:c>
      <x:c r="F35" s="21" t="n">
        <x:v>1</x:v>
      </x:c>
      <x:c r="G35" s="21" t="n">
        <x:v>1</x:v>
      </x:c>
      <x:c r="H35" s="14" t="n">
        <x:f>IF(OR(F35=0,G35=0),0,F35/G35)</x:f>
        <x:v>1</x:v>
      </x:c>
      <x:c r="I35" s="21" t="inlineStr">
        <x:is>
          <x:t xml:space="preserve">Founder</x:t>
        </x:is>
      </x:c>
      <x:c r="J35" s="21" t="inlineStr">
        <x:is>
          <x:t xml:space="preserve">Backlog</x:t>
        </x:is>
      </x:c>
      <x:c r="K35" s="21" t="inlineStr">
        <x:is>
          <x:t xml:space="preserve"/>
        </x:is>
      </x:c>
      <x:c r="L35" s="21" t="inlineStr">
        <x:is>
          <x:t xml:space="preserve"/>
        </x:is>
      </x:c>
      <x:c r="M35" s="21" t="inlineStr">
        <x:is>
          <x:t xml:space="preserve"/>
        </x:is>
      </x:c>
      <x:c r="N35" s="21" t="inlineStr">
        <x:is>
          <x:t xml:space="preserve"/>
        </x:is>
      </x:c>
    </x:row>
    <x:row r="36" ht="44" customHeight="1">
      <x:c r="A36" s="5" t="inlineStr">
        <x:is>
          <x:t xml:space="preserve">B032</x:t>
        </x:is>
      </x:c>
      <x:c r="B36" s="21" t="inlineStr">
        <x:is>
          <x:t xml:space="preserve">P2</x:t>
        </x:is>
      </x:c>
      <x:c r="C36" s="21" t="inlineStr">
        <x:is>
          <x:t xml:space="preserve">Feature</x:t>
        </x:is>
      </x:c>
      <x:c r="D36" s="21" t="inlineStr">
        <x:is>
          <x:t xml:space="preserve"/>
        </x:is>
      </x:c>
      <x:c r="E36" s="21" t="inlineStr">
        <x:is>
          <x:t xml:space="preserve"/>
        </x:is>
      </x:c>
      <x:c r="F36" s="21" t="n">
        <x:v>1</x:v>
      </x:c>
      <x:c r="G36" s="21" t="n">
        <x:v>1</x:v>
      </x:c>
      <x:c r="H36" s="14" t="n">
        <x:f>IF(OR(F36=0,G36=0),0,F36/G36)</x:f>
        <x:v>1</x:v>
      </x:c>
      <x:c r="I36" s="21" t="inlineStr">
        <x:is>
          <x:t xml:space="preserve">Founder</x:t>
        </x:is>
      </x:c>
      <x:c r="J36" s="21" t="inlineStr">
        <x:is>
          <x:t xml:space="preserve">Backlog</x:t>
        </x:is>
      </x:c>
      <x:c r="K36" s="21" t="inlineStr">
        <x:is>
          <x:t xml:space="preserve"/>
        </x:is>
      </x:c>
      <x:c r="L36" s="21" t="inlineStr">
        <x:is>
          <x:t xml:space="preserve"/>
        </x:is>
      </x:c>
      <x:c r="M36" s="21" t="inlineStr">
        <x:is>
          <x:t xml:space="preserve"/>
        </x:is>
      </x:c>
      <x:c r="N36" s="21" t="inlineStr">
        <x:is>
          <x:t xml:space="preserve"/>
        </x:is>
      </x:c>
    </x:row>
    <x:row r="37" ht="44" customHeight="1">
      <x:c r="A37" s="7" t="inlineStr">
        <x:is>
          <x:t xml:space="preserve">B033</x:t>
        </x:is>
      </x:c>
      <x:c r="B37" s="21" t="inlineStr">
        <x:is>
          <x:t xml:space="preserve">P2</x:t>
        </x:is>
      </x:c>
      <x:c r="C37" s="21" t="inlineStr">
        <x:is>
          <x:t xml:space="preserve">Feature</x:t>
        </x:is>
      </x:c>
      <x:c r="D37" s="21" t="inlineStr">
        <x:is>
          <x:t xml:space="preserve"/>
        </x:is>
      </x:c>
      <x:c r="E37" s="21" t="inlineStr">
        <x:is>
          <x:t xml:space="preserve"/>
        </x:is>
      </x:c>
      <x:c r="F37" s="21" t="n">
        <x:v>1</x:v>
      </x:c>
      <x:c r="G37" s="21" t="n">
        <x:v>1</x:v>
      </x:c>
      <x:c r="H37" s="14" t="n">
        <x:f>IF(OR(F37=0,G37=0),0,F37/G37)</x:f>
        <x:v>1</x:v>
      </x:c>
      <x:c r="I37" s="21" t="inlineStr">
        <x:is>
          <x:t xml:space="preserve">Founder</x:t>
        </x:is>
      </x:c>
      <x:c r="J37" s="21" t="inlineStr">
        <x:is>
          <x:t xml:space="preserve">Backlog</x:t>
        </x:is>
      </x:c>
      <x:c r="K37" s="21" t="inlineStr">
        <x:is>
          <x:t xml:space="preserve"/>
        </x:is>
      </x:c>
      <x:c r="L37" s="21" t="inlineStr">
        <x:is>
          <x:t xml:space="preserve"/>
        </x:is>
      </x:c>
      <x:c r="M37" s="21" t="inlineStr">
        <x:is>
          <x:t xml:space="preserve"/>
        </x:is>
      </x:c>
      <x:c r="N37" s="21" t="inlineStr">
        <x:is>
          <x:t xml:space="preserve"/>
        </x:is>
      </x:c>
    </x:row>
    <x:row r="38" ht="44" customHeight="1">
      <x:c r="A38" s="5" t="inlineStr">
        <x:is>
          <x:t xml:space="preserve">B034</x:t>
        </x:is>
      </x:c>
      <x:c r="B38" s="21" t="inlineStr">
        <x:is>
          <x:t xml:space="preserve">P2</x:t>
        </x:is>
      </x:c>
      <x:c r="C38" s="21" t="inlineStr">
        <x:is>
          <x:t xml:space="preserve">Feature</x:t>
        </x:is>
      </x:c>
      <x:c r="D38" s="21" t="inlineStr">
        <x:is>
          <x:t xml:space="preserve"/>
        </x:is>
      </x:c>
      <x:c r="E38" s="21" t="inlineStr">
        <x:is>
          <x:t xml:space="preserve"/>
        </x:is>
      </x:c>
      <x:c r="F38" s="21" t="n">
        <x:v>1</x:v>
      </x:c>
      <x:c r="G38" s="21" t="n">
        <x:v>1</x:v>
      </x:c>
      <x:c r="H38" s="14" t="n">
        <x:f>IF(OR(F38=0,G38=0),0,F38/G38)</x:f>
        <x:v>1</x:v>
      </x:c>
      <x:c r="I38" s="21" t="inlineStr">
        <x:is>
          <x:t xml:space="preserve">Founder</x:t>
        </x:is>
      </x:c>
      <x:c r="J38" s="21" t="inlineStr">
        <x:is>
          <x:t xml:space="preserve">Backlog</x:t>
        </x:is>
      </x:c>
      <x:c r="K38" s="21" t="inlineStr">
        <x:is>
          <x:t xml:space="preserve"/>
        </x:is>
      </x:c>
      <x:c r="L38" s="21" t="inlineStr">
        <x:is>
          <x:t xml:space="preserve"/>
        </x:is>
      </x:c>
      <x:c r="M38" s="21" t="inlineStr">
        <x:is>
          <x:t xml:space="preserve"/>
        </x:is>
      </x:c>
      <x:c r="N38" s="21" t="inlineStr">
        <x:is>
          <x:t xml:space="preserve"/>
        </x:is>
      </x:c>
    </x:row>
    <x:row r="39" ht="44" customHeight="1">
      <x:c r="A39" s="7" t="inlineStr">
        <x:is>
          <x:t xml:space="preserve">B035</x:t>
        </x:is>
      </x:c>
      <x:c r="B39" s="21" t="inlineStr">
        <x:is>
          <x:t xml:space="preserve">P2</x:t>
        </x:is>
      </x:c>
      <x:c r="C39" s="21" t="inlineStr">
        <x:is>
          <x:t xml:space="preserve">Feature</x:t>
        </x:is>
      </x:c>
      <x:c r="D39" s="21" t="inlineStr">
        <x:is>
          <x:t xml:space="preserve"/>
        </x:is>
      </x:c>
      <x:c r="E39" s="21" t="inlineStr">
        <x:is>
          <x:t xml:space="preserve"/>
        </x:is>
      </x:c>
      <x:c r="F39" s="21" t="n">
        <x:v>1</x:v>
      </x:c>
      <x:c r="G39" s="21" t="n">
        <x:v>1</x:v>
      </x:c>
      <x:c r="H39" s="14" t="n">
        <x:f>IF(OR(F39=0,G39=0),0,F39/G39)</x:f>
        <x:v>1</x:v>
      </x:c>
      <x:c r="I39" s="21" t="inlineStr">
        <x:is>
          <x:t xml:space="preserve">Founder</x:t>
        </x:is>
      </x:c>
      <x:c r="J39" s="21" t="inlineStr">
        <x:is>
          <x:t xml:space="preserve">Backlog</x:t>
        </x:is>
      </x:c>
      <x:c r="K39" s="21" t="inlineStr">
        <x:is>
          <x:t xml:space="preserve"/>
        </x:is>
      </x:c>
      <x:c r="L39" s="21" t="inlineStr">
        <x:is>
          <x:t xml:space="preserve"/>
        </x:is>
      </x:c>
      <x:c r="M39" s="21" t="inlineStr">
        <x:is>
          <x:t xml:space="preserve"/>
        </x:is>
      </x:c>
      <x:c r="N39" s="21" t="inlineStr">
        <x:is>
          <x:t xml:space="preserve"/>
        </x:is>
      </x:c>
    </x:row>
    <x:row r="40" ht="44" customHeight="1">
      <x:c r="A40" s="5" t="inlineStr">
        <x:is>
          <x:t xml:space="preserve">B036</x:t>
        </x:is>
      </x:c>
      <x:c r="B40" s="21" t="inlineStr">
        <x:is>
          <x:t xml:space="preserve">P2</x:t>
        </x:is>
      </x:c>
      <x:c r="C40" s="21" t="inlineStr">
        <x:is>
          <x:t xml:space="preserve">Feature</x:t>
        </x:is>
      </x:c>
      <x:c r="D40" s="21" t="inlineStr">
        <x:is>
          <x:t xml:space="preserve"/>
        </x:is>
      </x:c>
      <x:c r="E40" s="21" t="inlineStr">
        <x:is>
          <x:t xml:space="preserve"/>
        </x:is>
      </x:c>
      <x:c r="F40" s="21" t="n">
        <x:v>1</x:v>
      </x:c>
      <x:c r="G40" s="21" t="n">
        <x:v>1</x:v>
      </x:c>
      <x:c r="H40" s="14" t="n">
        <x:f>IF(OR(F40=0,G40=0),0,F40/G40)</x:f>
        <x:v>1</x:v>
      </x:c>
      <x:c r="I40" s="21" t="inlineStr">
        <x:is>
          <x:t xml:space="preserve">Founder</x:t>
        </x:is>
      </x:c>
      <x:c r="J40" s="21" t="inlineStr">
        <x:is>
          <x:t xml:space="preserve">Backlog</x:t>
        </x:is>
      </x:c>
      <x:c r="K40" s="21" t="inlineStr">
        <x:is>
          <x:t xml:space="preserve"/>
        </x:is>
      </x:c>
      <x:c r="L40" s="21" t="inlineStr">
        <x:is>
          <x:t xml:space="preserve"/>
        </x:is>
      </x:c>
      <x:c r="M40" s="21" t="inlineStr">
        <x:is>
          <x:t xml:space="preserve"/>
        </x:is>
      </x:c>
      <x:c r="N40" s="21" t="inlineStr">
        <x:is>
          <x:t xml:space="preserve"/>
        </x:is>
      </x:c>
    </x:row>
    <x:row r="41" ht="44" customHeight="1">
      <x:c r="A41" s="7" t="inlineStr">
        <x:is>
          <x:t xml:space="preserve">B037</x:t>
        </x:is>
      </x:c>
      <x:c r="B41" s="21" t="inlineStr">
        <x:is>
          <x:t xml:space="preserve">P2</x:t>
        </x:is>
      </x:c>
      <x:c r="C41" s="21" t="inlineStr">
        <x:is>
          <x:t xml:space="preserve">Feature</x:t>
        </x:is>
      </x:c>
      <x:c r="D41" s="21" t="inlineStr">
        <x:is>
          <x:t xml:space="preserve"/>
        </x:is>
      </x:c>
      <x:c r="E41" s="21" t="inlineStr">
        <x:is>
          <x:t xml:space="preserve"/>
        </x:is>
      </x:c>
      <x:c r="F41" s="21" t="n">
        <x:v>1</x:v>
      </x:c>
      <x:c r="G41" s="21" t="n">
        <x:v>1</x:v>
      </x:c>
      <x:c r="H41" s="14" t="n">
        <x:f>IF(OR(F41=0,G41=0),0,F41/G41)</x:f>
        <x:v>1</x:v>
      </x:c>
      <x:c r="I41" s="21" t="inlineStr">
        <x:is>
          <x:t xml:space="preserve">Founder</x:t>
        </x:is>
      </x:c>
      <x:c r="J41" s="21" t="inlineStr">
        <x:is>
          <x:t xml:space="preserve">Backlog</x:t>
        </x:is>
      </x:c>
      <x:c r="K41" s="21" t="inlineStr">
        <x:is>
          <x:t xml:space="preserve"/>
        </x:is>
      </x:c>
      <x:c r="L41" s="21" t="inlineStr">
        <x:is>
          <x:t xml:space="preserve"/>
        </x:is>
      </x:c>
      <x:c r="M41" s="21" t="inlineStr">
        <x:is>
          <x:t xml:space="preserve"/>
        </x:is>
      </x:c>
      <x:c r="N41" s="21" t="inlineStr">
        <x:is>
          <x:t xml:space="preserve"/>
        </x:is>
      </x:c>
    </x:row>
    <x:row r="42" ht="44" customHeight="1">
      <x:c r="A42" s="5" t="inlineStr">
        <x:is>
          <x:t xml:space="preserve">B038</x:t>
        </x:is>
      </x:c>
      <x:c r="B42" s="21" t="inlineStr">
        <x:is>
          <x:t xml:space="preserve">P2</x:t>
        </x:is>
      </x:c>
      <x:c r="C42" s="21" t="inlineStr">
        <x:is>
          <x:t xml:space="preserve">Feature</x:t>
        </x:is>
      </x:c>
      <x:c r="D42" s="21" t="inlineStr">
        <x:is>
          <x:t xml:space="preserve"/>
        </x:is>
      </x:c>
      <x:c r="E42" s="21" t="inlineStr">
        <x:is>
          <x:t xml:space="preserve"/>
        </x:is>
      </x:c>
      <x:c r="F42" s="21" t="n">
        <x:v>1</x:v>
      </x:c>
      <x:c r="G42" s="21" t="n">
        <x:v>1</x:v>
      </x:c>
      <x:c r="H42" s="14" t="n">
        <x:f>IF(OR(F42=0,G42=0),0,F42/G42)</x:f>
        <x:v>1</x:v>
      </x:c>
      <x:c r="I42" s="21" t="inlineStr">
        <x:is>
          <x:t xml:space="preserve">Founder</x:t>
        </x:is>
      </x:c>
      <x:c r="J42" s="21" t="inlineStr">
        <x:is>
          <x:t xml:space="preserve">Backlog</x:t>
        </x:is>
      </x:c>
      <x:c r="K42" s="21" t="inlineStr">
        <x:is>
          <x:t xml:space="preserve"/>
        </x:is>
      </x:c>
      <x:c r="L42" s="21" t="inlineStr">
        <x:is>
          <x:t xml:space="preserve"/>
        </x:is>
      </x:c>
      <x:c r="M42" s="21" t="inlineStr">
        <x:is>
          <x:t xml:space="preserve"/>
        </x:is>
      </x:c>
      <x:c r="N42" s="21" t="inlineStr">
        <x:is>
          <x:t xml:space="preserve"/>
        </x:is>
      </x:c>
    </x:row>
    <x:row r="43" ht="44" customHeight="1">
      <x:c r="A43" s="7" t="inlineStr">
        <x:is>
          <x:t xml:space="preserve">B039</x:t>
        </x:is>
      </x:c>
      <x:c r="B43" s="21" t="inlineStr">
        <x:is>
          <x:t xml:space="preserve">P2</x:t>
        </x:is>
      </x:c>
      <x:c r="C43" s="21" t="inlineStr">
        <x:is>
          <x:t xml:space="preserve">Feature</x:t>
        </x:is>
      </x:c>
      <x:c r="D43" s="21" t="inlineStr">
        <x:is>
          <x:t xml:space="preserve"/>
        </x:is>
      </x:c>
      <x:c r="E43" s="21" t="inlineStr">
        <x:is>
          <x:t xml:space="preserve"/>
        </x:is>
      </x:c>
      <x:c r="F43" s="21" t="n">
        <x:v>1</x:v>
      </x:c>
      <x:c r="G43" s="21" t="n">
        <x:v>1</x:v>
      </x:c>
      <x:c r="H43" s="14" t="n">
        <x:f>IF(OR(F43=0,G43=0),0,F43/G43)</x:f>
        <x:v>1</x:v>
      </x:c>
      <x:c r="I43" s="21" t="inlineStr">
        <x:is>
          <x:t xml:space="preserve">Founder</x:t>
        </x:is>
      </x:c>
      <x:c r="J43" s="21" t="inlineStr">
        <x:is>
          <x:t xml:space="preserve">Backlog</x:t>
        </x:is>
      </x:c>
      <x:c r="K43" s="21" t="inlineStr">
        <x:is>
          <x:t xml:space="preserve"/>
        </x:is>
      </x:c>
      <x:c r="L43" s="21" t="inlineStr">
        <x:is>
          <x:t xml:space="preserve"/>
        </x:is>
      </x:c>
      <x:c r="M43" s="21" t="inlineStr">
        <x:is>
          <x:t xml:space="preserve"/>
        </x:is>
      </x:c>
      <x:c r="N43" s="21" t="inlineStr">
        <x:is>
          <x:t xml:space="preserve"/>
        </x:is>
      </x:c>
    </x:row>
    <x:row r="44" ht="44" customHeight="1">
      <x:c r="A44" s="5" t="inlineStr">
        <x:is>
          <x:t xml:space="preserve">B040</x:t>
        </x:is>
      </x:c>
      <x:c r="B44" s="21" t="inlineStr">
        <x:is>
          <x:t xml:space="preserve">P2</x:t>
        </x:is>
      </x:c>
      <x:c r="C44" s="21" t="inlineStr">
        <x:is>
          <x:t xml:space="preserve">Feature</x:t>
        </x:is>
      </x:c>
      <x:c r="D44" s="21" t="inlineStr">
        <x:is>
          <x:t xml:space="preserve"/>
        </x:is>
      </x:c>
      <x:c r="E44" s="21" t="inlineStr">
        <x:is>
          <x:t xml:space="preserve"/>
        </x:is>
      </x:c>
      <x:c r="F44" s="21" t="n">
        <x:v>1</x:v>
      </x:c>
      <x:c r="G44" s="21" t="n">
        <x:v>1</x:v>
      </x:c>
      <x:c r="H44" s="14" t="n">
        <x:f>IF(OR(F44=0,G44=0),0,F44/G44)</x:f>
        <x:v>1</x:v>
      </x:c>
      <x:c r="I44" s="21" t="inlineStr">
        <x:is>
          <x:t xml:space="preserve">Founder</x:t>
        </x:is>
      </x:c>
      <x:c r="J44" s="21" t="inlineStr">
        <x:is>
          <x:t xml:space="preserve">Backlog</x:t>
        </x:is>
      </x:c>
      <x:c r="K44" s="21" t="inlineStr">
        <x:is>
          <x:t xml:space="preserve"/>
        </x:is>
      </x:c>
      <x:c r="L44" s="21" t="inlineStr">
        <x:is>
          <x:t xml:space="preserve"/>
        </x:is>
      </x:c>
      <x:c r="M44" s="21" t="inlineStr">
        <x:is>
          <x:t xml:space="preserve"/>
        </x:is>
      </x:c>
      <x:c r="N44" s="21" t="inlineStr">
        <x:is>
          <x:t xml:space="preserve"/>
        </x:is>
      </x:c>
    </x:row>
    <x:row r="45" ht="44" customHeight="1">
      <x:c r="A45" s="7" t="inlineStr">
        <x:is>
          <x:t xml:space="preserve">B041</x:t>
        </x:is>
      </x:c>
      <x:c r="B45" s="21" t="inlineStr">
        <x:is>
          <x:t xml:space="preserve">P2</x:t>
        </x:is>
      </x:c>
      <x:c r="C45" s="21" t="inlineStr">
        <x:is>
          <x:t xml:space="preserve">Feature</x:t>
        </x:is>
      </x:c>
      <x:c r="D45" s="21" t="inlineStr">
        <x:is>
          <x:t xml:space="preserve"/>
        </x:is>
      </x:c>
      <x:c r="E45" s="21" t="inlineStr">
        <x:is>
          <x:t xml:space="preserve"/>
        </x:is>
      </x:c>
      <x:c r="F45" s="21" t="n">
        <x:v>1</x:v>
      </x:c>
      <x:c r="G45" s="21" t="n">
        <x:v>1</x:v>
      </x:c>
      <x:c r="H45" s="14" t="n">
        <x:f>IF(OR(F45=0,G45=0),0,F45/G45)</x:f>
        <x:v>1</x:v>
      </x:c>
      <x:c r="I45" s="21" t="inlineStr">
        <x:is>
          <x:t xml:space="preserve">Founder</x:t>
        </x:is>
      </x:c>
      <x:c r="J45" s="21" t="inlineStr">
        <x:is>
          <x:t xml:space="preserve">Backlog</x:t>
        </x:is>
      </x:c>
      <x:c r="K45" s="21" t="inlineStr">
        <x:is>
          <x:t xml:space="preserve"/>
        </x:is>
      </x:c>
      <x:c r="L45" s="21" t="inlineStr">
        <x:is>
          <x:t xml:space="preserve"/>
        </x:is>
      </x:c>
      <x:c r="M45" s="21" t="inlineStr">
        <x:is>
          <x:t xml:space="preserve"/>
        </x:is>
      </x:c>
      <x:c r="N45" s="21" t="inlineStr">
        <x:is>
          <x:t xml:space="preserve"/>
        </x:is>
      </x:c>
    </x:row>
    <x:row r="46" ht="44" customHeight="1">
      <x:c r="A46" s="5" t="inlineStr">
        <x:is>
          <x:t xml:space="preserve">B042</x:t>
        </x:is>
      </x:c>
      <x:c r="B46" s="21" t="inlineStr">
        <x:is>
          <x:t xml:space="preserve">P2</x:t>
        </x:is>
      </x:c>
      <x:c r="C46" s="21" t="inlineStr">
        <x:is>
          <x:t xml:space="preserve">Feature</x:t>
        </x:is>
      </x:c>
      <x:c r="D46" s="21" t="inlineStr">
        <x:is>
          <x:t xml:space="preserve"/>
        </x:is>
      </x:c>
      <x:c r="E46" s="21" t="inlineStr">
        <x:is>
          <x:t xml:space="preserve"/>
        </x:is>
      </x:c>
      <x:c r="F46" s="21" t="n">
        <x:v>1</x:v>
      </x:c>
      <x:c r="G46" s="21" t="n">
        <x:v>1</x:v>
      </x:c>
      <x:c r="H46" s="14" t="n">
        <x:f>IF(OR(F46=0,G46=0),0,F46/G46)</x:f>
        <x:v>1</x:v>
      </x:c>
      <x:c r="I46" s="21" t="inlineStr">
        <x:is>
          <x:t xml:space="preserve">Founder</x:t>
        </x:is>
      </x:c>
      <x:c r="J46" s="21" t="inlineStr">
        <x:is>
          <x:t xml:space="preserve">Backlog</x:t>
        </x:is>
      </x:c>
      <x:c r="K46" s="21" t="inlineStr">
        <x:is>
          <x:t xml:space="preserve"/>
        </x:is>
      </x:c>
      <x:c r="L46" s="21" t="inlineStr">
        <x:is>
          <x:t xml:space="preserve"/>
        </x:is>
      </x:c>
      <x:c r="M46" s="21" t="inlineStr">
        <x:is>
          <x:t xml:space="preserve"/>
        </x:is>
      </x:c>
      <x:c r="N46" s="21" t="inlineStr">
        <x:is>
          <x:t xml:space="preserve"/>
        </x:is>
      </x:c>
    </x:row>
    <x:row r="47" ht="44" customHeight="1">
      <x:c r="A47" s="7" t="inlineStr">
        <x:is>
          <x:t xml:space="preserve">B043</x:t>
        </x:is>
      </x:c>
      <x:c r="B47" s="21" t="inlineStr">
        <x:is>
          <x:t xml:space="preserve">P2</x:t>
        </x:is>
      </x:c>
      <x:c r="C47" s="21" t="inlineStr">
        <x:is>
          <x:t xml:space="preserve">Feature</x:t>
        </x:is>
      </x:c>
      <x:c r="D47" s="21" t="inlineStr">
        <x:is>
          <x:t xml:space="preserve"/>
        </x:is>
      </x:c>
      <x:c r="E47" s="21" t="inlineStr">
        <x:is>
          <x:t xml:space="preserve"/>
        </x:is>
      </x:c>
      <x:c r="F47" s="21" t="n">
        <x:v>1</x:v>
      </x:c>
      <x:c r="G47" s="21" t="n">
        <x:v>1</x:v>
      </x:c>
      <x:c r="H47" s="14" t="n">
        <x:f>IF(OR(F47=0,G47=0),0,F47/G47)</x:f>
        <x:v>1</x:v>
      </x:c>
      <x:c r="I47" s="21" t="inlineStr">
        <x:is>
          <x:t xml:space="preserve">Founder</x:t>
        </x:is>
      </x:c>
      <x:c r="J47" s="21" t="inlineStr">
        <x:is>
          <x:t xml:space="preserve">Backlog</x:t>
        </x:is>
      </x:c>
      <x:c r="K47" s="21" t="inlineStr">
        <x:is>
          <x:t xml:space="preserve"/>
        </x:is>
      </x:c>
      <x:c r="L47" s="21" t="inlineStr">
        <x:is>
          <x:t xml:space="preserve"/>
        </x:is>
      </x:c>
      <x:c r="M47" s="21" t="inlineStr">
        <x:is>
          <x:t xml:space="preserve"/>
        </x:is>
      </x:c>
      <x:c r="N47" s="21" t="inlineStr">
        <x:is>
          <x:t xml:space="preserve"/>
        </x:is>
      </x:c>
    </x:row>
    <x:row r="48" ht="44" customHeight="1">
      <x:c r="A48" s="5" t="inlineStr">
        <x:is>
          <x:t xml:space="preserve">B044</x:t>
        </x:is>
      </x:c>
      <x:c r="B48" s="21" t="inlineStr">
        <x:is>
          <x:t xml:space="preserve">P2</x:t>
        </x:is>
      </x:c>
      <x:c r="C48" s="21" t="inlineStr">
        <x:is>
          <x:t xml:space="preserve">Feature</x:t>
        </x:is>
      </x:c>
      <x:c r="D48" s="21" t="inlineStr">
        <x:is>
          <x:t xml:space="preserve"/>
        </x:is>
      </x:c>
      <x:c r="E48" s="21" t="inlineStr">
        <x:is>
          <x:t xml:space="preserve"/>
        </x:is>
      </x:c>
      <x:c r="F48" s="21" t="n">
        <x:v>1</x:v>
      </x:c>
      <x:c r="G48" s="21" t="n">
        <x:v>1</x:v>
      </x:c>
      <x:c r="H48" s="14" t="n">
        <x:f>IF(OR(F48=0,G48=0),0,F48/G48)</x:f>
        <x:v>1</x:v>
      </x:c>
      <x:c r="I48" s="21" t="inlineStr">
        <x:is>
          <x:t xml:space="preserve">Founder</x:t>
        </x:is>
      </x:c>
      <x:c r="J48" s="21" t="inlineStr">
        <x:is>
          <x:t xml:space="preserve">Backlog</x:t>
        </x:is>
      </x:c>
      <x:c r="K48" s="21" t="inlineStr">
        <x:is>
          <x:t xml:space="preserve"/>
        </x:is>
      </x:c>
      <x:c r="L48" s="21" t="inlineStr">
        <x:is>
          <x:t xml:space="preserve"/>
        </x:is>
      </x:c>
      <x:c r="M48" s="21" t="inlineStr">
        <x:is>
          <x:t xml:space="preserve"/>
        </x:is>
      </x:c>
      <x:c r="N48" s="21" t="inlineStr">
        <x:is>
          <x:t xml:space="preserve"/>
        </x:is>
      </x:c>
    </x:row>
    <x:row r="49" ht="44" customHeight="1">
      <x:c r="A49" s="7" t="inlineStr">
        <x:is>
          <x:t xml:space="preserve">B045</x:t>
        </x:is>
      </x:c>
      <x:c r="B49" s="21" t="inlineStr">
        <x:is>
          <x:t xml:space="preserve">P2</x:t>
        </x:is>
      </x:c>
      <x:c r="C49" s="21" t="inlineStr">
        <x:is>
          <x:t xml:space="preserve">Feature</x:t>
        </x:is>
      </x:c>
      <x:c r="D49" s="21" t="inlineStr">
        <x:is>
          <x:t xml:space="preserve"/>
        </x:is>
      </x:c>
      <x:c r="E49" s="21" t="inlineStr">
        <x:is>
          <x:t xml:space="preserve"/>
        </x:is>
      </x:c>
      <x:c r="F49" s="21" t="n">
        <x:v>1</x:v>
      </x:c>
      <x:c r="G49" s="21" t="n">
        <x:v>1</x:v>
      </x:c>
      <x:c r="H49" s="14" t="n">
        <x:f>IF(OR(F49=0,G49=0),0,F49/G49)</x:f>
        <x:v>1</x:v>
      </x:c>
      <x:c r="I49" s="21" t="inlineStr">
        <x:is>
          <x:t xml:space="preserve">Founder</x:t>
        </x:is>
      </x:c>
      <x:c r="J49" s="21" t="inlineStr">
        <x:is>
          <x:t xml:space="preserve">Backlog</x:t>
        </x:is>
      </x:c>
      <x:c r="K49" s="21" t="inlineStr">
        <x:is>
          <x:t xml:space="preserve"/>
        </x:is>
      </x:c>
      <x:c r="L49" s="21" t="inlineStr">
        <x:is>
          <x:t xml:space="preserve"/>
        </x:is>
      </x:c>
      <x:c r="M49" s="21" t="inlineStr">
        <x:is>
          <x:t xml:space="preserve"/>
        </x:is>
      </x:c>
      <x:c r="N49" s="21" t="inlineStr">
        <x:is>
          <x:t xml:space="preserve"/>
        </x:is>
      </x:c>
    </x:row>
    <x:row r="50" ht="44" customHeight="1">
      <x:c r="A50" s="5" t="inlineStr">
        <x:is>
          <x:t xml:space="preserve">B046</x:t>
        </x:is>
      </x:c>
      <x:c r="B50" s="21" t="inlineStr">
        <x:is>
          <x:t xml:space="preserve">P2</x:t>
        </x:is>
      </x:c>
      <x:c r="C50" s="21" t="inlineStr">
        <x:is>
          <x:t xml:space="preserve">Feature</x:t>
        </x:is>
      </x:c>
      <x:c r="D50" s="21" t="inlineStr">
        <x:is>
          <x:t xml:space="preserve"/>
        </x:is>
      </x:c>
      <x:c r="E50" s="21" t="inlineStr">
        <x:is>
          <x:t xml:space="preserve"/>
        </x:is>
      </x:c>
      <x:c r="F50" s="21" t="n">
        <x:v>1</x:v>
      </x:c>
      <x:c r="G50" s="21" t="n">
        <x:v>1</x:v>
      </x:c>
      <x:c r="H50" s="14" t="n">
        <x:f>IF(OR(F50=0,G50=0),0,F50/G50)</x:f>
        <x:v>1</x:v>
      </x:c>
      <x:c r="I50" s="21" t="inlineStr">
        <x:is>
          <x:t xml:space="preserve">Founder</x:t>
        </x:is>
      </x:c>
      <x:c r="J50" s="21" t="inlineStr">
        <x:is>
          <x:t xml:space="preserve">Backlog</x:t>
        </x:is>
      </x:c>
      <x:c r="K50" s="21" t="inlineStr">
        <x:is>
          <x:t xml:space="preserve"/>
        </x:is>
      </x:c>
      <x:c r="L50" s="21" t="inlineStr">
        <x:is>
          <x:t xml:space="preserve"/>
        </x:is>
      </x:c>
      <x:c r="M50" s="21" t="inlineStr">
        <x:is>
          <x:t xml:space="preserve"/>
        </x:is>
      </x:c>
      <x:c r="N50" s="21" t="inlineStr">
        <x:is>
          <x:t xml:space="preserve"/>
        </x:is>
      </x:c>
    </x:row>
    <x:row r="51" ht="44" customHeight="1">
      <x:c r="A51" s="7" t="inlineStr">
        <x:is>
          <x:t xml:space="preserve">B047</x:t>
        </x:is>
      </x:c>
      <x:c r="B51" s="21" t="inlineStr">
        <x:is>
          <x:t xml:space="preserve">P2</x:t>
        </x:is>
      </x:c>
      <x:c r="C51" s="21" t="inlineStr">
        <x:is>
          <x:t xml:space="preserve">Feature</x:t>
        </x:is>
      </x:c>
      <x:c r="D51" s="21" t="inlineStr">
        <x:is>
          <x:t xml:space="preserve"/>
        </x:is>
      </x:c>
      <x:c r="E51" s="21" t="inlineStr">
        <x:is>
          <x:t xml:space="preserve"/>
        </x:is>
      </x:c>
      <x:c r="F51" s="21" t="n">
        <x:v>1</x:v>
      </x:c>
      <x:c r="G51" s="21" t="n">
        <x:v>1</x:v>
      </x:c>
      <x:c r="H51" s="14" t="n">
        <x:f>IF(OR(F51=0,G51=0),0,F51/G51)</x:f>
        <x:v>1</x:v>
      </x:c>
      <x:c r="I51" s="21" t="inlineStr">
        <x:is>
          <x:t xml:space="preserve">Founder</x:t>
        </x:is>
      </x:c>
      <x:c r="J51" s="21" t="inlineStr">
        <x:is>
          <x:t xml:space="preserve">Backlog</x:t>
        </x:is>
      </x:c>
      <x:c r="K51" s="21" t="inlineStr">
        <x:is>
          <x:t xml:space="preserve"/>
        </x:is>
      </x:c>
      <x:c r="L51" s="21" t="inlineStr">
        <x:is>
          <x:t xml:space="preserve"/>
        </x:is>
      </x:c>
      <x:c r="M51" s="21" t="inlineStr">
        <x:is>
          <x:t xml:space="preserve"/>
        </x:is>
      </x:c>
      <x:c r="N51" s="21" t="inlineStr">
        <x:is>
          <x:t xml:space="preserve"/>
        </x:is>
      </x:c>
    </x:row>
    <x:row r="52" ht="44" customHeight="1">
      <x:c r="A52" s="5" t="inlineStr">
        <x:is>
          <x:t xml:space="preserve">B048</x:t>
        </x:is>
      </x:c>
      <x:c r="B52" s="21" t="inlineStr">
        <x:is>
          <x:t xml:space="preserve">P2</x:t>
        </x:is>
      </x:c>
      <x:c r="C52" s="21" t="inlineStr">
        <x:is>
          <x:t xml:space="preserve">Feature</x:t>
        </x:is>
      </x:c>
      <x:c r="D52" s="21" t="inlineStr">
        <x:is>
          <x:t xml:space="preserve"/>
        </x:is>
      </x:c>
      <x:c r="E52" s="21" t="inlineStr">
        <x:is>
          <x:t xml:space="preserve"/>
        </x:is>
      </x:c>
      <x:c r="F52" s="21" t="n">
        <x:v>1</x:v>
      </x:c>
      <x:c r="G52" s="21" t="n">
        <x:v>1</x:v>
      </x:c>
      <x:c r="H52" s="14" t="n">
        <x:f>IF(OR(F52=0,G52=0),0,F52/G52)</x:f>
        <x:v>1</x:v>
      </x:c>
      <x:c r="I52" s="21" t="inlineStr">
        <x:is>
          <x:t xml:space="preserve">Founder</x:t>
        </x:is>
      </x:c>
      <x:c r="J52" s="21" t="inlineStr">
        <x:is>
          <x:t xml:space="preserve">Backlog</x:t>
        </x:is>
      </x:c>
      <x:c r="K52" s="21" t="inlineStr">
        <x:is>
          <x:t xml:space="preserve"/>
        </x:is>
      </x:c>
      <x:c r="L52" s="21" t="inlineStr">
        <x:is>
          <x:t xml:space="preserve"/>
        </x:is>
      </x:c>
      <x:c r="M52" s="21" t="inlineStr">
        <x:is>
          <x:t xml:space="preserve"/>
        </x:is>
      </x:c>
      <x:c r="N52" s="21" t="inlineStr">
        <x:is>
          <x:t xml:space="preserve"/>
        </x:is>
      </x:c>
    </x:row>
    <x:row r="53" ht="44" customHeight="1">
      <x:c r="A53" s="7" t="inlineStr">
        <x:is>
          <x:t xml:space="preserve">B049</x:t>
        </x:is>
      </x:c>
      <x:c r="B53" s="21" t="inlineStr">
        <x:is>
          <x:t xml:space="preserve">P2</x:t>
        </x:is>
      </x:c>
      <x:c r="C53" s="21" t="inlineStr">
        <x:is>
          <x:t xml:space="preserve">Feature</x:t>
        </x:is>
      </x:c>
      <x:c r="D53" s="21" t="inlineStr">
        <x:is>
          <x:t xml:space="preserve"/>
        </x:is>
      </x:c>
      <x:c r="E53" s="21" t="inlineStr">
        <x:is>
          <x:t xml:space="preserve"/>
        </x:is>
      </x:c>
      <x:c r="F53" s="21" t="n">
        <x:v>1</x:v>
      </x:c>
      <x:c r="G53" s="21" t="n">
        <x:v>1</x:v>
      </x:c>
      <x:c r="H53" s="14" t="n">
        <x:f>IF(OR(F53=0,G53=0),0,F53/G53)</x:f>
        <x:v>1</x:v>
      </x:c>
      <x:c r="I53" s="21" t="inlineStr">
        <x:is>
          <x:t xml:space="preserve">Founder</x:t>
        </x:is>
      </x:c>
      <x:c r="J53" s="21" t="inlineStr">
        <x:is>
          <x:t xml:space="preserve">Backlog</x:t>
        </x:is>
      </x:c>
      <x:c r="K53" s="21" t="inlineStr">
        <x:is>
          <x:t xml:space="preserve"/>
        </x:is>
      </x:c>
      <x:c r="L53" s="21" t="inlineStr">
        <x:is>
          <x:t xml:space="preserve"/>
        </x:is>
      </x:c>
      <x:c r="M53" s="21" t="inlineStr">
        <x:is>
          <x:t xml:space="preserve"/>
        </x:is>
      </x:c>
      <x:c r="N53" s="21" t="inlineStr">
        <x:is>
          <x:t xml:space="preserve"/>
        </x:is>
      </x:c>
    </x:row>
    <x:row r="54" ht="44" customHeight="1">
      <x:c r="A54" s="5" t="inlineStr">
        <x:is>
          <x:t xml:space="preserve">B050</x:t>
        </x:is>
      </x:c>
      <x:c r="B54" s="21" t="inlineStr">
        <x:is>
          <x:t xml:space="preserve">P2</x:t>
        </x:is>
      </x:c>
      <x:c r="C54" s="21" t="inlineStr">
        <x:is>
          <x:t xml:space="preserve">Feature</x:t>
        </x:is>
      </x:c>
      <x:c r="D54" s="21" t="inlineStr">
        <x:is>
          <x:t xml:space="preserve"/>
        </x:is>
      </x:c>
      <x:c r="E54" s="21" t="inlineStr">
        <x:is>
          <x:t xml:space="preserve"/>
        </x:is>
      </x:c>
      <x:c r="F54" s="21" t="n">
        <x:v>1</x:v>
      </x:c>
      <x:c r="G54" s="21" t="n">
        <x:v>1</x:v>
      </x:c>
      <x:c r="H54" s="14" t="n">
        <x:f>IF(OR(F54=0,G54=0),0,F54/G54)</x:f>
        <x:v>1</x:v>
      </x:c>
      <x:c r="I54" s="21" t="inlineStr">
        <x:is>
          <x:t xml:space="preserve">Founder</x:t>
        </x:is>
      </x:c>
      <x:c r="J54" s="21" t="inlineStr">
        <x:is>
          <x:t xml:space="preserve">Backlog</x:t>
        </x:is>
      </x:c>
      <x:c r="K54" s="21" t="inlineStr">
        <x:is>
          <x:t xml:space="preserve"/>
        </x:is>
      </x:c>
      <x:c r="L54" s="21" t="inlineStr">
        <x:is>
          <x:t xml:space="preserve"/>
        </x:is>
      </x:c>
      <x:c r="M54" s="21" t="inlineStr">
        <x:is>
          <x:t xml:space="preserve"/>
        </x:is>
      </x:c>
      <x:c r="N54" s="21" t="inlineStr">
        <x:is>
          <x:t xml:space="preserve"/>
        </x:is>
      </x:c>
    </x:row>
  </x:sheetData>
  <x:dataValidations count="2">
    <x:dataValidation type="list" allowBlank="1" showDropDown="0" showInputMessage="0" showErrorMessage="0" sqref="B5:B54">
      <x:formula1>=Lists!$B$5:$B$8</x:formula1>
    </x:dataValidation>
    <x:dataValidation type="list" allowBlank="1" showDropDown="0" showInputMessage="0" showErrorMessage="0" sqref="J5:J54">
      <x:formula1>=Lists!$G$5:$G$15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bde3571ec2439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5" customWidth="1"/>
    <x:col min="3" max="3" width="20" customWidth="1"/>
    <x:col min="4" max="4" width="22" customWidth="1"/>
    <x:col min="5" max="5" width="22" customWidth="1"/>
    <x:col min="6" max="6" width="16" customWidth="1"/>
    <x:col min="7" max="7" width="28" customWidth="1"/>
    <x:col min="8" max="8" width="28" customWidth="1"/>
    <x:col min="9" max="9" width="26" customWidth="1"/>
    <x:col min="10" max="10" width="16" customWidth="1"/>
    <x:col min="11" max="11" width="30" customWidth="1"/>
    <x:col min="12" max="12" width="28" customWidth="1"/>
    <x:col min="13" max="13" width="18" customWidth="1"/>
    <x:col min="14" max="14" width="18" customWidth="1"/>
    <x:col min="15" max="15" width="22" customWidth="1"/>
  </x:cols>
  <x:sheetData>
    <x:row r="1" ht="30" customHeight="1">
      <x:c r="A1" s="1" t="n"/>
      <x:c r="B1" s="1" t="inlineStr">
        <x:is>
          <x:t xml:space="preserve">Partnership CRM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 ht="34" customHeight="1">
      <x:c r="A2" s="2" t="n"/>
      <x:c r="B2" s="2" t="inlineStr">
        <x:is>
          <x:t xml:space="preserve">Partnerships can beat ads when cash is tight. Start with trust-adjacent partners.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</x:row>
    <x:row r="3"/>
    <x:row r="4" ht="32" customHeight="1">
      <x:c r="A4" s="10" t="inlineStr">
        <x:is>
          <x:t xml:space="preserve">ID</x:t>
        </x:is>
      </x:c>
      <x:c r="B4" s="10" t="inlineStr">
        <x:is>
          <x:t xml:space="preserve">Organization</x:t>
        </x:is>
      </x:c>
      <x:c r="C4" s="10" t="inlineStr">
        <x:is>
          <x:t xml:space="preserve">Type</x:t>
        </x:is>
      </x:c>
      <x:c r="D4" s="10" t="inlineStr">
        <x:is>
          <x:t xml:space="preserve">Contact Person</x:t>
        </x:is>
      </x:c>
      <x:c r="E4" s="10" t="inlineStr">
        <x:is>
          <x:t xml:space="preserve">Contact</x:t>
        </x:is>
      </x:c>
      <x:c r="F4" s="10" t="inlineStr">
        <x:is>
          <x:t xml:space="preserve">Warm Intro?</x:t>
        </x:is>
      </x:c>
      <x:c r="G4" s="10" t="inlineStr">
        <x:is>
          <x:t xml:space="preserve">Value for Them</x:t>
        </x:is>
      </x:c>
      <x:c r="H4" s="10" t="inlineStr">
        <x:is>
          <x:t xml:space="preserve">Value for Msafiri</x:t>
        </x:is>
      </x:c>
      <x:c r="I4" s="10" t="inlineStr">
        <x:is>
          <x:t xml:space="preserve">Offer</x:t>
        </x:is>
      </x:c>
      <x:c r="J4" s="10" t="inlineStr">
        <x:is>
          <x:t xml:space="preserve">Stage</x:t>
        </x:is>
      </x:c>
      <x:c r="K4" s="10" t="inlineStr">
        <x:is>
          <x:t xml:space="preserve">Next Step</x:t>
        </x:is>
      </x:c>
      <x:c r="L4" s="10" t="inlineStr">
        <x:is>
          <x:t xml:space="preserve">Objection</x:t>
        </x:is>
      </x:c>
      <x:c r="M4" s="10" t="inlineStr">
        <x:is>
          <x:t xml:space="preserve">Follow-up Date</x:t>
        </x:is>
      </x:c>
      <x:c r="N4" s="10" t="inlineStr">
        <x:is>
          <x:t xml:space="preserve">Outcome</x:t>
        </x:is>
      </x:c>
      <x:c r="O4" s="10" t="inlineStr">
        <x:is>
          <x:t xml:space="preserve">Notes</x:t>
        </x:is>
      </x:c>
    </x:row>
    <x:row r="5" ht="44" customHeight="1">
      <x:c r="A5" s="7" t="inlineStr">
        <x:is>
          <x:t xml:space="preserve">P001</x:t>
        </x:is>
      </x:c>
      <x:c r="B5" s="21" t="inlineStr">
        <x:is>
          <x:t xml:space="preserve">Driving school near target corridor</x:t>
        </x:is>
      </x:c>
      <x:c r="C5" s="21" t="inlineStr">
        <x:is>
          <x:t xml:space="preserve">Driving School</x:t>
        </x:is>
      </x:c>
      <x:c r="D5" s="21" t="inlineStr">
        <x:is>
          <x:t xml:space="preserve"/>
        </x:is>
      </x:c>
      <x:c r="E5" s="21" t="inlineStr">
        <x:is>
          <x:t xml:space="preserve"/>
        </x:is>
      </x:c>
      <x:c r="F5" s="21" t="inlineStr">
        <x:is>
          <x:t xml:space="preserve">Not Yet</x:t>
        </x:is>
      </x:c>
      <x:c r="G5" s="21" t="inlineStr">
        <x:is>
          <x:t xml:space="preserve">Safer learners and modern training angle</x:t>
        </x:is>
      </x:c>
      <x:c r="H5" s="21" t="inlineStr">
        <x:is>
          <x:t xml:space="preserve">Beta users, trust, route feedback</x:t>
        </x:is>
      </x:c>
      <x:c r="I5" s="21" t="inlineStr">
        <x:is>
          <x:t xml:space="preserve">Free safety-tech demo + beta invite</x:t>
        </x:is>
      </x:c>
      <x:c r="J5" s="21" t="inlineStr">
        <x:is>
          <x:t xml:space="preserve">Prospect</x:t>
        </x:is>
      </x:c>
      <x:c r="K5" s="21" t="inlineStr">
        <x:is>
          <x:t xml:space="preserve">Find owner/manager contact</x:t>
        </x:is>
      </x:c>
      <x:c r="L5" s="21" t="inlineStr">
        <x:is>
          <x:t xml:space="preserve"/>
        </x:is>
      </x:c>
      <x:c r="M5" s="21" t="inlineStr">
        <x:is>
          <x:t xml:space="preserve"/>
        </x:is>
      </x:c>
      <x:c r="N5" s="21" t="inlineStr">
        <x:is>
          <x:t xml:space="preserve"/>
        </x:is>
      </x:c>
      <x:c r="O5" s="21" t="inlineStr">
        <x:is>
          <x:t xml:space="preserve"/>
        </x:is>
      </x:c>
    </x:row>
    <x:row r="6" ht="44" customHeight="1">
      <x:c r="A6" s="5" t="inlineStr">
        <x:is>
          <x:t xml:space="preserve">P002</x:t>
        </x:is>
      </x:c>
      <x:c r="B6" s="21" t="inlineStr">
        <x:is>
          <x:t xml:space="preserve">Small courier/delivery operator</x:t>
        </x:is>
      </x:c>
      <x:c r="C6" s="21" t="inlineStr">
        <x:is>
          <x:t xml:space="preserve">Fleet/Courier</x:t>
        </x:is>
      </x:c>
      <x:c r="D6" s="21" t="inlineStr">
        <x:is>
          <x:t xml:space="preserve"/>
        </x:is>
      </x:c>
      <x:c r="E6" s="21" t="inlineStr">
        <x:is>
          <x:t xml:space="preserve"/>
        </x:is>
      </x:c>
      <x:c r="F6" s="21" t="inlineStr">
        <x:is>
          <x:t xml:space="preserve">Not Yet</x:t>
        </x:is>
      </x:c>
      <x:c r="G6" s="21" t="inlineStr">
        <x:is>
          <x:t xml:space="preserve">Fewer incidents and route awareness</x:t>
        </x:is>
      </x:c>
      <x:c r="H6" s="21" t="inlineStr">
        <x:is>
          <x:t xml:space="preserve">B2B pilot proof</x:t>
        </x:is>
      </x:c>
      <x:c r="I6" s="21" t="inlineStr">
        <x:is>
          <x:t xml:space="preserve">2-week driver safety pilot</x:t>
        </x:is>
      </x:c>
      <x:c r="J6" s="21" t="inlineStr">
        <x:is>
          <x:t xml:space="preserve">Prospect</x:t>
        </x:is>
      </x:c>
      <x:c r="K6" s="21" t="inlineStr">
        <x:is>
          <x:t xml:space="preserve">Identify operator with 10-50 riders</x:t>
        </x:is>
      </x:c>
      <x:c r="L6" s="21" t="inlineStr">
        <x:is>
          <x:t xml:space="preserve"/>
        </x:is>
      </x:c>
      <x:c r="M6" s="21" t="inlineStr">
        <x:is>
          <x:t xml:space="preserve"/>
        </x:is>
      </x:c>
      <x:c r="N6" s="21" t="inlineStr">
        <x:is>
          <x:t xml:space="preserve"/>
        </x:is>
      </x:c>
      <x:c r="O6" s="21" t="inlineStr">
        <x:is>
          <x:t xml:space="preserve"/>
        </x:is>
      </x:c>
    </x:row>
    <x:row r="7" ht="44" customHeight="1">
      <x:c r="A7" s="7" t="inlineStr">
        <x:is>
          <x:t xml:space="preserve">P003</x:t>
        </x:is>
      </x:c>
      <x:c r="B7" s="21" t="inlineStr">
        <x:is>
          <x:t xml:space="preserve">Garage/tyre shop</x:t>
        </x:is>
      </x:c>
      <x:c r="C7" s="21" t="inlineStr">
        <x:is>
          <x:t xml:space="preserve">Garage</x:t>
        </x:is>
      </x:c>
      <x:c r="D7" s="21" t="inlineStr">
        <x:is>
          <x:t xml:space="preserve"/>
        </x:is>
      </x:c>
      <x:c r="E7" s="21" t="inlineStr">
        <x:is>
          <x:t xml:space="preserve"/>
        </x:is>
      </x:c>
      <x:c r="F7" s="21" t="inlineStr">
        <x:is>
          <x:t xml:space="preserve">Not Yet</x:t>
        </x:is>
      </x:c>
      <x:c r="G7" s="21" t="inlineStr">
        <x:is>
          <x:t xml:space="preserve">Useful customer safety content</x:t>
        </x:is>
      </x:c>
      <x:c r="H7" s="21" t="inlineStr">
        <x:is>
          <x:t xml:space="preserve">Poster/QR placement and credibility</x:t>
        </x:is>
      </x:c>
      <x:c r="I7" s="21" t="inlineStr">
        <x:is>
          <x:t xml:space="preserve">Co-branded safety checklist</x:t>
        </x:is>
      </x:c>
      <x:c r="J7" s="21" t="inlineStr">
        <x:is>
          <x:t xml:space="preserve">Prospect</x:t>
        </x:is>
      </x:c>
      <x:c r="K7" s="21" t="inlineStr">
        <x:is>
          <x:t xml:space="preserve">Ask for QR poster placement</x:t>
        </x:is>
      </x:c>
      <x:c r="L7" s="21" t="inlineStr">
        <x:is>
          <x:t xml:space="preserve"/>
        </x:is>
      </x:c>
      <x:c r="M7" s="21" t="inlineStr">
        <x:is>
          <x:t xml:space="preserve"/>
        </x:is>
      </x:c>
      <x:c r="N7" s="21" t="inlineStr">
        <x:is>
          <x:t xml:space="preserve"/>
        </x:is>
      </x:c>
      <x:c r="O7" s="21" t="inlineStr">
        <x:is>
          <x:t xml:space="preserve"/>
        </x:is>
      </x:c>
    </x:row>
    <x:row r="8" ht="44" customHeight="1">
      <x:c r="A8" s="5" t="inlineStr">
        <x:is>
          <x:t xml:space="preserve">P004</x:t>
        </x:is>
      </x:c>
      <x:c r="B8" s="21" t="inlineStr">
        <x:is>
          <x:t xml:space="preserve">Insurance agent/broker</x:t>
        </x:is>
      </x:c>
      <x:c r="C8" s="21" t="inlineStr">
        <x:is>
          <x:t xml:space="preserve">Insurance</x:t>
        </x:is>
      </x:c>
      <x:c r="D8" s="21" t="inlineStr">
        <x:is>
          <x:t xml:space="preserve"/>
        </x:is>
      </x:c>
      <x:c r="E8" s="21" t="inlineStr">
        <x:is>
          <x:t xml:space="preserve"/>
        </x:is>
      </x:c>
      <x:c r="F8" s="21" t="inlineStr">
        <x:is>
          <x:t xml:space="preserve">Not Yet</x:t>
        </x:is>
      </x:c>
      <x:c r="G8" s="21" t="inlineStr">
        <x:is>
          <x:t xml:space="preserve">Client safety education</x:t>
        </x:is>
      </x:c>
      <x:c r="H8" s="21" t="inlineStr">
        <x:is>
          <x:t xml:space="preserve">Sponsor/lead channel</x:t>
        </x:is>
      </x:c>
      <x:c r="I8" s="21" t="inlineStr">
        <x:is>
          <x:t xml:space="preserve">Sponsored road-safety content</x:t>
        </x:is>
      </x:c>
      <x:c r="J8" s="21" t="inlineStr">
        <x:is>
          <x:t xml:space="preserve">Prospect</x:t>
        </x:is>
      </x:c>
      <x:c r="K8" s="21" t="inlineStr">
        <x:is>
          <x:t xml:space="preserve">Request feedback call</x:t>
        </x:is>
      </x:c>
      <x:c r="L8" s="21" t="inlineStr">
        <x:is>
          <x:t xml:space="preserve"/>
        </x:is>
      </x:c>
      <x:c r="M8" s="21" t="inlineStr">
        <x:is>
          <x:t xml:space="preserve"/>
        </x:is>
      </x:c>
      <x:c r="N8" s="21" t="inlineStr">
        <x:is>
          <x:t xml:space="preserve"/>
        </x:is>
      </x:c>
      <x:c r="O8" s="21" t="inlineStr">
        <x:is>
          <x:t xml:space="preserve"/>
        </x:is>
      </x:c>
    </x:row>
    <x:row r="9" ht="44" customHeight="1">
      <x:c r="A9" s="7" t="inlineStr">
        <x:is>
          <x:t xml:space="preserve">P005</x:t>
        </x:is>
      </x:c>
      <x:c r="B9" s="21" t="inlineStr">
        <x:is>
          <x:t xml:space="preserve">Road safety/community organization</x:t>
        </x:is>
      </x:c>
      <x:c r="C9" s="21" t="inlineStr">
        <x:is>
          <x:t xml:space="preserve">NGO/Community</x:t>
        </x:is>
      </x:c>
      <x:c r="D9" s="21" t="inlineStr">
        <x:is>
          <x:t xml:space="preserve"/>
        </x:is>
      </x:c>
      <x:c r="E9" s="21" t="inlineStr">
        <x:is>
          <x:t xml:space="preserve"/>
        </x:is>
      </x:c>
      <x:c r="F9" s="21" t="inlineStr">
        <x:is>
          <x:t xml:space="preserve">Not Yet</x:t>
        </x:is>
      </x:c>
      <x:c r="G9" s="21" t="inlineStr">
        <x:is>
          <x:t xml:space="preserve">Amplify safety education</x:t>
        </x:is>
      </x:c>
      <x:c r="H9" s="21" t="inlineStr">
        <x:is>
          <x:t xml:space="preserve">Credibility/guidance</x:t>
        </x:is>
      </x:c>
      <x:c r="I9" s="21" t="inlineStr">
        <x:is>
          <x:t xml:space="preserve">Feedback/advisory conversation</x:t>
        </x:is>
      </x:c>
      <x:c r="J9" s="21" t="inlineStr">
        <x:is>
          <x:t xml:space="preserve">Prospect</x:t>
        </x:is>
      </x:c>
      <x:c r="K9" s="21" t="inlineStr">
        <x:is>
          <x:t xml:space="preserve">Ask for critique, not money</x:t>
        </x:is>
      </x:c>
      <x:c r="L9" s="21" t="inlineStr">
        <x:is>
          <x:t xml:space="preserve"/>
        </x:is>
      </x:c>
      <x:c r="M9" s="21" t="inlineStr">
        <x:is>
          <x:t xml:space="preserve"/>
        </x:is>
      </x:c>
      <x:c r="N9" s="21" t="inlineStr">
        <x:is>
          <x:t xml:space="preserve"/>
        </x:is>
      </x:c>
      <x:c r="O9" s="21" t="inlineStr">
        <x:is>
          <x:t xml:space="preserve"/>
        </x:is>
      </x:c>
    </x:row>
    <x:row r="10" ht="44" customHeight="1">
      <x:c r="A10" s="5" t="inlineStr">
        <x:is>
          <x:t xml:space="preserve">P006</x:t>
        </x:is>
      </x:c>
      <x:c r="B10" s="21" t="inlineStr">
        <x:is>
          <x:t xml:space="preserve"/>
        </x:is>
      </x:c>
      <x:c r="C10" s="21" t="inlineStr">
        <x:is>
          <x:t xml:space="preserve"/>
        </x:is>
      </x:c>
      <x:c r="D10" s="21" t="inlineStr">
        <x:is>
          <x:t xml:space="preserve"/>
        </x:is>
      </x:c>
      <x:c r="E10" s="21" t="inlineStr">
        <x:is>
          <x:t xml:space="preserve"/>
        </x:is>
      </x:c>
      <x:c r="F10" s="21" t="inlineStr">
        <x:is>
          <x:t xml:space="preserve">Not Yet</x:t>
        </x:is>
      </x:c>
      <x:c r="G10" s="21" t="inlineStr">
        <x:is>
          <x:t xml:space="preserve"/>
        </x:is>
      </x:c>
      <x:c r="H10" s="21" t="inlineStr">
        <x:is>
          <x:t xml:space="preserve"/>
        </x:is>
      </x:c>
      <x:c r="I10" s="21" t="inlineStr">
        <x:is>
          <x:t xml:space="preserve"/>
        </x:is>
      </x:c>
      <x:c r="J10" s="21" t="inlineStr">
        <x:is>
          <x:t xml:space="preserve">Prospect</x:t>
        </x:is>
      </x:c>
      <x:c r="K10" s="21" t="inlineStr">
        <x:is>
          <x:t xml:space="preserve"/>
        </x:is>
      </x:c>
      <x:c r="L10" s="21" t="inlineStr">
        <x:is>
          <x:t xml:space="preserve"/>
        </x:is>
      </x:c>
      <x:c r="M10" s="21" t="inlineStr">
        <x:is>
          <x:t xml:space="preserve"/>
        </x:is>
      </x:c>
      <x:c r="N10" s="21" t="inlineStr">
        <x:is>
          <x:t xml:space="preserve"/>
        </x:is>
      </x:c>
      <x:c r="O10" s="21" t="inlineStr">
        <x:is>
          <x:t xml:space="preserve"/>
        </x:is>
      </x:c>
    </x:row>
    <x:row r="11" ht="44" customHeight="1">
      <x:c r="A11" s="7" t="inlineStr">
        <x:is>
          <x:t xml:space="preserve">P007</x:t>
        </x:is>
      </x:c>
      <x:c r="B11" s="21" t="inlineStr">
        <x:is>
          <x:t xml:space="preserve"/>
        </x:is>
      </x:c>
      <x:c r="C11" s="21" t="inlineStr">
        <x:is>
          <x:t xml:space="preserve"/>
        </x:is>
      </x:c>
      <x:c r="D11" s="21" t="inlineStr">
        <x:is>
          <x:t xml:space="preserve"/>
        </x:is>
      </x:c>
      <x:c r="E11" s="21" t="inlineStr">
        <x:is>
          <x:t xml:space="preserve"/>
        </x:is>
      </x:c>
      <x:c r="F11" s="21" t="inlineStr">
        <x:is>
          <x:t xml:space="preserve">Not Yet</x:t>
        </x:is>
      </x:c>
      <x:c r="G11" s="21" t="inlineStr">
        <x:is>
          <x:t xml:space="preserve"/>
        </x:is>
      </x:c>
      <x:c r="H11" s="21" t="inlineStr">
        <x:is>
          <x:t xml:space="preserve"/>
        </x:is>
      </x:c>
      <x:c r="I11" s="21" t="inlineStr">
        <x:is>
          <x:t xml:space="preserve"/>
        </x:is>
      </x:c>
      <x:c r="J11" s="21" t="inlineStr">
        <x:is>
          <x:t xml:space="preserve">Prospect</x:t>
        </x:is>
      </x:c>
      <x:c r="K11" s="21" t="inlineStr">
        <x:is>
          <x:t xml:space="preserve"/>
        </x:is>
      </x:c>
      <x:c r="L11" s="21" t="inlineStr">
        <x:is>
          <x:t xml:space="preserve"/>
        </x:is>
      </x:c>
      <x:c r="M11" s="21" t="inlineStr">
        <x:is>
          <x:t xml:space="preserve"/>
        </x:is>
      </x:c>
      <x:c r="N11" s="21" t="inlineStr">
        <x:is>
          <x:t xml:space="preserve"/>
        </x:is>
      </x:c>
      <x:c r="O11" s="21" t="inlineStr">
        <x:is>
          <x:t xml:space="preserve"/>
        </x:is>
      </x:c>
    </x:row>
    <x:row r="12" ht="44" customHeight="1">
      <x:c r="A12" s="5" t="inlineStr">
        <x:is>
          <x:t xml:space="preserve">P008</x:t>
        </x:is>
      </x:c>
      <x:c r="B12" s="21" t="inlineStr">
        <x:is>
          <x:t xml:space="preserve"/>
        </x:is>
      </x:c>
      <x:c r="C12" s="21" t="inlineStr">
        <x:is>
          <x:t xml:space="preserve"/>
        </x:is>
      </x:c>
      <x:c r="D12" s="21" t="inlineStr">
        <x:is>
          <x:t xml:space="preserve"/>
        </x:is>
      </x:c>
      <x:c r="E12" s="21" t="inlineStr">
        <x:is>
          <x:t xml:space="preserve"/>
        </x:is>
      </x:c>
      <x:c r="F12" s="21" t="inlineStr">
        <x:is>
          <x:t xml:space="preserve">Not Yet</x:t>
        </x:is>
      </x:c>
      <x:c r="G12" s="21" t="inlineStr">
        <x:is>
          <x:t xml:space="preserve"/>
        </x:is>
      </x:c>
      <x:c r="H12" s="21" t="inlineStr">
        <x:is>
          <x:t xml:space="preserve"/>
        </x:is>
      </x:c>
      <x:c r="I12" s="21" t="inlineStr">
        <x:is>
          <x:t xml:space="preserve"/>
        </x:is>
      </x:c>
      <x:c r="J12" s="21" t="inlineStr">
        <x:is>
          <x:t xml:space="preserve">Prospect</x:t>
        </x:is>
      </x:c>
      <x:c r="K12" s="21" t="inlineStr">
        <x:is>
          <x:t xml:space="preserve"/>
        </x:is>
      </x:c>
      <x:c r="L12" s="21" t="inlineStr">
        <x:is>
          <x:t xml:space="preserve"/>
        </x:is>
      </x:c>
      <x:c r="M12" s="21" t="inlineStr">
        <x:is>
          <x:t xml:space="preserve"/>
        </x:is>
      </x:c>
      <x:c r="N12" s="21" t="inlineStr">
        <x:is>
          <x:t xml:space="preserve"/>
        </x:is>
      </x:c>
      <x:c r="O12" s="21" t="inlineStr">
        <x:is>
          <x:t xml:space="preserve"/>
        </x:is>
      </x:c>
    </x:row>
    <x:row r="13" ht="44" customHeight="1">
      <x:c r="A13" s="7" t="inlineStr">
        <x:is>
          <x:t xml:space="preserve">P009</x:t>
        </x:is>
      </x:c>
      <x:c r="B13" s="21" t="inlineStr">
        <x:is>
          <x:t xml:space="preserve"/>
        </x:is>
      </x:c>
      <x:c r="C13" s="21" t="inlineStr">
        <x:is>
          <x:t xml:space="preserve"/>
        </x:is>
      </x:c>
      <x:c r="D13" s="21" t="inlineStr">
        <x:is>
          <x:t xml:space="preserve"/>
        </x:is>
      </x:c>
      <x:c r="E13" s="21" t="inlineStr">
        <x:is>
          <x:t xml:space="preserve"/>
        </x:is>
      </x:c>
      <x:c r="F13" s="21" t="inlineStr">
        <x:is>
          <x:t xml:space="preserve">Not Yet</x:t>
        </x:is>
      </x:c>
      <x:c r="G13" s="21" t="inlineStr">
        <x:is>
          <x:t xml:space="preserve"/>
        </x:is>
      </x:c>
      <x:c r="H13" s="21" t="inlineStr">
        <x:is>
          <x:t xml:space="preserve"/>
        </x:is>
      </x:c>
      <x:c r="I13" s="21" t="inlineStr">
        <x:is>
          <x:t xml:space="preserve"/>
        </x:is>
      </x:c>
      <x:c r="J13" s="21" t="inlineStr">
        <x:is>
          <x:t xml:space="preserve">Prospect</x:t>
        </x:is>
      </x:c>
      <x:c r="K13" s="21" t="inlineStr">
        <x:is>
          <x:t xml:space="preserve"/>
        </x:is>
      </x:c>
      <x:c r="L13" s="21" t="inlineStr">
        <x:is>
          <x:t xml:space="preserve"/>
        </x:is>
      </x:c>
      <x:c r="M13" s="21" t="inlineStr">
        <x:is>
          <x:t xml:space="preserve"/>
        </x:is>
      </x:c>
      <x:c r="N13" s="21" t="inlineStr">
        <x:is>
          <x:t xml:space="preserve"/>
        </x:is>
      </x:c>
      <x:c r="O13" s="21" t="inlineStr">
        <x:is>
          <x:t xml:space="preserve"/>
        </x:is>
      </x:c>
    </x:row>
    <x:row r="14" ht="44" customHeight="1">
      <x:c r="A14" s="5" t="inlineStr">
        <x:is>
          <x:t xml:space="preserve">P010</x:t>
        </x:is>
      </x:c>
      <x:c r="B14" s="21" t="inlineStr">
        <x:is>
          <x:t xml:space="preserve"/>
        </x:is>
      </x:c>
      <x:c r="C14" s="21" t="inlineStr">
        <x:is>
          <x:t xml:space="preserve"/>
        </x:is>
      </x:c>
      <x:c r="D14" s="21" t="inlineStr">
        <x:is>
          <x:t xml:space="preserve"/>
        </x:is>
      </x:c>
      <x:c r="E14" s="21" t="inlineStr">
        <x:is>
          <x:t xml:space="preserve"/>
        </x:is>
      </x:c>
      <x:c r="F14" s="21" t="inlineStr">
        <x:is>
          <x:t xml:space="preserve">Not Yet</x:t>
        </x:is>
      </x:c>
      <x:c r="G14" s="21" t="inlineStr">
        <x:is>
          <x:t xml:space="preserve"/>
        </x:is>
      </x:c>
      <x:c r="H14" s="21" t="inlineStr">
        <x:is>
          <x:t xml:space="preserve"/>
        </x:is>
      </x:c>
      <x:c r="I14" s="21" t="inlineStr">
        <x:is>
          <x:t xml:space="preserve"/>
        </x:is>
      </x:c>
      <x:c r="J14" s="21" t="inlineStr">
        <x:is>
          <x:t xml:space="preserve">Prospect</x:t>
        </x:is>
      </x:c>
      <x:c r="K14" s="21" t="inlineStr">
        <x:is>
          <x:t xml:space="preserve"/>
        </x:is>
      </x:c>
      <x:c r="L14" s="21" t="inlineStr">
        <x:is>
          <x:t xml:space="preserve"/>
        </x:is>
      </x:c>
      <x:c r="M14" s="21" t="inlineStr">
        <x:is>
          <x:t xml:space="preserve"/>
        </x:is>
      </x:c>
      <x:c r="N14" s="21" t="inlineStr">
        <x:is>
          <x:t xml:space="preserve"/>
        </x:is>
      </x:c>
      <x:c r="O14" s="21" t="inlineStr">
        <x:is>
          <x:t xml:space="preserve"/>
        </x:is>
      </x:c>
    </x:row>
    <x:row r="15" ht="44" customHeight="1">
      <x:c r="A15" s="7" t="inlineStr">
        <x:is>
          <x:t xml:space="preserve">P011</x:t>
        </x:is>
      </x:c>
      <x:c r="B15" s="21" t="inlineStr">
        <x:is>
          <x:t xml:space="preserve"/>
        </x:is>
      </x:c>
      <x:c r="C15" s="21" t="inlineStr">
        <x:is>
          <x:t xml:space="preserve"/>
        </x:is>
      </x:c>
      <x:c r="D15" s="21" t="inlineStr">
        <x:is>
          <x:t xml:space="preserve"/>
        </x:is>
      </x:c>
      <x:c r="E15" s="21" t="inlineStr">
        <x:is>
          <x:t xml:space="preserve"/>
        </x:is>
      </x:c>
      <x:c r="F15" s="21" t="inlineStr">
        <x:is>
          <x:t xml:space="preserve">Not Yet</x:t>
        </x:is>
      </x:c>
      <x:c r="G15" s="21" t="inlineStr">
        <x:is>
          <x:t xml:space="preserve"/>
        </x:is>
      </x:c>
      <x:c r="H15" s="21" t="inlineStr">
        <x:is>
          <x:t xml:space="preserve"/>
        </x:is>
      </x:c>
      <x:c r="I15" s="21" t="inlineStr">
        <x:is>
          <x:t xml:space="preserve"/>
        </x:is>
      </x:c>
      <x:c r="J15" s="21" t="inlineStr">
        <x:is>
          <x:t xml:space="preserve">Prospect</x:t>
        </x:is>
      </x:c>
      <x:c r="K15" s="21" t="inlineStr">
        <x:is>
          <x:t xml:space="preserve"/>
        </x:is>
      </x:c>
      <x:c r="L15" s="21" t="inlineStr">
        <x:is>
          <x:t xml:space="preserve"/>
        </x:is>
      </x:c>
      <x:c r="M15" s="21" t="inlineStr">
        <x:is>
          <x:t xml:space="preserve"/>
        </x:is>
      </x:c>
      <x:c r="N15" s="21" t="inlineStr">
        <x:is>
          <x:t xml:space="preserve"/>
        </x:is>
      </x:c>
      <x:c r="O15" s="21" t="inlineStr">
        <x:is>
          <x:t xml:space="preserve"/>
        </x:is>
      </x:c>
    </x:row>
    <x:row r="16" ht="44" customHeight="1">
      <x:c r="A16" s="5" t="inlineStr">
        <x:is>
          <x:t xml:space="preserve">P012</x:t>
        </x:is>
      </x:c>
      <x:c r="B16" s="21" t="inlineStr">
        <x:is>
          <x:t xml:space="preserve"/>
        </x:is>
      </x:c>
      <x:c r="C16" s="21" t="inlineStr">
        <x:is>
          <x:t xml:space="preserve"/>
        </x:is>
      </x:c>
      <x:c r="D16" s="21" t="inlineStr">
        <x:is>
          <x:t xml:space="preserve"/>
        </x:is>
      </x:c>
      <x:c r="E16" s="21" t="inlineStr">
        <x:is>
          <x:t xml:space="preserve"/>
        </x:is>
      </x:c>
      <x:c r="F16" s="21" t="inlineStr">
        <x:is>
          <x:t xml:space="preserve">Not Yet</x:t>
        </x:is>
      </x:c>
      <x:c r="G16" s="21" t="inlineStr">
        <x:is>
          <x:t xml:space="preserve"/>
        </x:is>
      </x:c>
      <x:c r="H16" s="21" t="inlineStr">
        <x:is>
          <x:t xml:space="preserve"/>
        </x:is>
      </x:c>
      <x:c r="I16" s="21" t="inlineStr">
        <x:is>
          <x:t xml:space="preserve"/>
        </x:is>
      </x:c>
      <x:c r="J16" s="21" t="inlineStr">
        <x:is>
          <x:t xml:space="preserve">Prospect</x:t>
        </x:is>
      </x:c>
      <x:c r="K16" s="21" t="inlineStr">
        <x:is>
          <x:t xml:space="preserve"/>
        </x:is>
      </x:c>
      <x:c r="L16" s="21" t="inlineStr">
        <x:is>
          <x:t xml:space="preserve"/>
        </x:is>
      </x:c>
      <x:c r="M16" s="21" t="inlineStr">
        <x:is>
          <x:t xml:space="preserve"/>
        </x:is>
      </x:c>
      <x:c r="N16" s="21" t="inlineStr">
        <x:is>
          <x:t xml:space="preserve"/>
        </x:is>
      </x:c>
      <x:c r="O16" s="21" t="inlineStr">
        <x:is>
          <x:t xml:space="preserve"/>
        </x:is>
      </x:c>
    </x:row>
    <x:row r="17" ht="44" customHeight="1">
      <x:c r="A17" s="7" t="inlineStr">
        <x:is>
          <x:t xml:space="preserve">P013</x:t>
        </x:is>
      </x:c>
      <x:c r="B17" s="21" t="inlineStr">
        <x:is>
          <x:t xml:space="preserve"/>
        </x:is>
      </x:c>
      <x:c r="C17" s="21" t="inlineStr">
        <x:is>
          <x:t xml:space="preserve"/>
        </x:is>
      </x:c>
      <x:c r="D17" s="21" t="inlineStr">
        <x:is>
          <x:t xml:space="preserve"/>
        </x:is>
      </x:c>
      <x:c r="E17" s="21" t="inlineStr">
        <x:is>
          <x:t xml:space="preserve"/>
        </x:is>
      </x:c>
      <x:c r="F17" s="21" t="inlineStr">
        <x:is>
          <x:t xml:space="preserve">Not Yet</x:t>
        </x:is>
      </x:c>
      <x:c r="G17" s="21" t="inlineStr">
        <x:is>
          <x:t xml:space="preserve"/>
        </x:is>
      </x:c>
      <x:c r="H17" s="21" t="inlineStr">
        <x:is>
          <x:t xml:space="preserve"/>
        </x:is>
      </x:c>
      <x:c r="I17" s="21" t="inlineStr">
        <x:is>
          <x:t xml:space="preserve"/>
        </x:is>
      </x:c>
      <x:c r="J17" s="21" t="inlineStr">
        <x:is>
          <x:t xml:space="preserve">Prospect</x:t>
        </x:is>
      </x:c>
      <x:c r="K17" s="21" t="inlineStr">
        <x:is>
          <x:t xml:space="preserve"/>
        </x:is>
      </x:c>
      <x:c r="L17" s="21" t="inlineStr">
        <x:is>
          <x:t xml:space="preserve"/>
        </x:is>
      </x:c>
      <x:c r="M17" s="21" t="inlineStr">
        <x:is>
          <x:t xml:space="preserve"/>
        </x:is>
      </x:c>
      <x:c r="N17" s="21" t="inlineStr">
        <x:is>
          <x:t xml:space="preserve"/>
        </x:is>
      </x:c>
      <x:c r="O17" s="21" t="inlineStr">
        <x:is>
          <x:t xml:space="preserve"/>
        </x:is>
      </x:c>
    </x:row>
    <x:row r="18" ht="44" customHeight="1">
      <x:c r="A18" s="5" t="inlineStr">
        <x:is>
          <x:t xml:space="preserve">P014</x:t>
        </x:is>
      </x:c>
      <x:c r="B18" s="21" t="inlineStr">
        <x:is>
          <x:t xml:space="preserve"/>
        </x:is>
      </x:c>
      <x:c r="C18" s="21" t="inlineStr">
        <x:is>
          <x:t xml:space="preserve"/>
        </x:is>
      </x:c>
      <x:c r="D18" s="21" t="inlineStr">
        <x:is>
          <x:t xml:space="preserve"/>
        </x:is>
      </x:c>
      <x:c r="E18" s="21" t="inlineStr">
        <x:is>
          <x:t xml:space="preserve"/>
        </x:is>
      </x:c>
      <x:c r="F18" s="21" t="inlineStr">
        <x:is>
          <x:t xml:space="preserve">Not Yet</x:t>
        </x:is>
      </x:c>
      <x:c r="G18" s="21" t="inlineStr">
        <x:is>
          <x:t xml:space="preserve"/>
        </x:is>
      </x:c>
      <x:c r="H18" s="21" t="inlineStr">
        <x:is>
          <x:t xml:space="preserve"/>
        </x:is>
      </x:c>
      <x:c r="I18" s="21" t="inlineStr">
        <x:is>
          <x:t xml:space="preserve"/>
        </x:is>
      </x:c>
      <x:c r="J18" s="21" t="inlineStr">
        <x:is>
          <x:t xml:space="preserve">Prospect</x:t>
        </x:is>
      </x:c>
      <x:c r="K18" s="21" t="inlineStr">
        <x:is>
          <x:t xml:space="preserve"/>
        </x:is>
      </x:c>
      <x:c r="L18" s="21" t="inlineStr">
        <x:is>
          <x:t xml:space="preserve"/>
        </x:is>
      </x:c>
      <x:c r="M18" s="21" t="inlineStr">
        <x:is>
          <x:t xml:space="preserve"/>
        </x:is>
      </x:c>
      <x:c r="N18" s="21" t="inlineStr">
        <x:is>
          <x:t xml:space="preserve"/>
        </x:is>
      </x:c>
      <x:c r="O18" s="21" t="inlineStr">
        <x:is>
          <x:t xml:space="preserve"/>
        </x:is>
      </x:c>
    </x:row>
    <x:row r="19" ht="44" customHeight="1">
      <x:c r="A19" s="7" t="inlineStr">
        <x:is>
          <x:t xml:space="preserve">P015</x:t>
        </x:is>
      </x:c>
      <x:c r="B19" s="21" t="inlineStr">
        <x:is>
          <x:t xml:space="preserve"/>
        </x:is>
      </x:c>
      <x:c r="C19" s="21" t="inlineStr">
        <x:is>
          <x:t xml:space="preserve"/>
        </x:is>
      </x:c>
      <x:c r="D19" s="21" t="inlineStr">
        <x:is>
          <x:t xml:space="preserve"/>
        </x:is>
      </x:c>
      <x:c r="E19" s="21" t="inlineStr">
        <x:is>
          <x:t xml:space="preserve"/>
        </x:is>
      </x:c>
      <x:c r="F19" s="21" t="inlineStr">
        <x:is>
          <x:t xml:space="preserve">Not Yet</x:t>
        </x:is>
      </x:c>
      <x:c r="G19" s="21" t="inlineStr">
        <x:is>
          <x:t xml:space="preserve"/>
        </x:is>
      </x:c>
      <x:c r="H19" s="21" t="inlineStr">
        <x:is>
          <x:t xml:space="preserve"/>
        </x:is>
      </x:c>
      <x:c r="I19" s="21" t="inlineStr">
        <x:is>
          <x:t xml:space="preserve"/>
        </x:is>
      </x:c>
      <x:c r="J19" s="21" t="inlineStr">
        <x:is>
          <x:t xml:space="preserve">Prospect</x:t>
        </x:is>
      </x:c>
      <x:c r="K19" s="21" t="inlineStr">
        <x:is>
          <x:t xml:space="preserve"/>
        </x:is>
      </x:c>
      <x:c r="L19" s="21" t="inlineStr">
        <x:is>
          <x:t xml:space="preserve"/>
        </x:is>
      </x:c>
      <x:c r="M19" s="21" t="inlineStr">
        <x:is>
          <x:t xml:space="preserve"/>
        </x:is>
      </x:c>
      <x:c r="N19" s="21" t="inlineStr">
        <x:is>
          <x:t xml:space="preserve"/>
        </x:is>
      </x:c>
      <x:c r="O19" s="21" t="inlineStr">
        <x:is>
          <x:t xml:space="preserve"/>
        </x:is>
      </x:c>
    </x:row>
    <x:row r="20" ht="44" customHeight="1">
      <x:c r="A20" s="5" t="inlineStr">
        <x:is>
          <x:t xml:space="preserve">P016</x:t>
        </x:is>
      </x:c>
      <x:c r="B20" s="21" t="inlineStr">
        <x:is>
          <x:t xml:space="preserve"/>
        </x:is>
      </x:c>
      <x:c r="C20" s="21" t="inlineStr">
        <x:is>
          <x:t xml:space="preserve"/>
        </x:is>
      </x:c>
      <x:c r="D20" s="21" t="inlineStr">
        <x:is>
          <x:t xml:space="preserve"/>
        </x:is>
      </x:c>
      <x:c r="E20" s="21" t="inlineStr">
        <x:is>
          <x:t xml:space="preserve"/>
        </x:is>
      </x:c>
      <x:c r="F20" s="21" t="inlineStr">
        <x:is>
          <x:t xml:space="preserve">Not Yet</x:t>
        </x:is>
      </x:c>
      <x:c r="G20" s="21" t="inlineStr">
        <x:is>
          <x:t xml:space="preserve"/>
        </x:is>
      </x:c>
      <x:c r="H20" s="21" t="inlineStr">
        <x:is>
          <x:t xml:space="preserve"/>
        </x:is>
      </x:c>
      <x:c r="I20" s="21" t="inlineStr">
        <x:is>
          <x:t xml:space="preserve"/>
        </x:is>
      </x:c>
      <x:c r="J20" s="21" t="inlineStr">
        <x:is>
          <x:t xml:space="preserve">Prospect</x:t>
        </x:is>
      </x:c>
      <x:c r="K20" s="21" t="inlineStr">
        <x:is>
          <x:t xml:space="preserve"/>
        </x:is>
      </x:c>
      <x:c r="L20" s="21" t="inlineStr">
        <x:is>
          <x:t xml:space="preserve"/>
        </x:is>
      </x:c>
      <x:c r="M20" s="21" t="inlineStr">
        <x:is>
          <x:t xml:space="preserve"/>
        </x:is>
      </x:c>
      <x:c r="N20" s="21" t="inlineStr">
        <x:is>
          <x:t xml:space="preserve"/>
        </x:is>
      </x:c>
      <x:c r="O20" s="21" t="inlineStr">
        <x:is>
          <x:t xml:space="preserve"/>
        </x:is>
      </x:c>
    </x:row>
    <x:row r="21" ht="44" customHeight="1">
      <x:c r="A21" s="7" t="inlineStr">
        <x:is>
          <x:t xml:space="preserve">P017</x:t>
        </x:is>
      </x:c>
      <x:c r="B21" s="21" t="inlineStr">
        <x:is>
          <x:t xml:space="preserve"/>
        </x:is>
      </x:c>
      <x:c r="C21" s="21" t="inlineStr">
        <x:is>
          <x:t xml:space="preserve"/>
        </x:is>
      </x:c>
      <x:c r="D21" s="21" t="inlineStr">
        <x:is>
          <x:t xml:space="preserve"/>
        </x:is>
      </x:c>
      <x:c r="E21" s="21" t="inlineStr">
        <x:is>
          <x:t xml:space="preserve"/>
        </x:is>
      </x:c>
      <x:c r="F21" s="21" t="inlineStr">
        <x:is>
          <x:t xml:space="preserve">Not Yet</x:t>
        </x:is>
      </x:c>
      <x:c r="G21" s="21" t="inlineStr">
        <x:is>
          <x:t xml:space="preserve"/>
        </x:is>
      </x:c>
      <x:c r="H21" s="21" t="inlineStr">
        <x:is>
          <x:t xml:space="preserve"/>
        </x:is>
      </x:c>
      <x:c r="I21" s="21" t="inlineStr">
        <x:is>
          <x:t xml:space="preserve"/>
        </x:is>
      </x:c>
      <x:c r="J21" s="21" t="inlineStr">
        <x:is>
          <x:t xml:space="preserve">Prospect</x:t>
        </x:is>
      </x:c>
      <x:c r="K21" s="21" t="inlineStr">
        <x:is>
          <x:t xml:space="preserve"/>
        </x:is>
      </x:c>
      <x:c r="L21" s="21" t="inlineStr">
        <x:is>
          <x:t xml:space="preserve"/>
        </x:is>
      </x:c>
      <x:c r="M21" s="21" t="inlineStr">
        <x:is>
          <x:t xml:space="preserve"/>
        </x:is>
      </x:c>
      <x:c r="N21" s="21" t="inlineStr">
        <x:is>
          <x:t xml:space="preserve"/>
        </x:is>
      </x:c>
      <x:c r="O21" s="21" t="inlineStr">
        <x:is>
          <x:t xml:space="preserve"/>
        </x:is>
      </x:c>
    </x:row>
    <x:row r="22" ht="44" customHeight="1">
      <x:c r="A22" s="5" t="inlineStr">
        <x:is>
          <x:t xml:space="preserve">P018</x:t>
        </x:is>
      </x:c>
      <x:c r="B22" s="21" t="inlineStr">
        <x:is>
          <x:t xml:space="preserve"/>
        </x:is>
      </x:c>
      <x:c r="C22" s="21" t="inlineStr">
        <x:is>
          <x:t xml:space="preserve"/>
        </x:is>
      </x:c>
      <x:c r="D22" s="21" t="inlineStr">
        <x:is>
          <x:t xml:space="preserve"/>
        </x:is>
      </x:c>
      <x:c r="E22" s="21" t="inlineStr">
        <x:is>
          <x:t xml:space="preserve"/>
        </x:is>
      </x:c>
      <x:c r="F22" s="21" t="inlineStr">
        <x:is>
          <x:t xml:space="preserve">Not Yet</x:t>
        </x:is>
      </x:c>
      <x:c r="G22" s="21" t="inlineStr">
        <x:is>
          <x:t xml:space="preserve"/>
        </x:is>
      </x:c>
      <x:c r="H22" s="21" t="inlineStr">
        <x:is>
          <x:t xml:space="preserve"/>
        </x:is>
      </x:c>
      <x:c r="I22" s="21" t="inlineStr">
        <x:is>
          <x:t xml:space="preserve"/>
        </x:is>
      </x:c>
      <x:c r="J22" s="21" t="inlineStr">
        <x:is>
          <x:t xml:space="preserve">Prospect</x:t>
        </x:is>
      </x:c>
      <x:c r="K22" s="21" t="inlineStr">
        <x:is>
          <x:t xml:space="preserve"/>
        </x:is>
      </x:c>
      <x:c r="L22" s="21" t="inlineStr">
        <x:is>
          <x:t xml:space="preserve"/>
        </x:is>
      </x:c>
      <x:c r="M22" s="21" t="inlineStr">
        <x:is>
          <x:t xml:space="preserve"/>
        </x:is>
      </x:c>
      <x:c r="N22" s="21" t="inlineStr">
        <x:is>
          <x:t xml:space="preserve"/>
        </x:is>
      </x:c>
      <x:c r="O22" s="21" t="inlineStr">
        <x:is>
          <x:t xml:space="preserve"/>
        </x:is>
      </x:c>
    </x:row>
    <x:row r="23" ht="44" customHeight="1">
      <x:c r="A23" s="7" t="inlineStr">
        <x:is>
          <x:t xml:space="preserve">P019</x:t>
        </x:is>
      </x:c>
      <x:c r="B23" s="21" t="inlineStr">
        <x:is>
          <x:t xml:space="preserve"/>
        </x:is>
      </x:c>
      <x:c r="C23" s="21" t="inlineStr">
        <x:is>
          <x:t xml:space="preserve"/>
        </x:is>
      </x:c>
      <x:c r="D23" s="21" t="inlineStr">
        <x:is>
          <x:t xml:space="preserve"/>
        </x:is>
      </x:c>
      <x:c r="E23" s="21" t="inlineStr">
        <x:is>
          <x:t xml:space="preserve"/>
        </x:is>
      </x:c>
      <x:c r="F23" s="21" t="inlineStr">
        <x:is>
          <x:t xml:space="preserve">Not Yet</x:t>
        </x:is>
      </x:c>
      <x:c r="G23" s="21" t="inlineStr">
        <x:is>
          <x:t xml:space="preserve"/>
        </x:is>
      </x:c>
      <x:c r="H23" s="21" t="inlineStr">
        <x:is>
          <x:t xml:space="preserve"/>
        </x:is>
      </x:c>
      <x:c r="I23" s="21" t="inlineStr">
        <x:is>
          <x:t xml:space="preserve"/>
        </x:is>
      </x:c>
      <x:c r="J23" s="21" t="inlineStr">
        <x:is>
          <x:t xml:space="preserve">Prospect</x:t>
        </x:is>
      </x:c>
      <x:c r="K23" s="21" t="inlineStr">
        <x:is>
          <x:t xml:space="preserve"/>
        </x:is>
      </x:c>
      <x:c r="L23" s="21" t="inlineStr">
        <x:is>
          <x:t xml:space="preserve"/>
        </x:is>
      </x:c>
      <x:c r="M23" s="21" t="inlineStr">
        <x:is>
          <x:t xml:space="preserve"/>
        </x:is>
      </x:c>
      <x:c r="N23" s="21" t="inlineStr">
        <x:is>
          <x:t xml:space="preserve"/>
        </x:is>
      </x:c>
      <x:c r="O23" s="21" t="inlineStr">
        <x:is>
          <x:t xml:space="preserve"/>
        </x:is>
      </x:c>
    </x:row>
    <x:row r="24" ht="44" customHeight="1">
      <x:c r="A24" s="5" t="inlineStr">
        <x:is>
          <x:t xml:space="preserve">P020</x:t>
        </x:is>
      </x:c>
      <x:c r="B24" s="21" t="inlineStr">
        <x:is>
          <x:t xml:space="preserve"/>
        </x:is>
      </x:c>
      <x:c r="C24" s="21" t="inlineStr">
        <x:is>
          <x:t xml:space="preserve"/>
        </x:is>
      </x:c>
      <x:c r="D24" s="21" t="inlineStr">
        <x:is>
          <x:t xml:space="preserve"/>
        </x:is>
      </x:c>
      <x:c r="E24" s="21" t="inlineStr">
        <x:is>
          <x:t xml:space="preserve"/>
        </x:is>
      </x:c>
      <x:c r="F24" s="21" t="inlineStr">
        <x:is>
          <x:t xml:space="preserve">Not Yet</x:t>
        </x:is>
      </x:c>
      <x:c r="G24" s="21" t="inlineStr">
        <x:is>
          <x:t xml:space="preserve"/>
        </x:is>
      </x:c>
      <x:c r="H24" s="21" t="inlineStr">
        <x:is>
          <x:t xml:space="preserve"/>
        </x:is>
      </x:c>
      <x:c r="I24" s="21" t="inlineStr">
        <x:is>
          <x:t xml:space="preserve"/>
        </x:is>
      </x:c>
      <x:c r="J24" s="21" t="inlineStr">
        <x:is>
          <x:t xml:space="preserve">Prospect</x:t>
        </x:is>
      </x:c>
      <x:c r="K24" s="21" t="inlineStr">
        <x:is>
          <x:t xml:space="preserve"/>
        </x:is>
      </x:c>
      <x:c r="L24" s="21" t="inlineStr">
        <x:is>
          <x:t xml:space="preserve"/>
        </x:is>
      </x:c>
      <x:c r="M24" s="21" t="inlineStr">
        <x:is>
          <x:t xml:space="preserve"/>
        </x:is>
      </x:c>
      <x:c r="N24" s="21" t="inlineStr">
        <x:is>
          <x:t xml:space="preserve"/>
        </x:is>
      </x:c>
      <x:c r="O24" s="21" t="inlineStr">
        <x:is>
          <x:t xml:space="preserve"/>
        </x:is>
      </x:c>
    </x:row>
    <x:row r="25" ht="44" customHeight="1">
      <x:c r="A25" s="7" t="inlineStr">
        <x:is>
          <x:t xml:space="preserve">P021</x:t>
        </x:is>
      </x:c>
      <x:c r="B25" s="21" t="inlineStr">
        <x:is>
          <x:t xml:space="preserve"/>
        </x:is>
      </x:c>
      <x:c r="C25" s="21" t="inlineStr">
        <x:is>
          <x:t xml:space="preserve"/>
        </x:is>
      </x:c>
      <x:c r="D25" s="21" t="inlineStr">
        <x:is>
          <x:t xml:space="preserve"/>
        </x:is>
      </x:c>
      <x:c r="E25" s="21" t="inlineStr">
        <x:is>
          <x:t xml:space="preserve"/>
        </x:is>
      </x:c>
      <x:c r="F25" s="21" t="inlineStr">
        <x:is>
          <x:t xml:space="preserve">Not Yet</x:t>
        </x:is>
      </x:c>
      <x:c r="G25" s="21" t="inlineStr">
        <x:is>
          <x:t xml:space="preserve"/>
        </x:is>
      </x:c>
      <x:c r="H25" s="21" t="inlineStr">
        <x:is>
          <x:t xml:space="preserve"/>
        </x:is>
      </x:c>
      <x:c r="I25" s="21" t="inlineStr">
        <x:is>
          <x:t xml:space="preserve"/>
        </x:is>
      </x:c>
      <x:c r="J25" s="21" t="inlineStr">
        <x:is>
          <x:t xml:space="preserve">Prospect</x:t>
        </x:is>
      </x:c>
      <x:c r="K25" s="21" t="inlineStr">
        <x:is>
          <x:t xml:space="preserve"/>
        </x:is>
      </x:c>
      <x:c r="L25" s="21" t="inlineStr">
        <x:is>
          <x:t xml:space="preserve"/>
        </x:is>
      </x:c>
      <x:c r="M25" s="21" t="inlineStr">
        <x:is>
          <x:t xml:space="preserve"/>
        </x:is>
      </x:c>
      <x:c r="N25" s="21" t="inlineStr">
        <x:is>
          <x:t xml:space="preserve"/>
        </x:is>
      </x:c>
      <x:c r="O25" s="21" t="inlineStr">
        <x:is>
          <x:t xml:space="preserve"/>
        </x:is>
      </x:c>
    </x:row>
    <x:row r="26" ht="44" customHeight="1">
      <x:c r="A26" s="5" t="inlineStr">
        <x:is>
          <x:t xml:space="preserve">P022</x:t>
        </x:is>
      </x:c>
      <x:c r="B26" s="21" t="inlineStr">
        <x:is>
          <x:t xml:space="preserve"/>
        </x:is>
      </x:c>
      <x:c r="C26" s="21" t="inlineStr">
        <x:is>
          <x:t xml:space="preserve"/>
        </x:is>
      </x:c>
      <x:c r="D26" s="21" t="inlineStr">
        <x:is>
          <x:t xml:space="preserve"/>
        </x:is>
      </x:c>
      <x:c r="E26" s="21" t="inlineStr">
        <x:is>
          <x:t xml:space="preserve"/>
        </x:is>
      </x:c>
      <x:c r="F26" s="21" t="inlineStr">
        <x:is>
          <x:t xml:space="preserve">Not Yet</x:t>
        </x:is>
      </x:c>
      <x:c r="G26" s="21" t="inlineStr">
        <x:is>
          <x:t xml:space="preserve"/>
        </x:is>
      </x:c>
      <x:c r="H26" s="21" t="inlineStr">
        <x:is>
          <x:t xml:space="preserve"/>
        </x:is>
      </x:c>
      <x:c r="I26" s="21" t="inlineStr">
        <x:is>
          <x:t xml:space="preserve"/>
        </x:is>
      </x:c>
      <x:c r="J26" s="21" t="inlineStr">
        <x:is>
          <x:t xml:space="preserve">Prospect</x:t>
        </x:is>
      </x:c>
      <x:c r="K26" s="21" t="inlineStr">
        <x:is>
          <x:t xml:space="preserve"/>
        </x:is>
      </x:c>
      <x:c r="L26" s="21" t="inlineStr">
        <x:is>
          <x:t xml:space="preserve"/>
        </x:is>
      </x:c>
      <x:c r="M26" s="21" t="inlineStr">
        <x:is>
          <x:t xml:space="preserve"/>
        </x:is>
      </x:c>
      <x:c r="N26" s="21" t="inlineStr">
        <x:is>
          <x:t xml:space="preserve"/>
        </x:is>
      </x:c>
      <x:c r="O26" s="21" t="inlineStr">
        <x:is>
          <x:t xml:space="preserve"/>
        </x:is>
      </x:c>
    </x:row>
    <x:row r="27" ht="44" customHeight="1">
      <x:c r="A27" s="7" t="inlineStr">
        <x:is>
          <x:t xml:space="preserve">P023</x:t>
        </x:is>
      </x:c>
      <x:c r="B27" s="21" t="inlineStr">
        <x:is>
          <x:t xml:space="preserve"/>
        </x:is>
      </x:c>
      <x:c r="C27" s="21" t="inlineStr">
        <x:is>
          <x:t xml:space="preserve"/>
        </x:is>
      </x:c>
      <x:c r="D27" s="21" t="inlineStr">
        <x:is>
          <x:t xml:space="preserve"/>
        </x:is>
      </x:c>
      <x:c r="E27" s="21" t="inlineStr">
        <x:is>
          <x:t xml:space="preserve"/>
        </x:is>
      </x:c>
      <x:c r="F27" s="21" t="inlineStr">
        <x:is>
          <x:t xml:space="preserve">Not Yet</x:t>
        </x:is>
      </x:c>
      <x:c r="G27" s="21" t="inlineStr">
        <x:is>
          <x:t xml:space="preserve"/>
        </x:is>
      </x:c>
      <x:c r="H27" s="21" t="inlineStr">
        <x:is>
          <x:t xml:space="preserve"/>
        </x:is>
      </x:c>
      <x:c r="I27" s="21" t="inlineStr">
        <x:is>
          <x:t xml:space="preserve"/>
        </x:is>
      </x:c>
      <x:c r="J27" s="21" t="inlineStr">
        <x:is>
          <x:t xml:space="preserve">Prospect</x:t>
        </x:is>
      </x:c>
      <x:c r="K27" s="21" t="inlineStr">
        <x:is>
          <x:t xml:space="preserve"/>
        </x:is>
      </x:c>
      <x:c r="L27" s="21" t="inlineStr">
        <x:is>
          <x:t xml:space="preserve"/>
        </x:is>
      </x:c>
      <x:c r="M27" s="21" t="inlineStr">
        <x:is>
          <x:t xml:space="preserve"/>
        </x:is>
      </x:c>
      <x:c r="N27" s="21" t="inlineStr">
        <x:is>
          <x:t xml:space="preserve"/>
        </x:is>
      </x:c>
      <x:c r="O27" s="21" t="inlineStr">
        <x:is>
          <x:t xml:space="preserve"/>
        </x:is>
      </x:c>
    </x:row>
    <x:row r="28" ht="44" customHeight="1">
      <x:c r="A28" s="5" t="inlineStr">
        <x:is>
          <x:t xml:space="preserve">P024</x:t>
        </x:is>
      </x:c>
      <x:c r="B28" s="21" t="inlineStr">
        <x:is>
          <x:t xml:space="preserve"/>
        </x:is>
      </x:c>
      <x:c r="C28" s="21" t="inlineStr">
        <x:is>
          <x:t xml:space="preserve"/>
        </x:is>
      </x:c>
      <x:c r="D28" s="21" t="inlineStr">
        <x:is>
          <x:t xml:space="preserve"/>
        </x:is>
      </x:c>
      <x:c r="E28" s="21" t="inlineStr">
        <x:is>
          <x:t xml:space="preserve"/>
        </x:is>
      </x:c>
      <x:c r="F28" s="21" t="inlineStr">
        <x:is>
          <x:t xml:space="preserve">Not Yet</x:t>
        </x:is>
      </x:c>
      <x:c r="G28" s="21" t="inlineStr">
        <x:is>
          <x:t xml:space="preserve"/>
        </x:is>
      </x:c>
      <x:c r="H28" s="21" t="inlineStr">
        <x:is>
          <x:t xml:space="preserve"/>
        </x:is>
      </x:c>
      <x:c r="I28" s="21" t="inlineStr">
        <x:is>
          <x:t xml:space="preserve"/>
        </x:is>
      </x:c>
      <x:c r="J28" s="21" t="inlineStr">
        <x:is>
          <x:t xml:space="preserve">Prospect</x:t>
        </x:is>
      </x:c>
      <x:c r="K28" s="21" t="inlineStr">
        <x:is>
          <x:t xml:space="preserve"/>
        </x:is>
      </x:c>
      <x:c r="L28" s="21" t="inlineStr">
        <x:is>
          <x:t xml:space="preserve"/>
        </x:is>
      </x:c>
      <x:c r="M28" s="21" t="inlineStr">
        <x:is>
          <x:t xml:space="preserve"/>
        </x:is>
      </x:c>
      <x:c r="N28" s="21" t="inlineStr">
        <x:is>
          <x:t xml:space="preserve"/>
        </x:is>
      </x:c>
      <x:c r="O28" s="21" t="inlineStr">
        <x:is>
          <x:t xml:space="preserve"/>
        </x:is>
      </x:c>
    </x:row>
    <x:row r="29" ht="44" customHeight="1">
      <x:c r="A29" s="7" t="inlineStr">
        <x:is>
          <x:t xml:space="preserve">P025</x:t>
        </x:is>
      </x:c>
      <x:c r="B29" s="21" t="inlineStr">
        <x:is>
          <x:t xml:space="preserve"/>
        </x:is>
      </x:c>
      <x:c r="C29" s="21" t="inlineStr">
        <x:is>
          <x:t xml:space="preserve"/>
        </x:is>
      </x:c>
      <x:c r="D29" s="21" t="inlineStr">
        <x:is>
          <x:t xml:space="preserve"/>
        </x:is>
      </x:c>
      <x:c r="E29" s="21" t="inlineStr">
        <x:is>
          <x:t xml:space="preserve"/>
        </x:is>
      </x:c>
      <x:c r="F29" s="21" t="inlineStr">
        <x:is>
          <x:t xml:space="preserve">Not Yet</x:t>
        </x:is>
      </x:c>
      <x:c r="G29" s="21" t="inlineStr">
        <x:is>
          <x:t xml:space="preserve"/>
        </x:is>
      </x:c>
      <x:c r="H29" s="21" t="inlineStr">
        <x:is>
          <x:t xml:space="preserve"/>
        </x:is>
      </x:c>
      <x:c r="I29" s="21" t="inlineStr">
        <x:is>
          <x:t xml:space="preserve"/>
        </x:is>
      </x:c>
      <x:c r="J29" s="21" t="inlineStr">
        <x:is>
          <x:t xml:space="preserve">Prospect</x:t>
        </x:is>
      </x:c>
      <x:c r="K29" s="21" t="inlineStr">
        <x:is>
          <x:t xml:space="preserve"/>
        </x:is>
      </x:c>
      <x:c r="L29" s="21" t="inlineStr">
        <x:is>
          <x:t xml:space="preserve"/>
        </x:is>
      </x:c>
      <x:c r="M29" s="21" t="inlineStr">
        <x:is>
          <x:t xml:space="preserve"/>
        </x:is>
      </x:c>
      <x:c r="N29" s="21" t="inlineStr">
        <x:is>
          <x:t xml:space="preserve"/>
        </x:is>
      </x:c>
      <x:c r="O29" s="21" t="inlineStr">
        <x:is>
          <x:t xml:space="preserve"/>
        </x:is>
      </x:c>
    </x:row>
    <x:row r="30" ht="44" customHeight="1">
      <x:c r="A30" s="5" t="inlineStr">
        <x:is>
          <x:t xml:space="preserve">P026</x:t>
        </x:is>
      </x:c>
      <x:c r="B30" s="21" t="inlineStr">
        <x:is>
          <x:t xml:space="preserve"/>
        </x:is>
      </x:c>
      <x:c r="C30" s="21" t="inlineStr">
        <x:is>
          <x:t xml:space="preserve"/>
        </x:is>
      </x:c>
      <x:c r="D30" s="21" t="inlineStr">
        <x:is>
          <x:t xml:space="preserve"/>
        </x:is>
      </x:c>
      <x:c r="E30" s="21" t="inlineStr">
        <x:is>
          <x:t xml:space="preserve"/>
        </x:is>
      </x:c>
      <x:c r="F30" s="21" t="inlineStr">
        <x:is>
          <x:t xml:space="preserve">Not Yet</x:t>
        </x:is>
      </x:c>
      <x:c r="G30" s="21" t="inlineStr">
        <x:is>
          <x:t xml:space="preserve"/>
        </x:is>
      </x:c>
      <x:c r="H30" s="21" t="inlineStr">
        <x:is>
          <x:t xml:space="preserve"/>
        </x:is>
      </x:c>
      <x:c r="I30" s="21" t="inlineStr">
        <x:is>
          <x:t xml:space="preserve"/>
        </x:is>
      </x:c>
      <x:c r="J30" s="21" t="inlineStr">
        <x:is>
          <x:t xml:space="preserve">Prospect</x:t>
        </x:is>
      </x:c>
      <x:c r="K30" s="21" t="inlineStr">
        <x:is>
          <x:t xml:space="preserve"/>
        </x:is>
      </x:c>
      <x:c r="L30" s="21" t="inlineStr">
        <x:is>
          <x:t xml:space="preserve"/>
        </x:is>
      </x:c>
      <x:c r="M30" s="21" t="inlineStr">
        <x:is>
          <x:t xml:space="preserve"/>
        </x:is>
      </x:c>
      <x:c r="N30" s="21" t="inlineStr">
        <x:is>
          <x:t xml:space="preserve"/>
        </x:is>
      </x:c>
      <x:c r="O30" s="21" t="inlineStr">
        <x:is>
          <x:t xml:space="preserve"/>
        </x:is>
      </x:c>
    </x:row>
    <x:row r="31" ht="44" customHeight="1">
      <x:c r="A31" s="7" t="inlineStr">
        <x:is>
          <x:t xml:space="preserve">P027</x:t>
        </x:is>
      </x:c>
      <x:c r="B31" s="21" t="inlineStr">
        <x:is>
          <x:t xml:space="preserve"/>
        </x:is>
      </x:c>
      <x:c r="C31" s="21" t="inlineStr">
        <x:is>
          <x:t xml:space="preserve"/>
        </x:is>
      </x:c>
      <x:c r="D31" s="21" t="inlineStr">
        <x:is>
          <x:t xml:space="preserve"/>
        </x:is>
      </x:c>
      <x:c r="E31" s="21" t="inlineStr">
        <x:is>
          <x:t xml:space="preserve"/>
        </x:is>
      </x:c>
      <x:c r="F31" s="21" t="inlineStr">
        <x:is>
          <x:t xml:space="preserve">Not Yet</x:t>
        </x:is>
      </x:c>
      <x:c r="G31" s="21" t="inlineStr">
        <x:is>
          <x:t xml:space="preserve"/>
        </x:is>
      </x:c>
      <x:c r="H31" s="21" t="inlineStr">
        <x:is>
          <x:t xml:space="preserve"/>
        </x:is>
      </x:c>
      <x:c r="I31" s="21" t="inlineStr">
        <x:is>
          <x:t xml:space="preserve"/>
        </x:is>
      </x:c>
      <x:c r="J31" s="21" t="inlineStr">
        <x:is>
          <x:t xml:space="preserve">Prospect</x:t>
        </x:is>
      </x:c>
      <x:c r="K31" s="21" t="inlineStr">
        <x:is>
          <x:t xml:space="preserve"/>
        </x:is>
      </x:c>
      <x:c r="L31" s="21" t="inlineStr">
        <x:is>
          <x:t xml:space="preserve"/>
        </x:is>
      </x:c>
      <x:c r="M31" s="21" t="inlineStr">
        <x:is>
          <x:t xml:space="preserve"/>
        </x:is>
      </x:c>
      <x:c r="N31" s="21" t="inlineStr">
        <x:is>
          <x:t xml:space="preserve"/>
        </x:is>
      </x:c>
      <x:c r="O31" s="21" t="inlineStr">
        <x:is>
          <x:t xml:space="preserve"/>
        </x:is>
      </x:c>
    </x:row>
    <x:row r="32" ht="44" customHeight="1">
      <x:c r="A32" s="5" t="inlineStr">
        <x:is>
          <x:t xml:space="preserve">P028</x:t>
        </x:is>
      </x:c>
      <x:c r="B32" s="21" t="inlineStr">
        <x:is>
          <x:t xml:space="preserve"/>
        </x:is>
      </x:c>
      <x:c r="C32" s="21" t="inlineStr">
        <x:is>
          <x:t xml:space="preserve"/>
        </x:is>
      </x:c>
      <x:c r="D32" s="21" t="inlineStr">
        <x:is>
          <x:t xml:space="preserve"/>
        </x:is>
      </x:c>
      <x:c r="E32" s="21" t="inlineStr">
        <x:is>
          <x:t xml:space="preserve"/>
        </x:is>
      </x:c>
      <x:c r="F32" s="21" t="inlineStr">
        <x:is>
          <x:t xml:space="preserve">Not Yet</x:t>
        </x:is>
      </x:c>
      <x:c r="G32" s="21" t="inlineStr">
        <x:is>
          <x:t xml:space="preserve"/>
        </x:is>
      </x:c>
      <x:c r="H32" s="21" t="inlineStr">
        <x:is>
          <x:t xml:space="preserve"/>
        </x:is>
      </x:c>
      <x:c r="I32" s="21" t="inlineStr">
        <x:is>
          <x:t xml:space="preserve"/>
        </x:is>
      </x:c>
      <x:c r="J32" s="21" t="inlineStr">
        <x:is>
          <x:t xml:space="preserve">Prospect</x:t>
        </x:is>
      </x:c>
      <x:c r="K32" s="21" t="inlineStr">
        <x:is>
          <x:t xml:space="preserve"/>
        </x:is>
      </x:c>
      <x:c r="L32" s="21" t="inlineStr">
        <x:is>
          <x:t xml:space="preserve"/>
        </x:is>
      </x:c>
      <x:c r="M32" s="21" t="inlineStr">
        <x:is>
          <x:t xml:space="preserve"/>
        </x:is>
      </x:c>
      <x:c r="N32" s="21" t="inlineStr">
        <x:is>
          <x:t xml:space="preserve"/>
        </x:is>
      </x:c>
      <x:c r="O32" s="21" t="inlineStr">
        <x:is>
          <x:t xml:space="preserve"/>
        </x:is>
      </x:c>
    </x:row>
    <x:row r="33" ht="44" customHeight="1">
      <x:c r="A33" s="7" t="inlineStr">
        <x:is>
          <x:t xml:space="preserve">P029</x:t>
        </x:is>
      </x:c>
      <x:c r="B33" s="21" t="inlineStr">
        <x:is>
          <x:t xml:space="preserve"/>
        </x:is>
      </x:c>
      <x:c r="C33" s="21" t="inlineStr">
        <x:is>
          <x:t xml:space="preserve"/>
        </x:is>
      </x:c>
      <x:c r="D33" s="21" t="inlineStr">
        <x:is>
          <x:t xml:space="preserve"/>
        </x:is>
      </x:c>
      <x:c r="E33" s="21" t="inlineStr">
        <x:is>
          <x:t xml:space="preserve"/>
        </x:is>
      </x:c>
      <x:c r="F33" s="21" t="inlineStr">
        <x:is>
          <x:t xml:space="preserve">Not Yet</x:t>
        </x:is>
      </x:c>
      <x:c r="G33" s="21" t="inlineStr">
        <x:is>
          <x:t xml:space="preserve"/>
        </x:is>
      </x:c>
      <x:c r="H33" s="21" t="inlineStr">
        <x:is>
          <x:t xml:space="preserve"/>
        </x:is>
      </x:c>
      <x:c r="I33" s="21" t="inlineStr">
        <x:is>
          <x:t xml:space="preserve"/>
        </x:is>
      </x:c>
      <x:c r="J33" s="21" t="inlineStr">
        <x:is>
          <x:t xml:space="preserve">Prospect</x:t>
        </x:is>
      </x:c>
      <x:c r="K33" s="21" t="inlineStr">
        <x:is>
          <x:t xml:space="preserve"/>
        </x:is>
      </x:c>
      <x:c r="L33" s="21" t="inlineStr">
        <x:is>
          <x:t xml:space="preserve"/>
        </x:is>
      </x:c>
      <x:c r="M33" s="21" t="inlineStr">
        <x:is>
          <x:t xml:space="preserve"/>
        </x:is>
      </x:c>
      <x:c r="N33" s="21" t="inlineStr">
        <x:is>
          <x:t xml:space="preserve"/>
        </x:is>
      </x:c>
      <x:c r="O33" s="21" t="inlineStr">
        <x:is>
          <x:t xml:space="preserve"/>
        </x:is>
      </x:c>
    </x:row>
    <x:row r="34" ht="44" customHeight="1">
      <x:c r="A34" s="5" t="inlineStr">
        <x:is>
          <x:t xml:space="preserve">P030</x:t>
        </x:is>
      </x:c>
      <x:c r="B34" s="21" t="inlineStr">
        <x:is>
          <x:t xml:space="preserve"/>
        </x:is>
      </x:c>
      <x:c r="C34" s="21" t="inlineStr">
        <x:is>
          <x:t xml:space="preserve"/>
        </x:is>
      </x:c>
      <x:c r="D34" s="21" t="inlineStr">
        <x:is>
          <x:t xml:space="preserve"/>
        </x:is>
      </x:c>
      <x:c r="E34" s="21" t="inlineStr">
        <x:is>
          <x:t xml:space="preserve"/>
        </x:is>
      </x:c>
      <x:c r="F34" s="21" t="inlineStr">
        <x:is>
          <x:t xml:space="preserve">Not Yet</x:t>
        </x:is>
      </x:c>
      <x:c r="G34" s="21" t="inlineStr">
        <x:is>
          <x:t xml:space="preserve"/>
        </x:is>
      </x:c>
      <x:c r="H34" s="21" t="inlineStr">
        <x:is>
          <x:t xml:space="preserve"/>
        </x:is>
      </x:c>
      <x:c r="I34" s="21" t="inlineStr">
        <x:is>
          <x:t xml:space="preserve"/>
        </x:is>
      </x:c>
      <x:c r="J34" s="21" t="inlineStr">
        <x:is>
          <x:t xml:space="preserve">Prospect</x:t>
        </x:is>
      </x:c>
      <x:c r="K34" s="21" t="inlineStr">
        <x:is>
          <x:t xml:space="preserve"/>
        </x:is>
      </x:c>
      <x:c r="L34" s="21" t="inlineStr">
        <x:is>
          <x:t xml:space="preserve"/>
        </x:is>
      </x:c>
      <x:c r="M34" s="21" t="inlineStr">
        <x:is>
          <x:t xml:space="preserve"/>
        </x:is>
      </x:c>
      <x:c r="N34" s="21" t="inlineStr">
        <x:is>
          <x:t xml:space="preserve"/>
        </x:is>
      </x:c>
      <x:c r="O34" s="21" t="inlineStr">
        <x:is>
          <x:t xml:space="preserve"/>
        </x:is>
      </x:c>
    </x:row>
    <x:row r="35" ht="44" customHeight="1">
      <x:c r="A35" s="7" t="inlineStr">
        <x:is>
          <x:t xml:space="preserve">P031</x:t>
        </x:is>
      </x:c>
      <x:c r="B35" s="21" t="inlineStr">
        <x:is>
          <x:t xml:space="preserve"/>
        </x:is>
      </x:c>
      <x:c r="C35" s="21" t="inlineStr">
        <x:is>
          <x:t xml:space="preserve"/>
        </x:is>
      </x:c>
      <x:c r="D35" s="21" t="inlineStr">
        <x:is>
          <x:t xml:space="preserve"/>
        </x:is>
      </x:c>
      <x:c r="E35" s="21" t="inlineStr">
        <x:is>
          <x:t xml:space="preserve"/>
        </x:is>
      </x:c>
      <x:c r="F35" s="21" t="inlineStr">
        <x:is>
          <x:t xml:space="preserve">Not Yet</x:t>
        </x:is>
      </x:c>
      <x:c r="G35" s="21" t="inlineStr">
        <x:is>
          <x:t xml:space="preserve"/>
        </x:is>
      </x:c>
      <x:c r="H35" s="21" t="inlineStr">
        <x:is>
          <x:t xml:space="preserve"/>
        </x:is>
      </x:c>
      <x:c r="I35" s="21" t="inlineStr">
        <x:is>
          <x:t xml:space="preserve"/>
        </x:is>
      </x:c>
      <x:c r="J35" s="21" t="inlineStr">
        <x:is>
          <x:t xml:space="preserve">Prospect</x:t>
        </x:is>
      </x:c>
      <x:c r="K35" s="21" t="inlineStr">
        <x:is>
          <x:t xml:space="preserve"/>
        </x:is>
      </x:c>
      <x:c r="L35" s="21" t="inlineStr">
        <x:is>
          <x:t xml:space="preserve"/>
        </x:is>
      </x:c>
      <x:c r="M35" s="21" t="inlineStr">
        <x:is>
          <x:t xml:space="preserve"/>
        </x:is>
      </x:c>
      <x:c r="N35" s="21" t="inlineStr">
        <x:is>
          <x:t xml:space="preserve"/>
        </x:is>
      </x:c>
      <x:c r="O35" s="21" t="inlineStr">
        <x:is>
          <x:t xml:space="preserve"/>
        </x:is>
      </x:c>
    </x:row>
    <x:row r="36" ht="44" customHeight="1">
      <x:c r="A36" s="5" t="inlineStr">
        <x:is>
          <x:t xml:space="preserve">P032</x:t>
        </x:is>
      </x:c>
      <x:c r="B36" s="21" t="inlineStr">
        <x:is>
          <x:t xml:space="preserve"/>
        </x:is>
      </x:c>
      <x:c r="C36" s="21" t="inlineStr">
        <x:is>
          <x:t xml:space="preserve"/>
        </x:is>
      </x:c>
      <x:c r="D36" s="21" t="inlineStr">
        <x:is>
          <x:t xml:space="preserve"/>
        </x:is>
      </x:c>
      <x:c r="E36" s="21" t="inlineStr">
        <x:is>
          <x:t xml:space="preserve"/>
        </x:is>
      </x:c>
      <x:c r="F36" s="21" t="inlineStr">
        <x:is>
          <x:t xml:space="preserve">Not Yet</x:t>
        </x:is>
      </x:c>
      <x:c r="G36" s="21" t="inlineStr">
        <x:is>
          <x:t xml:space="preserve"/>
        </x:is>
      </x:c>
      <x:c r="H36" s="21" t="inlineStr">
        <x:is>
          <x:t xml:space="preserve"/>
        </x:is>
      </x:c>
      <x:c r="I36" s="21" t="inlineStr">
        <x:is>
          <x:t xml:space="preserve"/>
        </x:is>
      </x:c>
      <x:c r="J36" s="21" t="inlineStr">
        <x:is>
          <x:t xml:space="preserve">Prospect</x:t>
        </x:is>
      </x:c>
      <x:c r="K36" s="21" t="inlineStr">
        <x:is>
          <x:t xml:space="preserve"/>
        </x:is>
      </x:c>
      <x:c r="L36" s="21" t="inlineStr">
        <x:is>
          <x:t xml:space="preserve"/>
        </x:is>
      </x:c>
      <x:c r="M36" s="21" t="inlineStr">
        <x:is>
          <x:t xml:space="preserve"/>
        </x:is>
      </x:c>
      <x:c r="N36" s="21" t="inlineStr">
        <x:is>
          <x:t xml:space="preserve"/>
        </x:is>
      </x:c>
      <x:c r="O36" s="21" t="inlineStr">
        <x:is>
          <x:t xml:space="preserve"/>
        </x:is>
      </x:c>
    </x:row>
    <x:row r="37" ht="44" customHeight="1">
      <x:c r="A37" s="7" t="inlineStr">
        <x:is>
          <x:t xml:space="preserve">P033</x:t>
        </x:is>
      </x:c>
      <x:c r="B37" s="21" t="inlineStr">
        <x:is>
          <x:t xml:space="preserve"/>
        </x:is>
      </x:c>
      <x:c r="C37" s="21" t="inlineStr">
        <x:is>
          <x:t xml:space="preserve"/>
        </x:is>
      </x:c>
      <x:c r="D37" s="21" t="inlineStr">
        <x:is>
          <x:t xml:space="preserve"/>
        </x:is>
      </x:c>
      <x:c r="E37" s="21" t="inlineStr">
        <x:is>
          <x:t xml:space="preserve"/>
        </x:is>
      </x:c>
      <x:c r="F37" s="21" t="inlineStr">
        <x:is>
          <x:t xml:space="preserve">Not Yet</x:t>
        </x:is>
      </x:c>
      <x:c r="G37" s="21" t="inlineStr">
        <x:is>
          <x:t xml:space="preserve"/>
        </x:is>
      </x:c>
      <x:c r="H37" s="21" t="inlineStr">
        <x:is>
          <x:t xml:space="preserve"/>
        </x:is>
      </x:c>
      <x:c r="I37" s="21" t="inlineStr">
        <x:is>
          <x:t xml:space="preserve"/>
        </x:is>
      </x:c>
      <x:c r="J37" s="21" t="inlineStr">
        <x:is>
          <x:t xml:space="preserve">Prospect</x:t>
        </x:is>
      </x:c>
      <x:c r="K37" s="21" t="inlineStr">
        <x:is>
          <x:t xml:space="preserve"/>
        </x:is>
      </x:c>
      <x:c r="L37" s="21" t="inlineStr">
        <x:is>
          <x:t xml:space="preserve"/>
        </x:is>
      </x:c>
      <x:c r="M37" s="21" t="inlineStr">
        <x:is>
          <x:t xml:space="preserve"/>
        </x:is>
      </x:c>
      <x:c r="N37" s="21" t="inlineStr">
        <x:is>
          <x:t xml:space="preserve"/>
        </x:is>
      </x:c>
      <x:c r="O37" s="21" t="inlineStr">
        <x:is>
          <x:t xml:space="preserve"/>
        </x:is>
      </x:c>
    </x:row>
    <x:row r="38" ht="44" customHeight="1">
      <x:c r="A38" s="5" t="inlineStr">
        <x:is>
          <x:t xml:space="preserve">P034</x:t>
        </x:is>
      </x:c>
      <x:c r="B38" s="21" t="inlineStr">
        <x:is>
          <x:t xml:space="preserve"/>
        </x:is>
      </x:c>
      <x:c r="C38" s="21" t="inlineStr">
        <x:is>
          <x:t xml:space="preserve"/>
        </x:is>
      </x:c>
      <x:c r="D38" s="21" t="inlineStr">
        <x:is>
          <x:t xml:space="preserve"/>
        </x:is>
      </x:c>
      <x:c r="E38" s="21" t="inlineStr">
        <x:is>
          <x:t xml:space="preserve"/>
        </x:is>
      </x:c>
      <x:c r="F38" s="21" t="inlineStr">
        <x:is>
          <x:t xml:space="preserve">Not Yet</x:t>
        </x:is>
      </x:c>
      <x:c r="G38" s="21" t="inlineStr">
        <x:is>
          <x:t xml:space="preserve"/>
        </x:is>
      </x:c>
      <x:c r="H38" s="21" t="inlineStr">
        <x:is>
          <x:t xml:space="preserve"/>
        </x:is>
      </x:c>
      <x:c r="I38" s="21" t="inlineStr">
        <x:is>
          <x:t xml:space="preserve"/>
        </x:is>
      </x:c>
      <x:c r="J38" s="21" t="inlineStr">
        <x:is>
          <x:t xml:space="preserve">Prospect</x:t>
        </x:is>
      </x:c>
      <x:c r="K38" s="21" t="inlineStr">
        <x:is>
          <x:t xml:space="preserve"/>
        </x:is>
      </x:c>
      <x:c r="L38" s="21" t="inlineStr">
        <x:is>
          <x:t xml:space="preserve"/>
        </x:is>
      </x:c>
      <x:c r="M38" s="21" t="inlineStr">
        <x:is>
          <x:t xml:space="preserve"/>
        </x:is>
      </x:c>
      <x:c r="N38" s="21" t="inlineStr">
        <x:is>
          <x:t xml:space="preserve"/>
        </x:is>
      </x:c>
      <x:c r="O38" s="21" t="inlineStr">
        <x:is>
          <x:t xml:space="preserve"/>
        </x:is>
      </x:c>
    </x:row>
    <x:row r="39" ht="44" customHeight="1">
      <x:c r="A39" s="7" t="inlineStr">
        <x:is>
          <x:t xml:space="preserve">P035</x:t>
        </x:is>
      </x:c>
      <x:c r="B39" s="21" t="inlineStr">
        <x:is>
          <x:t xml:space="preserve"/>
        </x:is>
      </x:c>
      <x:c r="C39" s="21" t="inlineStr">
        <x:is>
          <x:t xml:space="preserve"/>
        </x:is>
      </x:c>
      <x:c r="D39" s="21" t="inlineStr">
        <x:is>
          <x:t xml:space="preserve"/>
        </x:is>
      </x:c>
      <x:c r="E39" s="21" t="inlineStr">
        <x:is>
          <x:t xml:space="preserve"/>
        </x:is>
      </x:c>
      <x:c r="F39" s="21" t="inlineStr">
        <x:is>
          <x:t xml:space="preserve">Not Yet</x:t>
        </x:is>
      </x:c>
      <x:c r="G39" s="21" t="inlineStr">
        <x:is>
          <x:t xml:space="preserve"/>
        </x:is>
      </x:c>
      <x:c r="H39" s="21" t="inlineStr">
        <x:is>
          <x:t xml:space="preserve"/>
        </x:is>
      </x:c>
      <x:c r="I39" s="21" t="inlineStr">
        <x:is>
          <x:t xml:space="preserve"/>
        </x:is>
      </x:c>
      <x:c r="J39" s="21" t="inlineStr">
        <x:is>
          <x:t xml:space="preserve">Prospect</x:t>
        </x:is>
      </x:c>
      <x:c r="K39" s="21" t="inlineStr">
        <x:is>
          <x:t xml:space="preserve"/>
        </x:is>
      </x:c>
      <x:c r="L39" s="21" t="inlineStr">
        <x:is>
          <x:t xml:space="preserve"/>
        </x:is>
      </x:c>
      <x:c r="M39" s="21" t="inlineStr">
        <x:is>
          <x:t xml:space="preserve"/>
        </x:is>
      </x:c>
      <x:c r="N39" s="21" t="inlineStr">
        <x:is>
          <x:t xml:space="preserve"/>
        </x:is>
      </x:c>
      <x:c r="O39" s="21" t="inlineStr">
        <x:is>
          <x:t xml:space="preserve"/>
        </x:is>
      </x:c>
    </x:row>
  </x:sheetData>
  <x:dataValidations count="2">
    <x:dataValidation type="list" allowBlank="1" showDropDown="0" showInputMessage="0" showErrorMessage="0" sqref="F5:F39">
      <x:formula1>=Lists!$E$5:$E$7</x:formula1>
    </x:dataValidation>
    <x:dataValidation type="list" allowBlank="1" showDropDown="0" showInputMessage="0" showErrorMessage="0" sqref="J5:J39">
      <x:formula1>=Lists!$G$12:$G$15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6b0e8876b74c6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5" customWidth="1"/>
    <x:col min="3" max="3" width="24" customWidth="1"/>
    <x:col min="4" max="4" width="40" customWidth="1"/>
    <x:col min="5" max="5" width="16" customWidth="1"/>
    <x:col min="6" max="6" width="16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6" customWidth="1"/>
    <x:col min="12" max="12" width="14" customWidth="1"/>
    <x:col min="13" max="13" width="20" customWidth="1"/>
    <x:col min="14" max="14" width="36" customWidth="1"/>
    <x:col min="15" max="15" width="18" customWidth="1"/>
    <x:col min="16" max="16" width="16" customWidth="1"/>
  </x:cols>
  <x:sheetData>
    <x:row r="1" ht="30" customHeight="1">
      <x:c r="A1" s="1" t="n"/>
      <x:c r="B1" s="1" t="inlineStr">
        <x:is>
          <x:t xml:space="preserve">Revenue Experiments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</x:row>
    <x:row r="2" ht="34" customHeight="1">
      <x:c r="A2" s="2" t="n"/>
      <x:c r="B2" s="2" t="inlineStr">
        <x:is>
          <x:t xml:space="preserve">The aim is not only installs; the business needs proof that someone will pay or sponsor the value.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</x:row>
    <x:row r="3"/>
    <x:row r="4" ht="32" customHeight="1">
      <x:c r="A4" s="10" t="inlineStr">
        <x:is>
          <x:t xml:space="preserve">ID</x:t>
        </x:is>
      </x:c>
      <x:c r="B4" s="10" t="inlineStr">
        <x:is>
          <x:t xml:space="preserve">Model</x:t>
        </x:is>
      </x:c>
      <x:c r="C4" s="10" t="inlineStr">
        <x:is>
          <x:t xml:space="preserve">Buyer/User</x:t>
        </x:is>
      </x:c>
      <x:c r="D4" s="10" t="inlineStr">
        <x:is>
          <x:t xml:space="preserve">Offer</x:t>
        </x:is>
      </x:c>
      <x:c r="E4" s="10" t="inlineStr">
        <x:is>
          <x:t xml:space="preserve">Price Test KES</x:t>
        </x:is>
      </x:c>
      <x:c r="F4" s="10" t="inlineStr">
        <x:is>
          <x:t xml:space="preserve">Pilot Length</x:t>
        </x:is>
      </x:c>
      <x:c r="G4" s="10" t="inlineStr">
        <x:is>
          <x:t xml:space="preserve">Prospects</x:t>
        </x:is>
      </x:c>
      <x:c r="H4" s="10" t="inlineStr">
        <x:is>
          <x:t xml:space="preserve">Meetings</x:t>
        </x:is>
      </x:c>
      <x:c r="I4" s="10" t="inlineStr">
        <x:is>
          <x:t xml:space="preserve">Trials</x:t>
        </x:is>
      </x:c>
      <x:c r="J4" s="10" t="inlineStr">
        <x:is>
          <x:t xml:space="preserve">Paying</x:t>
        </x:is>
      </x:c>
      <x:c r="K4" s="10" t="inlineStr">
        <x:is>
          <x:t xml:space="preserve">Conversion Rate</x:t>
        </x:is>
      </x:c>
      <x:c r="L4" s="10" t="inlineStr">
        <x:is>
          <x:t xml:space="preserve">Revenue KES</x:t>
        </x:is>
      </x:c>
      <x:c r="M4" s="10" t="inlineStr">
        <x:is>
          <x:t xml:space="preserve">Decision</x:t>
        </x:is>
      </x:c>
      <x:c r="N4" s="10" t="inlineStr">
        <x:is>
          <x:t xml:space="preserve">Learning</x:t>
        </x:is>
      </x:c>
      <x:c r="O4" s="10" t="inlineStr">
        <x:is>
          <x:t xml:space="preserve">Owner</x:t>
        </x:is>
      </x:c>
      <x:c r="P4" s="10" t="inlineStr">
        <x:is>
          <x:t xml:space="preserve">Status</x:t>
        </x:is>
      </x:c>
    </x:row>
    <x:row r="5" ht="44" customHeight="1">
      <x:c r="A5" s="7" t="inlineStr">
        <x:is>
          <x:t xml:space="preserve">R01</x:t>
        </x:is>
      </x:c>
      <x:c r="B5" s="21" t="inlineStr">
        <x:is>
          <x:t xml:space="preserve">Subscription Optimization</x:t>
        </x:is>
      </x:c>
      <x:c r="C5" s="21" t="inlineStr">
        <x:is>
          <x:t xml:space="preserve">Current/free users</x:t>
        </x:is>
      </x:c>
      <x:c r="D5" s="21" t="inlineStr">
        <x:is>
          <x:t xml:space="preserve">Clarify monthly value, trust, restore and cancellation experience</x:t>
        </x:is>
      </x:c>
      <x:c r="E5" s="16" t="n">
        <x:v>0</x:v>
      </x:c>
      <x:c r="F5" s="21" t="inlineStr">
        <x:is>
          <x:t xml:space="preserve">4 weeks</x:t>
        </x:is>
      </x:c>
      <x:c r="G5" s="21" t="n">
        <x:v>20</x:v>
      </x:c>
      <x:c r="H5" s="21" t="n">
        <x:v>0</x:v>
      </x:c>
      <x:c r="I5" s="21" t="n">
        <x:v>0</x:v>
      </x:c>
      <x:c r="J5" s="21" t="n">
        <x:v>0</x:v>
      </x:c>
      <x:c r="K5" s="25" t="n">
        <x:f>IF(G5=0,0,J5/G5)</x:f>
        <x:v>0</x:v>
      </x:c>
      <x:c r="L5" s="13" t="n">
        <x:f>E5*J5</x:f>
        <x:v>0</x:v>
      </x:c>
      <x:c r="M5" s="21" t="inlineStr">
        <x:is>
          <x:t xml:space="preserve">Running</x:t>
        </x:is>
      </x:c>
      <x:c r="N5" s="21" t="inlineStr">
        <x:is>
          <x:t xml:space="preserve">Improve paid conversion/retention without increasing traffic.</x:t>
        </x:is>
      </x:c>
      <x:c r="O5" s="21" t="inlineStr">
        <x:is>
          <x:t xml:space="preserve">Founder</x:t>
        </x:is>
      </x:c>
      <x:c r="P5" s="21" t="inlineStr">
        <x:is>
          <x:t xml:space="preserve">Running</x:t>
        </x:is>
      </x:c>
    </x:row>
    <x:row r="6" ht="44" customHeight="1">
      <x:c r="A6" s="5" t="inlineStr">
        <x:is>
          <x:t xml:space="preserve">R02</x:t>
        </x:is>
      </x:c>
      <x:c r="B6" s="21" t="inlineStr">
        <x:is>
          <x:t xml:space="preserve">Annual Plan Interest</x:t>
        </x:is>
      </x:c>
      <x:c r="C6" s="21" t="inlineStr">
        <x:is>
          <x:t xml:space="preserve">Current paying users</x:t>
        </x:is>
      </x:c>
      <x:c r="D6" s="21" t="inlineStr">
        <x:is>
          <x:t xml:space="preserve">Test interest and acceptable annual discount before building</x:t>
        </x:is>
      </x:c>
      <x:c r="E6" s="16" t="n">
        <x:v>0</x:v>
      </x:c>
      <x:c r="F6" s="21" t="inlineStr">
        <x:is>
          <x:t xml:space="preserve">2 weeks</x:t>
        </x:is>
      </x:c>
      <x:c r="G6" s="21" t="n">
        <x:v>15</x:v>
      </x:c>
      <x:c r="H6" s="21" t="n">
        <x:v>0</x:v>
      </x:c>
      <x:c r="I6" s="21" t="n">
        <x:v>0</x:v>
      </x:c>
      <x:c r="J6" s="21" t="n">
        <x:v>0</x:v>
      </x:c>
      <x:c r="K6" s="25" t="n">
        <x:f>IF(G6=0,0,J6/G6)</x:f>
        <x:v>0</x:v>
      </x:c>
      <x:c r="L6" s="13" t="n">
        <x:f>E6*J6</x:f>
        <x:v>0</x:v>
      </x:c>
      <x:c r="M6" s="21" t="inlineStr">
        <x:is>
          <x:t xml:space="preserve">Backlog</x:t>
        </x:is>
      </x:c>
      <x:c r="N6" s="21" t="inlineStr">
        <x:is>
          <x:t xml:space="preserve">Learn whether annual commitment improves cash and retention.</x:t>
        </x:is>
      </x:c>
      <x:c r="O6" s="21" t="inlineStr">
        <x:is>
          <x:t xml:space="preserve">Founder</x:t>
        </x:is>
      </x:c>
      <x:c r="P6" s="21" t="inlineStr">
        <x:is>
          <x:t xml:space="preserve">Backlog</x:t>
        </x:is>
      </x:c>
    </x:row>
    <x:row r="7" ht="44" customHeight="1">
      <x:c r="A7" s="7" t="inlineStr">
        <x:is>
          <x:t xml:space="preserve">R03</x:t>
        </x:is>
      </x:c>
      <x:c r="B7" s="21" t="inlineStr">
        <x:is>
          <x:t xml:space="preserve">B2B Pilot</x:t>
        </x:is>
      </x:c>
      <x:c r="C7" s="21" t="inlineStr">
        <x:is>
          <x:t xml:space="preserve">Driving school / small fleet</x:t>
        </x:is>
      </x:c>
      <x:c r="D7" s="21" t="inlineStr">
        <x:is>
          <x:t xml:space="preserve">Two-week corridor and road-safety pilot with clear scope</x:t>
        </x:is>
      </x:c>
      <x:c r="E7" s="16" t="n">
        <x:v>10000</x:v>
      </x:c>
      <x:c r="F7" s="21" t="inlineStr">
        <x:is>
          <x:t xml:space="preserve">2 weeks</x:t>
        </x:is>
      </x:c>
      <x:c r="G7" s="21" t="n">
        <x:v>10</x:v>
      </x:c>
      <x:c r="H7" s="21" t="n">
        <x:v>0</x:v>
      </x:c>
      <x:c r="I7" s="21" t="n">
        <x:v>0</x:v>
      </x:c>
      <x:c r="J7" s="21" t="n">
        <x:v>0</x:v>
      </x:c>
      <x:c r="K7" s="25" t="n">
        <x:f>IF(G7=0,0,J7/G7)</x:f>
        <x:v>0</x:v>
      </x:c>
      <x:c r="L7" s="13" t="n">
        <x:f>E7*J7</x:f>
        <x:v>0</x:v>
      </x:c>
      <x:c r="M7" s="21" t="inlineStr">
        <x:is>
          <x:t xml:space="preserve">Backlog</x:t>
        </x:is>
      </x:c>
      <x:c r="N7" s="21" t="inlineStr">
        <x:is>
          <x:t xml:space="preserve">Prove a small repeatable partner use case.</x:t>
        </x:is>
      </x:c>
      <x:c r="O7" s="21" t="inlineStr">
        <x:is>
          <x:t xml:space="preserve">Founder</x:t>
        </x:is>
      </x:c>
      <x:c r="P7" s="21" t="inlineStr">
        <x:is>
          <x:t xml:space="preserve">Backlog</x:t>
        </x:is>
      </x:c>
    </x:row>
    <x:row r="8" ht="44" customHeight="1">
      <x:c r="A8" s="5" t="inlineStr">
        <x:is>
          <x:t xml:space="preserve">R04</x:t>
        </x:is>
      </x:c>
      <x:c r="B8" s="21" t="inlineStr">
        <x:is>
          <x:t xml:space="preserve">Referral</x:t>
        </x:is>
      </x:c>
      <x:c r="C8" s="21" t="inlineStr">
        <x:is>
          <x:t xml:space="preserve">Paying users</x:t>
        </x:is>
      </x:c>
      <x:c r="D8" s="21" t="inlineStr">
        <x:is>
          <x:t xml:space="preserve">Manual referral code/link and no-cost recognition</x:t>
        </x:is>
      </x:c>
      <x:c r="E8" s="16" t="n">
        <x:v>0</x:v>
      </x:c>
      <x:c r="F8" s="21" t="inlineStr">
        <x:is>
          <x:t xml:space="preserve">4 weeks</x:t>
        </x:is>
      </x:c>
      <x:c r="G8" s="21" t="n">
        <x:v>20</x:v>
      </x:c>
      <x:c r="H8" s="21" t="n">
        <x:v>0</x:v>
      </x:c>
      <x:c r="I8" s="21" t="n">
        <x:v>0</x:v>
      </x:c>
      <x:c r="J8" s="21" t="n">
        <x:v>0</x:v>
      </x:c>
      <x:c r="K8" s="25" t="n">
        <x:f>IF(G8=0,0,J8/G8)</x:f>
        <x:v>0</x:v>
      </x:c>
      <x:c r="L8" s="13" t="n">
        <x:f>E8*J8</x:f>
        <x:v>0</x:v>
      </x:c>
      <x:c r="M8" s="21" t="inlineStr">
        <x:is>
          <x:t xml:space="preserve">Backlog</x:t>
        </x:is>
      </x:c>
      <x:c r="N8" s="21" t="inlineStr">
        <x:is>
          <x:t xml:space="preserve">Learn referral conversion before offering rewards.</x:t>
        </x:is>
      </x:c>
      <x:c r="O8" s="21" t="inlineStr">
        <x:is>
          <x:t xml:space="preserve">Founder</x:t>
        </x:is>
      </x:c>
      <x:c r="P8" s="21" t="inlineStr">
        <x:is>
          <x:t xml:space="preserve">Backlog</x:t>
        </x:is>
      </x:c>
    </x:row>
    <x:row r="9" ht="44" customHeight="1">
      <x:c r="A9" s="7" t="inlineStr">
        <x:is>
          <x:t xml:space="preserve">R05</x:t>
        </x:is>
      </x:c>
      <x:c r="B9" s="21" t="inlineStr">
        <x:is>
          <x:t xml:space="preserve">Sponsor</x:t>
        </x:is>
      </x:c>
      <x:c r="C9" s="21" t="inlineStr">
        <x:is>
          <x:t xml:space="preserve">Garage / insurer / tyre shop</x:t>
        </x:is>
      </x:c>
      <x:c r="D9" s="21" t="inlineStr">
        <x:is>
          <x:t xml:space="preserve">Measured safety content package with app attribution</x:t>
        </x:is>
      </x:c>
      <x:c r="E9" s="16" t="n">
        <x:v>5000</x:v>
      </x:c>
      <x:c r="F9" s="21" t="inlineStr">
        <x:is>
          <x:t xml:space="preserve">1 month</x:t>
        </x:is>
      </x:c>
      <x:c r="G9" s="21" t="n">
        <x:v>15</x:v>
      </x:c>
      <x:c r="H9" s="21" t="n">
        <x:v>0</x:v>
      </x:c>
      <x:c r="I9" s="21" t="n">
        <x:v>0</x:v>
      </x:c>
      <x:c r="J9" s="21" t="n">
        <x:v>0</x:v>
      </x:c>
      <x:c r="K9" s="25" t="n">
        <x:f>IF(G9=0,0,J9/G9)</x:f>
        <x:v>0</x:v>
      </x:c>
      <x:c r="L9" s="13" t="n">
        <x:f>E9*J9</x:f>
        <x:v>0</x:v>
      </x:c>
      <x:c r="M9" s="21" t="inlineStr">
        <x:is>
          <x:t xml:space="preserve">Backlog</x:t>
        </x:is>
      </x:c>
      <x:c r="N9" s="21" t="inlineStr">
        <x:is>
          <x:t xml:space="preserve">Use only aligned, trustworthy partners.</x:t>
        </x:is>
      </x:c>
      <x:c r="O9" s="21" t="inlineStr">
        <x:is>
          <x:t xml:space="preserve">Founder</x:t>
        </x:is>
      </x:c>
      <x:c r="P9" s="21" t="inlineStr">
        <x:is>
          <x:t xml:space="preserve">Backlog</x:t>
        </x:is>
      </x:c>
    </x:row>
    <x:row r="10" ht="44" customHeight="1">
      <x:c r="A10" s="5" t="inlineStr">
        <x:is>
          <x:t xml:space="preserve">R06</x:t>
        </x:is>
      </x:c>
      <x:c r="B10" s="21" t="inlineStr">
        <x:is>
          <x:t xml:space="preserve"/>
        </x:is>
      </x:c>
      <x:c r="C10" s="21" t="inlineStr">
        <x:is>
          <x:t xml:space="preserve"/>
        </x:is>
      </x:c>
      <x:c r="D10" s="21" t="inlineStr">
        <x:is>
          <x:t xml:space="preserve"/>
        </x:is>
      </x:c>
      <x:c r="E10" s="16" t="n">
        <x:v>0</x:v>
      </x:c>
      <x:c r="F10" s="21" t="inlineStr">
        <x:is>
          <x:t xml:space="preserve"/>
        </x:is>
      </x:c>
      <x:c r="G10" s="21" t="n">
        <x:v>0</x:v>
      </x:c>
      <x:c r="H10" s="21" t="n">
        <x:v>0</x:v>
      </x:c>
      <x:c r="I10" s="21" t="n">
        <x:v>0</x:v>
      </x:c>
      <x:c r="J10" s="21" t="n">
        <x:v>0</x:v>
      </x:c>
      <x:c r="K10" s="25" t="n">
        <x:f>IF(G10=0,0,J10/G10)</x:f>
        <x:v>0</x:v>
      </x:c>
      <x:c r="L10" s="13" t="n">
        <x:f>E10*J10</x:f>
        <x:v>0</x:v>
      </x:c>
      <x:c r="M10" s="21" t="inlineStr">
        <x:is>
          <x:t xml:space="preserve"/>
        </x:is>
      </x:c>
      <x:c r="N10" s="21" t="inlineStr">
        <x:is>
          <x:t xml:space="preserve"/>
        </x:is>
      </x:c>
      <x:c r="O10" s="21" t="inlineStr">
        <x:is>
          <x:t xml:space="preserve">Founder</x:t>
        </x:is>
      </x:c>
      <x:c r="P10" s="21" t="inlineStr">
        <x:is>
          <x:t xml:space="preserve">Backlog</x:t>
        </x:is>
      </x:c>
    </x:row>
    <x:row r="11" ht="44" customHeight="1">
      <x:c r="A11" s="7" t="inlineStr">
        <x:is>
          <x:t xml:space="preserve">R07</x:t>
        </x:is>
      </x:c>
      <x:c r="B11" s="21" t="inlineStr">
        <x:is>
          <x:t xml:space="preserve"/>
        </x:is>
      </x:c>
      <x:c r="C11" s="21" t="inlineStr">
        <x:is>
          <x:t xml:space="preserve"/>
        </x:is>
      </x:c>
      <x:c r="D11" s="21" t="inlineStr">
        <x:is>
          <x:t xml:space="preserve"/>
        </x:is>
      </x:c>
      <x:c r="E11" s="16" t="n">
        <x:v>0</x:v>
      </x:c>
      <x:c r="F11" s="21" t="inlineStr">
        <x:is>
          <x:t xml:space="preserve"/>
        </x:is>
      </x:c>
      <x:c r="G11" s="21" t="n">
        <x:v>0</x:v>
      </x:c>
      <x:c r="H11" s="21" t="n">
        <x:v>0</x:v>
      </x:c>
      <x:c r="I11" s="21" t="n">
        <x:v>0</x:v>
      </x:c>
      <x:c r="J11" s="21" t="n">
        <x:v>0</x:v>
      </x:c>
      <x:c r="K11" s="25" t="n">
        <x:f>IF(G11=0,0,J11/G11)</x:f>
        <x:v>0</x:v>
      </x:c>
      <x:c r="L11" s="13" t="n">
        <x:f>E11*J11</x:f>
        <x:v>0</x:v>
      </x:c>
      <x:c r="M11" s="21" t="inlineStr">
        <x:is>
          <x:t xml:space="preserve"/>
        </x:is>
      </x:c>
      <x:c r="N11" s="21" t="inlineStr">
        <x:is>
          <x:t xml:space="preserve"/>
        </x:is>
      </x:c>
      <x:c r="O11" s="21" t="inlineStr">
        <x:is>
          <x:t xml:space="preserve">Founder</x:t>
        </x:is>
      </x:c>
      <x:c r="P11" s="21" t="inlineStr">
        <x:is>
          <x:t xml:space="preserve">Backlog</x:t>
        </x:is>
      </x:c>
    </x:row>
    <x:row r="12" ht="44" customHeight="1">
      <x:c r="A12" s="5" t="inlineStr">
        <x:is>
          <x:t xml:space="preserve">R08</x:t>
        </x:is>
      </x:c>
      <x:c r="B12" s="21" t="inlineStr">
        <x:is>
          <x:t xml:space="preserve"/>
        </x:is>
      </x:c>
      <x:c r="C12" s="21" t="inlineStr">
        <x:is>
          <x:t xml:space="preserve"/>
        </x:is>
      </x:c>
      <x:c r="D12" s="21" t="inlineStr">
        <x:is>
          <x:t xml:space="preserve"/>
        </x:is>
      </x:c>
      <x:c r="E12" s="16" t="n">
        <x:v>0</x:v>
      </x:c>
      <x:c r="F12" s="21" t="inlineStr">
        <x:is>
          <x:t xml:space="preserve"/>
        </x:is>
      </x:c>
      <x:c r="G12" s="21" t="n">
        <x:v>0</x:v>
      </x:c>
      <x:c r="H12" s="21" t="n">
        <x:v>0</x:v>
      </x:c>
      <x:c r="I12" s="21" t="n">
        <x:v>0</x:v>
      </x:c>
      <x:c r="J12" s="21" t="n">
        <x:v>0</x:v>
      </x:c>
      <x:c r="K12" s="25" t="n">
        <x:f>IF(G12=0,0,J12/G12)</x:f>
        <x:v>0</x:v>
      </x:c>
      <x:c r="L12" s="13" t="n">
        <x:f>E12*J12</x:f>
        <x:v>0</x:v>
      </x:c>
      <x:c r="M12" s="21" t="inlineStr">
        <x:is>
          <x:t xml:space="preserve"/>
        </x:is>
      </x:c>
      <x:c r="N12" s="21" t="inlineStr">
        <x:is>
          <x:t xml:space="preserve"/>
        </x:is>
      </x:c>
      <x:c r="O12" s="21" t="inlineStr">
        <x:is>
          <x:t xml:space="preserve">Founder</x:t>
        </x:is>
      </x:c>
      <x:c r="P12" s="21" t="inlineStr">
        <x:is>
          <x:t xml:space="preserve">Backlog</x:t>
        </x:is>
      </x:c>
    </x:row>
    <x:row r="13" ht="44" customHeight="1">
      <x:c r="A13" s="7" t="inlineStr">
        <x:is>
          <x:t xml:space="preserve">R09</x:t>
        </x:is>
      </x:c>
      <x:c r="B13" s="21" t="inlineStr">
        <x:is>
          <x:t xml:space="preserve"/>
        </x:is>
      </x:c>
      <x:c r="C13" s="21" t="inlineStr">
        <x:is>
          <x:t xml:space="preserve"/>
        </x:is>
      </x:c>
      <x:c r="D13" s="21" t="inlineStr">
        <x:is>
          <x:t xml:space="preserve"/>
        </x:is>
      </x:c>
      <x:c r="E13" s="16" t="n">
        <x:v>0</x:v>
      </x:c>
      <x:c r="F13" s="21" t="inlineStr">
        <x:is>
          <x:t xml:space="preserve"/>
        </x:is>
      </x:c>
      <x:c r="G13" s="21" t="n">
        <x:v>0</x:v>
      </x:c>
      <x:c r="H13" s="21" t="n">
        <x:v>0</x:v>
      </x:c>
      <x:c r="I13" s="21" t="n">
        <x:v>0</x:v>
      </x:c>
      <x:c r="J13" s="21" t="n">
        <x:v>0</x:v>
      </x:c>
      <x:c r="K13" s="25" t="n">
        <x:f>IF(G13=0,0,J13/G13)</x:f>
        <x:v>0</x:v>
      </x:c>
      <x:c r="L13" s="13" t="n">
        <x:f>E13*J13</x:f>
        <x:v>0</x:v>
      </x:c>
      <x:c r="M13" s="21" t="inlineStr">
        <x:is>
          <x:t xml:space="preserve"/>
        </x:is>
      </x:c>
      <x:c r="N13" s="21" t="inlineStr">
        <x:is>
          <x:t xml:space="preserve"/>
        </x:is>
      </x:c>
      <x:c r="O13" s="21" t="inlineStr">
        <x:is>
          <x:t xml:space="preserve">Founder</x:t>
        </x:is>
      </x:c>
      <x:c r="P13" s="21" t="inlineStr">
        <x:is>
          <x:t xml:space="preserve">Backlog</x:t>
        </x:is>
      </x:c>
    </x:row>
    <x:row r="14" ht="44" customHeight="1">
      <x:c r="A14" s="5" t="inlineStr">
        <x:is>
          <x:t xml:space="preserve">R10</x:t>
        </x:is>
      </x:c>
      <x:c r="B14" s="21" t="inlineStr">
        <x:is>
          <x:t xml:space="preserve"/>
        </x:is>
      </x:c>
      <x:c r="C14" s="21" t="inlineStr">
        <x:is>
          <x:t xml:space="preserve"/>
        </x:is>
      </x:c>
      <x:c r="D14" s="21" t="inlineStr">
        <x:is>
          <x:t xml:space="preserve"/>
        </x:is>
      </x:c>
      <x:c r="E14" s="16" t="n">
        <x:v>0</x:v>
      </x:c>
      <x:c r="F14" s="21" t="inlineStr">
        <x:is>
          <x:t xml:space="preserve"/>
        </x:is>
      </x:c>
      <x:c r="G14" s="21" t="n">
        <x:v>0</x:v>
      </x:c>
      <x:c r="H14" s="21" t="n">
        <x:v>0</x:v>
      </x:c>
      <x:c r="I14" s="21" t="n">
        <x:v>0</x:v>
      </x:c>
      <x:c r="J14" s="21" t="n">
        <x:v>0</x:v>
      </x:c>
      <x:c r="K14" s="25" t="n">
        <x:f>IF(G14=0,0,J14/G14)</x:f>
        <x:v>0</x:v>
      </x:c>
      <x:c r="L14" s="13" t="n">
        <x:f>E14*J14</x:f>
        <x:v>0</x:v>
      </x:c>
      <x:c r="M14" s="21" t="inlineStr">
        <x:is>
          <x:t xml:space="preserve"/>
        </x:is>
      </x:c>
      <x:c r="N14" s="21" t="inlineStr">
        <x:is>
          <x:t xml:space="preserve"/>
        </x:is>
      </x:c>
      <x:c r="O14" s="21" t="inlineStr">
        <x:is>
          <x:t xml:space="preserve">Founder</x:t>
        </x:is>
      </x:c>
      <x:c r="P14" s="21" t="inlineStr">
        <x:is>
          <x:t xml:space="preserve">Backlog</x:t>
        </x:is>
      </x:c>
    </x:row>
    <x:row r="15" ht="44" customHeight="1">
      <x:c r="A15" s="7" t="inlineStr">
        <x:is>
          <x:t xml:space="preserve">R11</x:t>
        </x:is>
      </x:c>
      <x:c r="B15" s="21" t="inlineStr">
        <x:is>
          <x:t xml:space="preserve"/>
        </x:is>
      </x:c>
      <x:c r="C15" s="21" t="inlineStr">
        <x:is>
          <x:t xml:space="preserve"/>
        </x:is>
      </x:c>
      <x:c r="D15" s="21" t="inlineStr">
        <x:is>
          <x:t xml:space="preserve"/>
        </x:is>
      </x:c>
      <x:c r="E15" s="16" t="n">
        <x:v>0</x:v>
      </x:c>
      <x:c r="F15" s="21" t="inlineStr">
        <x:is>
          <x:t xml:space="preserve"/>
        </x:is>
      </x:c>
      <x:c r="G15" s="21" t="n">
        <x:v>0</x:v>
      </x:c>
      <x:c r="H15" s="21" t="n">
        <x:v>0</x:v>
      </x:c>
      <x:c r="I15" s="21" t="n">
        <x:v>0</x:v>
      </x:c>
      <x:c r="J15" s="21" t="n">
        <x:v>0</x:v>
      </x:c>
      <x:c r="K15" s="25" t="n">
        <x:f>IF(G15=0,0,J15/G15)</x:f>
        <x:v>0</x:v>
      </x:c>
      <x:c r="L15" s="13" t="n">
        <x:f>E15*J15</x:f>
        <x:v>0</x:v>
      </x:c>
      <x:c r="M15" s="21" t="inlineStr">
        <x:is>
          <x:t xml:space="preserve"/>
        </x:is>
      </x:c>
      <x:c r="N15" s="21" t="inlineStr">
        <x:is>
          <x:t xml:space="preserve"/>
        </x:is>
      </x:c>
      <x:c r="O15" s="21" t="inlineStr">
        <x:is>
          <x:t xml:space="preserve">Founder</x:t>
        </x:is>
      </x:c>
      <x:c r="P15" s="21" t="inlineStr">
        <x:is>
          <x:t xml:space="preserve">Backlog</x:t>
        </x:is>
      </x:c>
    </x:row>
    <x:row r="16" ht="44" customHeight="1">
      <x:c r="A16" s="5" t="inlineStr">
        <x:is>
          <x:t xml:space="preserve">R12</x:t>
        </x:is>
      </x:c>
      <x:c r="B16" s="21" t="inlineStr">
        <x:is>
          <x:t xml:space="preserve"/>
        </x:is>
      </x:c>
      <x:c r="C16" s="21" t="inlineStr">
        <x:is>
          <x:t xml:space="preserve"/>
        </x:is>
      </x:c>
      <x:c r="D16" s="21" t="inlineStr">
        <x:is>
          <x:t xml:space="preserve"/>
        </x:is>
      </x:c>
      <x:c r="E16" s="16" t="n">
        <x:v>0</x:v>
      </x:c>
      <x:c r="F16" s="21" t="inlineStr">
        <x:is>
          <x:t xml:space="preserve"/>
        </x:is>
      </x:c>
      <x:c r="G16" s="21" t="n">
        <x:v>0</x:v>
      </x:c>
      <x:c r="H16" s="21" t="n">
        <x:v>0</x:v>
      </x:c>
      <x:c r="I16" s="21" t="n">
        <x:v>0</x:v>
      </x:c>
      <x:c r="J16" s="21" t="n">
        <x:v>0</x:v>
      </x:c>
      <x:c r="K16" s="25" t="n">
        <x:f>IF(G16=0,0,J16/G16)</x:f>
        <x:v>0</x:v>
      </x:c>
      <x:c r="L16" s="13" t="n">
        <x:f>E16*J16</x:f>
        <x:v>0</x:v>
      </x:c>
      <x:c r="M16" s="21" t="inlineStr">
        <x:is>
          <x:t xml:space="preserve"/>
        </x:is>
      </x:c>
      <x:c r="N16" s="21" t="inlineStr">
        <x:is>
          <x:t xml:space="preserve"/>
        </x:is>
      </x:c>
      <x:c r="O16" s="21" t="inlineStr">
        <x:is>
          <x:t xml:space="preserve">Founder</x:t>
        </x:is>
      </x:c>
      <x:c r="P16" s="21" t="inlineStr">
        <x:is>
          <x:t xml:space="preserve">Backlog</x:t>
        </x:is>
      </x:c>
    </x:row>
    <x:row r="17" ht="44" customHeight="1">
      <x:c r="A17" s="7" t="inlineStr">
        <x:is>
          <x:t xml:space="preserve">R13</x:t>
        </x:is>
      </x:c>
      <x:c r="B17" s="21" t="inlineStr">
        <x:is>
          <x:t xml:space="preserve"/>
        </x:is>
      </x:c>
      <x:c r="C17" s="21" t="inlineStr">
        <x:is>
          <x:t xml:space="preserve"/>
        </x:is>
      </x:c>
      <x:c r="D17" s="21" t="inlineStr">
        <x:is>
          <x:t xml:space="preserve"/>
        </x:is>
      </x:c>
      <x:c r="E17" s="16" t="n">
        <x:v>0</x:v>
      </x:c>
      <x:c r="F17" s="21" t="inlineStr">
        <x:is>
          <x:t xml:space="preserve"/>
        </x:is>
      </x:c>
      <x:c r="G17" s="21" t="n">
        <x:v>0</x:v>
      </x:c>
      <x:c r="H17" s="21" t="n">
        <x:v>0</x:v>
      </x:c>
      <x:c r="I17" s="21" t="n">
        <x:v>0</x:v>
      </x:c>
      <x:c r="J17" s="21" t="n">
        <x:v>0</x:v>
      </x:c>
      <x:c r="K17" s="25" t="n">
        <x:f>IF(G17=0,0,J17/G17)</x:f>
        <x:v>0</x:v>
      </x:c>
      <x:c r="L17" s="13" t="n">
        <x:f>E17*J17</x:f>
        <x:v>0</x:v>
      </x:c>
      <x:c r="M17" s="21" t="inlineStr">
        <x:is>
          <x:t xml:space="preserve"/>
        </x:is>
      </x:c>
      <x:c r="N17" s="21" t="inlineStr">
        <x:is>
          <x:t xml:space="preserve"/>
        </x:is>
      </x:c>
      <x:c r="O17" s="21" t="inlineStr">
        <x:is>
          <x:t xml:space="preserve">Founder</x:t>
        </x:is>
      </x:c>
      <x:c r="P17" s="21" t="inlineStr">
        <x:is>
          <x:t xml:space="preserve">Backlog</x:t>
        </x:is>
      </x:c>
    </x:row>
    <x:row r="18" ht="44" customHeight="1">
      <x:c r="A18" s="5" t="inlineStr">
        <x:is>
          <x:t xml:space="preserve">R14</x:t>
        </x:is>
      </x:c>
      <x:c r="B18" s="21" t="inlineStr">
        <x:is>
          <x:t xml:space="preserve"/>
        </x:is>
      </x:c>
      <x:c r="C18" s="21" t="inlineStr">
        <x:is>
          <x:t xml:space="preserve"/>
        </x:is>
      </x:c>
      <x:c r="D18" s="21" t="inlineStr">
        <x:is>
          <x:t xml:space="preserve"/>
        </x:is>
      </x:c>
      <x:c r="E18" s="16" t="n">
        <x:v>0</x:v>
      </x:c>
      <x:c r="F18" s="21" t="inlineStr">
        <x:is>
          <x:t xml:space="preserve"/>
        </x:is>
      </x:c>
      <x:c r="G18" s="21" t="n">
        <x:v>0</x:v>
      </x:c>
      <x:c r="H18" s="21" t="n">
        <x:v>0</x:v>
      </x:c>
      <x:c r="I18" s="21" t="n">
        <x:v>0</x:v>
      </x:c>
      <x:c r="J18" s="21" t="n">
        <x:v>0</x:v>
      </x:c>
      <x:c r="K18" s="25" t="n">
        <x:f>IF(G18=0,0,J18/G18)</x:f>
        <x:v>0</x:v>
      </x:c>
      <x:c r="L18" s="13" t="n">
        <x:f>E18*J18</x:f>
        <x:v>0</x:v>
      </x:c>
      <x:c r="M18" s="21" t="inlineStr">
        <x:is>
          <x:t xml:space="preserve"/>
        </x:is>
      </x:c>
      <x:c r="N18" s="21" t="inlineStr">
        <x:is>
          <x:t xml:space="preserve"/>
        </x:is>
      </x:c>
      <x:c r="O18" s="21" t="inlineStr">
        <x:is>
          <x:t xml:space="preserve">Founder</x:t>
        </x:is>
      </x:c>
      <x:c r="P18" s="21" t="inlineStr">
        <x:is>
          <x:t xml:space="preserve">Backlog</x:t>
        </x:is>
      </x:c>
    </x:row>
    <x:row r="19" ht="44" customHeight="1">
      <x:c r="A19" s="7" t="inlineStr">
        <x:is>
          <x:t xml:space="preserve">R15</x:t>
        </x:is>
      </x:c>
      <x:c r="B19" s="21" t="inlineStr">
        <x:is>
          <x:t xml:space="preserve"/>
        </x:is>
      </x:c>
      <x:c r="C19" s="21" t="inlineStr">
        <x:is>
          <x:t xml:space="preserve"/>
        </x:is>
      </x:c>
      <x:c r="D19" s="21" t="inlineStr">
        <x:is>
          <x:t xml:space="preserve"/>
        </x:is>
      </x:c>
      <x:c r="E19" s="16" t="n">
        <x:v>0</x:v>
      </x:c>
      <x:c r="F19" s="21" t="inlineStr">
        <x:is>
          <x:t xml:space="preserve"/>
        </x:is>
      </x:c>
      <x:c r="G19" s="21" t="n">
        <x:v>0</x:v>
      </x:c>
      <x:c r="H19" s="21" t="n">
        <x:v>0</x:v>
      </x:c>
      <x:c r="I19" s="21" t="n">
        <x:v>0</x:v>
      </x:c>
      <x:c r="J19" s="21" t="n">
        <x:v>0</x:v>
      </x:c>
      <x:c r="K19" s="25" t="n">
        <x:f>IF(G19=0,0,J19/G19)</x:f>
        <x:v>0</x:v>
      </x:c>
      <x:c r="L19" s="13" t="n">
        <x:f>E19*J19</x:f>
        <x:v>0</x:v>
      </x:c>
      <x:c r="M19" s="21" t="inlineStr">
        <x:is>
          <x:t xml:space="preserve"/>
        </x:is>
      </x:c>
      <x:c r="N19" s="21" t="inlineStr">
        <x:is>
          <x:t xml:space="preserve"/>
        </x:is>
      </x:c>
      <x:c r="O19" s="21" t="inlineStr">
        <x:is>
          <x:t xml:space="preserve">Founder</x:t>
        </x:is>
      </x:c>
      <x:c r="P19" s="21" t="inlineStr">
        <x:is>
          <x:t xml:space="preserve">Backlog</x:t>
        </x:is>
      </x:c>
    </x:row>
    <x:row r="20" ht="44" customHeight="1">
      <x:c r="A20" s="5" t="inlineStr">
        <x:is>
          <x:t xml:space="preserve">R16</x:t>
        </x:is>
      </x:c>
      <x:c r="B20" s="21" t="inlineStr">
        <x:is>
          <x:t xml:space="preserve"/>
        </x:is>
      </x:c>
      <x:c r="C20" s="21" t="inlineStr">
        <x:is>
          <x:t xml:space="preserve"/>
        </x:is>
      </x:c>
      <x:c r="D20" s="21" t="inlineStr">
        <x:is>
          <x:t xml:space="preserve"/>
        </x:is>
      </x:c>
      <x:c r="E20" s="16" t="n">
        <x:v>0</x:v>
      </x:c>
      <x:c r="F20" s="21" t="inlineStr">
        <x:is>
          <x:t xml:space="preserve"/>
        </x:is>
      </x:c>
      <x:c r="G20" s="21" t="n">
        <x:v>0</x:v>
      </x:c>
      <x:c r="H20" s="21" t="n">
        <x:v>0</x:v>
      </x:c>
      <x:c r="I20" s="21" t="n">
        <x:v>0</x:v>
      </x:c>
      <x:c r="J20" s="21" t="n">
        <x:v>0</x:v>
      </x:c>
      <x:c r="K20" s="25" t="n">
        <x:f>IF(G20=0,0,J20/G20)</x:f>
        <x:v>0</x:v>
      </x:c>
      <x:c r="L20" s="13" t="n">
        <x:f>E20*J20</x:f>
        <x:v>0</x:v>
      </x:c>
      <x:c r="M20" s="21" t="inlineStr">
        <x:is>
          <x:t xml:space="preserve"/>
        </x:is>
      </x:c>
      <x:c r="N20" s="21" t="inlineStr">
        <x:is>
          <x:t xml:space="preserve"/>
        </x:is>
      </x:c>
      <x:c r="O20" s="21" t="inlineStr">
        <x:is>
          <x:t xml:space="preserve">Founder</x:t>
        </x:is>
      </x:c>
      <x:c r="P20" s="21" t="inlineStr">
        <x:is>
          <x:t xml:space="preserve">Backlog</x:t>
        </x:is>
      </x:c>
    </x:row>
    <x:row r="21" ht="44" customHeight="1">
      <x:c r="A21" s="7" t="inlineStr">
        <x:is>
          <x:t xml:space="preserve">R17</x:t>
        </x:is>
      </x:c>
      <x:c r="B21" s="21" t="inlineStr">
        <x:is>
          <x:t xml:space="preserve"/>
        </x:is>
      </x:c>
      <x:c r="C21" s="21" t="inlineStr">
        <x:is>
          <x:t xml:space="preserve"/>
        </x:is>
      </x:c>
      <x:c r="D21" s="21" t="inlineStr">
        <x:is>
          <x:t xml:space="preserve"/>
        </x:is>
      </x:c>
      <x:c r="E21" s="16" t="n">
        <x:v>0</x:v>
      </x:c>
      <x:c r="F21" s="21" t="inlineStr">
        <x:is>
          <x:t xml:space="preserve"/>
        </x:is>
      </x:c>
      <x:c r="G21" s="21" t="n">
        <x:v>0</x:v>
      </x:c>
      <x:c r="H21" s="21" t="n">
        <x:v>0</x:v>
      </x:c>
      <x:c r="I21" s="21" t="n">
        <x:v>0</x:v>
      </x:c>
      <x:c r="J21" s="21" t="n">
        <x:v>0</x:v>
      </x:c>
      <x:c r="K21" s="25" t="n">
        <x:f>IF(G21=0,0,J21/G21)</x:f>
        <x:v>0</x:v>
      </x:c>
      <x:c r="L21" s="13" t="n">
        <x:f>E21*J21</x:f>
        <x:v>0</x:v>
      </x:c>
      <x:c r="M21" s="21" t="inlineStr">
        <x:is>
          <x:t xml:space="preserve"/>
        </x:is>
      </x:c>
      <x:c r="N21" s="21" t="inlineStr">
        <x:is>
          <x:t xml:space="preserve"/>
        </x:is>
      </x:c>
      <x:c r="O21" s="21" t="inlineStr">
        <x:is>
          <x:t xml:space="preserve">Founder</x:t>
        </x:is>
      </x:c>
      <x:c r="P21" s="21" t="inlineStr">
        <x:is>
          <x:t xml:space="preserve">Backlog</x:t>
        </x:is>
      </x:c>
    </x:row>
    <x:row r="22" ht="44" customHeight="1">
      <x:c r="A22" s="5" t="inlineStr">
        <x:is>
          <x:t xml:space="preserve">R18</x:t>
        </x:is>
      </x:c>
      <x:c r="B22" s="21" t="inlineStr">
        <x:is>
          <x:t xml:space="preserve"/>
        </x:is>
      </x:c>
      <x:c r="C22" s="21" t="inlineStr">
        <x:is>
          <x:t xml:space="preserve"/>
        </x:is>
      </x:c>
      <x:c r="D22" s="21" t="inlineStr">
        <x:is>
          <x:t xml:space="preserve"/>
        </x:is>
      </x:c>
      <x:c r="E22" s="16" t="n">
        <x:v>0</x:v>
      </x:c>
      <x:c r="F22" s="21" t="inlineStr">
        <x:is>
          <x:t xml:space="preserve"/>
        </x:is>
      </x:c>
      <x:c r="G22" s="21" t="n">
        <x:v>0</x:v>
      </x:c>
      <x:c r="H22" s="21" t="n">
        <x:v>0</x:v>
      </x:c>
      <x:c r="I22" s="21" t="n">
        <x:v>0</x:v>
      </x:c>
      <x:c r="J22" s="21" t="n">
        <x:v>0</x:v>
      </x:c>
      <x:c r="K22" s="25" t="n">
        <x:f>IF(G22=0,0,J22/G22)</x:f>
        <x:v>0</x:v>
      </x:c>
      <x:c r="L22" s="13" t="n">
        <x:f>E22*J22</x:f>
        <x:v>0</x:v>
      </x:c>
      <x:c r="M22" s="21" t="inlineStr">
        <x:is>
          <x:t xml:space="preserve"/>
        </x:is>
      </x:c>
      <x:c r="N22" s="21" t="inlineStr">
        <x:is>
          <x:t xml:space="preserve"/>
        </x:is>
      </x:c>
      <x:c r="O22" s="21" t="inlineStr">
        <x:is>
          <x:t xml:space="preserve">Founder</x:t>
        </x:is>
      </x:c>
      <x:c r="P22" s="21" t="inlineStr">
        <x:is>
          <x:t xml:space="preserve">Backlog</x:t>
        </x:is>
      </x:c>
    </x:row>
    <x:row r="23" ht="44" customHeight="1">
      <x:c r="A23" s="7" t="inlineStr">
        <x:is>
          <x:t xml:space="preserve">R19</x:t>
        </x:is>
      </x:c>
      <x:c r="B23" s="21" t="inlineStr">
        <x:is>
          <x:t xml:space="preserve"/>
        </x:is>
      </x:c>
      <x:c r="C23" s="21" t="inlineStr">
        <x:is>
          <x:t xml:space="preserve"/>
        </x:is>
      </x:c>
      <x:c r="D23" s="21" t="inlineStr">
        <x:is>
          <x:t xml:space="preserve"/>
        </x:is>
      </x:c>
      <x:c r="E23" s="16" t="n">
        <x:v>0</x:v>
      </x:c>
      <x:c r="F23" s="21" t="inlineStr">
        <x:is>
          <x:t xml:space="preserve"/>
        </x:is>
      </x:c>
      <x:c r="G23" s="21" t="n">
        <x:v>0</x:v>
      </x:c>
      <x:c r="H23" s="21" t="n">
        <x:v>0</x:v>
      </x:c>
      <x:c r="I23" s="21" t="n">
        <x:v>0</x:v>
      </x:c>
      <x:c r="J23" s="21" t="n">
        <x:v>0</x:v>
      </x:c>
      <x:c r="K23" s="25" t="n">
        <x:f>IF(G23=0,0,J23/G23)</x:f>
        <x:v>0</x:v>
      </x:c>
      <x:c r="L23" s="13" t="n">
        <x:f>E23*J23</x:f>
        <x:v>0</x:v>
      </x:c>
      <x:c r="M23" s="21" t="inlineStr">
        <x:is>
          <x:t xml:space="preserve"/>
        </x:is>
      </x:c>
      <x:c r="N23" s="21" t="inlineStr">
        <x:is>
          <x:t xml:space="preserve"/>
        </x:is>
      </x:c>
      <x:c r="O23" s="21" t="inlineStr">
        <x:is>
          <x:t xml:space="preserve">Founder</x:t>
        </x:is>
      </x:c>
      <x:c r="P23" s="21" t="inlineStr">
        <x:is>
          <x:t xml:space="preserve">Backlog</x:t>
        </x:is>
      </x:c>
    </x:row>
    <x:row r="24" ht="44" customHeight="1">
      <x:c r="A24" s="5" t="inlineStr">
        <x:is>
          <x:t xml:space="preserve">R20</x:t>
        </x:is>
      </x:c>
      <x:c r="B24" s="21" t="inlineStr">
        <x:is>
          <x:t xml:space="preserve"/>
        </x:is>
      </x:c>
      <x:c r="C24" s="21" t="inlineStr">
        <x:is>
          <x:t xml:space="preserve"/>
        </x:is>
      </x:c>
      <x:c r="D24" s="21" t="inlineStr">
        <x:is>
          <x:t xml:space="preserve"/>
        </x:is>
      </x:c>
      <x:c r="E24" s="16" t="n">
        <x:v>0</x:v>
      </x:c>
      <x:c r="F24" s="21" t="inlineStr">
        <x:is>
          <x:t xml:space="preserve"/>
        </x:is>
      </x:c>
      <x:c r="G24" s="21" t="n">
        <x:v>0</x:v>
      </x:c>
      <x:c r="H24" s="21" t="n">
        <x:v>0</x:v>
      </x:c>
      <x:c r="I24" s="21" t="n">
        <x:v>0</x:v>
      </x:c>
      <x:c r="J24" s="21" t="n">
        <x:v>0</x:v>
      </x:c>
      <x:c r="K24" s="25" t="n">
        <x:f>IF(G24=0,0,J24/G24)</x:f>
        <x:v>0</x:v>
      </x:c>
      <x:c r="L24" s="13" t="n">
        <x:f>E24*J24</x:f>
        <x:v>0</x:v>
      </x:c>
      <x:c r="M24" s="21" t="inlineStr">
        <x:is>
          <x:t xml:space="preserve"/>
        </x:is>
      </x:c>
      <x:c r="N24" s="21" t="inlineStr">
        <x:is>
          <x:t xml:space="preserve"/>
        </x:is>
      </x:c>
      <x:c r="O24" s="21" t="inlineStr">
        <x:is>
          <x:t xml:space="preserve">Founder</x:t>
        </x:is>
      </x:c>
      <x:c r="P24" s="21" t="inlineStr">
        <x:is>
          <x:t xml:space="preserve">Backlog</x:t>
        </x:is>
      </x:c>
    </x:row>
  </x:sheetData>
  <x:dataValidations count="1">
    <x:dataValidation type="list" allowBlank="1" showDropDown="0" showInputMessage="0" showErrorMessage="0" sqref="P5:P24">
      <x:formula1>=Lists!$G$5:$G$15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357b56d19748d5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5" customWidth="1"/>
    <x:col min="3" max="3" width="50" customWidth="1"/>
    <x:col min="4" max="4" width="20" customWidth="1"/>
    <x:col min="5" max="5" width="24" customWidth="1"/>
    <x:col min="6" max="6" width="24" customWidth="1"/>
    <x:col min="7" max="7" width="42" customWidth="1"/>
    <x:col min="8" max="8" width="18" customWidth="1"/>
    <x:col min="9" max="9" width="16" customWidth="1"/>
    <x:col min="10" max="10" width="20" customWidth="1"/>
    <x:col min="11" max="11" width="28" customWidth="1"/>
  </x:cols>
  <x:sheetData>
    <x:row r="1" ht="30" customHeight="1">
      <x:c r="A1" s="1" t="n"/>
      <x:c r="B1" s="1" t="inlineStr">
        <x:is>
          <x:t xml:space="preserve">Hiring &amp; Office Decision Gates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 ht="34" customHeight="1">
      <x:c r="A2" s="2" t="n"/>
      <x:c r="B2" s="2" t="inlineStr">
        <x:is>
          <x:t xml:space="preserve">Protects you from emotional hiring and rent before the business can support it.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/>
    <x:row r="4" ht="24" customHeight="1">
      <x:c r="A4" s="3" t="inlineStr">
        <x:is>
          <x:t xml:space="preserve">Default decision</x:t>
        </x:is>
      </x:c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</x:row>
    <x:row r="5" ht="32" customHeight="1">
      <x:c r="A5" s="10" t="inlineStr">
        <x:is>
          <x:t xml:space="preserve">Decision</x:t>
        </x:is>
      </x:c>
      <x:c r="B5" s="10" t="inlineStr">
        <x:is>
          <x:t xml:space="preserve">Answer</x:t>
        </x:is>
      </x:c>
      <x:c r="C5" s="10" t="inlineStr">
        <x:is>
          <x:t xml:space="preserve">Reason</x:t>
        </x:is>
      </x:c>
      <x:c r="D5" s="10" t="inlineStr">
        <x:is>
          <x:t xml:space="preserve">Current Gate</x:t>
        </x:is>
      </x:c>
      <x:c r="E5" s="10" t="inlineStr">
        <x:is>
          <x:t xml:space="preserve">Gate Status</x:t>
        </x:is>
      </x:c>
      <x:c r="F5" s="10" t="inlineStr">
        <x:is>
          <x:t xml:space="preserve">Review Timing</x:t>
        </x:is>
      </x:c>
      <x:c r="G5" s="10" t="inlineStr">
        <x:is>
          <x:t xml:space="preserve">Operating Rule</x:t>
        </x:is>
      </x:c>
    </x:row>
    <x:row r="6" ht="52" customHeight="1">
      <x:c r="A6" s="5" t="inlineStr">
        <x:is>
          <x:t xml:space="preserve">Office</x:t>
        </x:is>
      </x:c>
      <x:c r="B6" s="6" t="inlineStr">
        <x:is>
          <x:t xml:space="preserve">NO — not yet</x:t>
        </x:is>
      </x:c>
      <x:c r="C6" s="5" t="inlineStr">
        <x:is>
          <x:t xml:space="preserve">Keep remote-first. Reconsider only when physical operations are necessary and revenue covers 3× rent/overheads for six months.</x:t>
        </x:is>
      </x:c>
      <x:c r="D6" s="5" t="inlineStr">
        <x:is>
          <x:t xml:space="preserve">Revenue + need gate</x:t>
        </x:is>
      </x:c>
      <x:c r="E6" s="5" t="inlineStr">
        <x:is>
          <x:t xml:space="preserve">Not met</x:t>
        </x:is>
      </x:c>
      <x:c r="F6" s="5" t="inlineStr">
        <x:is>
          <x:t xml:space="preserve">Quarterly</x:t>
        </x:is>
      </x:c>
      <x:c r="G6" s="5" t="inlineStr">
        <x:is>
          <x:t xml:space="preserve">Use pay-per-use meeting space only.</x:t>
        </x:is>
      </x:c>
    </x:row>
    <x:row r="7" ht="52" customHeight="1">
      <x:c r="A7" s="7" t="inlineStr">
        <x:is>
          <x:t xml:space="preserve">Full-time employee</x:t>
        </x:is>
      </x:c>
      <x:c r="B7" s="6" t="inlineStr">
        <x:is>
          <x:t xml:space="preserve">NO — not yet</x:t>
        </x:is>
      </x:c>
      <x:c r="C7" s="7" t="inlineStr">
        <x:is>
          <x:t xml:space="preserve">A live app and early subscriptions do not yet justify a recurring salary. Revenue must cover 1.5× total role cost for three months plus reserve.</x:t>
        </x:is>
      </x:c>
      <x:c r="D7" s="7" t="inlineStr">
        <x:is>
          <x:t xml:space="preserve">Revenue + reserve gate</x:t>
        </x:is>
      </x:c>
      <x:c r="E7" s="7" t="inlineStr">
        <x:is>
          <x:t xml:space="preserve">Not met</x:t>
        </x:is>
      </x:c>
      <x:c r="F7" s="7" t="inlineStr">
        <x:is>
          <x:t xml:space="preserve">Monthly after Week 12</x:t>
        </x:is>
      </x:c>
      <x:c r="G7" s="7" t="inlineStr">
        <x:is>
          <x:t xml:space="preserve">Founder + output contractors.</x:t>
        </x:is>
      </x:c>
    </x:row>
    <x:row r="8" ht="52" customHeight="1">
      <x:c r="A8" s="5" t="inlineStr">
        <x:is>
          <x:t xml:space="preserve">Part-time contractor</x:t>
        </x:is>
      </x:c>
      <x:c r="B8" s="6" t="inlineStr">
        <x:is>
          <x:t xml:space="preserve">YES — selectively</x:t>
        </x:is>
      </x:c>
      <x:c r="C8" s="5" t="inlineStr">
        <x:is>
          <x:t xml:space="preserve">Use a contractor only for a documented bottleneck that saves at least five founder hours per week.</x:t>
        </x:is>
      </x:c>
      <x:c r="D8" s="5" t="inlineStr">
        <x:is>
          <x:t xml:space="preserve">Allowed</x:t>
        </x:is>
      </x:c>
      <x:c r="E8" s="5" t="inlineStr">
        <x:is>
          <x:t xml:space="preserve">Must have deliverable + budget cap</x:t>
        </x:is>
      </x:c>
      <x:c r="F8" s="5" t="inlineStr">
        <x:is>
          <x:t xml:space="preserve">Weekly</x:t>
        </x:is>
      </x:c>
      <x:c r="G8" s="5" t="inlineStr">
        <x:is>
          <x:t xml:space="preserve">Pay per output, not vague help</x:t>
        </x:is>
      </x:c>
    </x:row>
    <x:row r="9"/>
    <x:row r="10"/>
    <x:row r="11" ht="24" customHeight="1">
      <x:c r="A11" s="11" t="inlineStr">
        <x:is>
          <x:t xml:space="preserve">Contractor / role tracker</x:t>
        </x:is>
      </x:c>
      <x:c r="B11" s="11" t="n"/>
      <x:c r="C11" s="11" t="n"/>
      <x:c r="D11" s="11" t="n"/>
      <x:c r="E11" s="11" t="n"/>
      <x:c r="F11" s="11" t="n"/>
      <x:c r="G11" s="11" t="n"/>
      <x:c r="H11" s="11" t="n"/>
      <x:c r="I11" s="11" t="n"/>
      <x:c r="J11" s="11" t="n"/>
      <x:c r="K11" s="11" t="n"/>
    </x:row>
    <x:row r="12" ht="32" customHeight="1">
      <x:c r="A12" s="10" t="inlineStr">
        <x:is>
          <x:t xml:space="preserve">Role</x:t>
        </x:is>
      </x:c>
      <x:c r="B12" s="10" t="inlineStr">
        <x:is>
          <x:t xml:space="preserve">Role Type</x:t>
        </x:is>
      </x:c>
      <x:c r="C12" s="10" t="inlineStr">
        <x:is>
          <x:t xml:space="preserve">Task</x:t>
        </x:is>
      </x:c>
      <x:c r="D12" s="10" t="inlineStr">
        <x:is>
          <x:t xml:space="preserve">Why Needed</x:t>
        </x:is>
      </x:c>
      <x:c r="E12" s="10" t="inlineStr">
        <x:is>
          <x:t xml:space="preserve">Weekly Hours Saved</x:t>
        </x:is>
      </x:c>
      <x:c r="F12" s="10" t="inlineStr">
        <x:is>
          <x:t xml:space="preserve">Budget Cap KES</x:t>
        </x:is>
      </x:c>
      <x:c r="G12" s="10" t="inlineStr">
        <x:is>
          <x:t xml:space="preserve">Trigger to Hire</x:t>
        </x:is>
      </x:c>
      <x:c r="H12" s="10" t="inlineStr">
        <x:is>
          <x:t xml:space="preserve">SOP Ready?</x:t>
        </x:is>
      </x:c>
      <x:c r="I12" s="10" t="inlineStr">
        <x:is>
          <x:t xml:space="preserve">Trial Week</x:t>
        </x:is>
      </x:c>
      <x:c r="J12" s="10" t="inlineStr">
        <x:is>
          <x:t xml:space="preserve">Decision</x:t>
        </x:is>
      </x:c>
      <x:c r="K12" s="10" t="inlineStr">
        <x:is>
          <x:t xml:space="preserve">Notes</x:t>
        </x:is>
      </x:c>
    </x:row>
    <x:row r="13" ht="56" customHeight="1">
      <x:c r="A13" s="21" t="inlineStr">
        <x:is>
          <x:t xml:space="preserve">Video editor</x:t>
        </x:is>
      </x:c>
      <x:c r="B13" s="21" t="inlineStr">
        <x:is>
          <x:t xml:space="preserve">Freelancer</x:t>
        </x:is>
      </x:c>
      <x:c r="C13" s="21" t="inlineStr">
        <x:is>
          <x:t xml:space="preserve">Edit 5-10 short videos from phone footage</x:t>
        </x:is>
      </x:c>
      <x:c r="D13" s="21" t="inlineStr">
        <x:is>
          <x:t xml:space="preserve">Content consistency without founder editing burnout</x:t>
        </x:is>
      </x:c>
      <x:c r="E13" s="21" t="n">
        <x:v>4</x:v>
      </x:c>
      <x:c r="F13" s="16" t="n">
        <x:v>3000</x:v>
      </x:c>
      <x:c r="G13" s="21" t="inlineStr">
        <x:is>
          <x:t xml:space="preserve">2 weeks of raw footage backlog</x:t>
        </x:is>
      </x:c>
      <x:c r="H13" s="21" t="inlineStr">
        <x:is>
          <x:t xml:space="preserve">No</x:t>
        </x:is>
      </x:c>
      <x:c r="I13" s="21" t="n">
        <x:v>8</x:v>
      </x:c>
      <x:c r="J13" s="21" t="inlineStr">
        <x:is>
          <x:t xml:space="preserve">Wait</x:t>
        </x:is>
      </x:c>
      <x:c r="K13" s="21" t="inlineStr">
        <x:is>
          <x:t xml:space="preserve"/>
        </x:is>
      </x:c>
    </x:row>
    <x:row r="14" ht="56" customHeight="1">
      <x:c r="A14" s="21" t="inlineStr">
        <x:is>
          <x:t xml:space="preserve">Field verifier</x:t>
        </x:is>
      </x:c>
      <x:c r="B14" s="21" t="inlineStr">
        <x:is>
          <x:t xml:space="preserve">Part-time Contractor</x:t>
        </x:is>
      </x:c>
      <x:c r="C14" s="21" t="inlineStr">
        <x:is>
          <x:t xml:space="preserve">Collect road/sign/photo evidence on assigned corridor</x:t>
        </x:is>
      </x:c>
      <x:c r="D14" s="21" t="inlineStr">
        <x:is>
          <x:t xml:space="preserve">Build data moat faster without copying sources</x:t>
        </x:is>
      </x:c>
      <x:c r="E14" s="21" t="n">
        <x:v>5</x:v>
      </x:c>
      <x:c r="F14" s="16" t="n">
        <x:v>3000</x:v>
      </x:c>
      <x:c r="G14" s="21" t="inlineStr">
        <x:is>
          <x:t xml:space="preserve">Verification backlog &gt;20 records</x:t>
        </x:is>
      </x:c>
      <x:c r="H14" s="21" t="inlineStr">
        <x:is>
          <x:t xml:space="preserve">No</x:t>
        </x:is>
      </x:c>
      <x:c r="I14" s="21" t="n">
        <x:v>10</x:v>
      </x:c>
      <x:c r="J14" s="21" t="inlineStr">
        <x:is>
          <x:t xml:space="preserve">Wait</x:t>
        </x:is>
      </x:c>
      <x:c r="K14" s="21" t="inlineStr">
        <x:is>
          <x:t xml:space="preserve"/>
        </x:is>
      </x:c>
    </x:row>
    <x:row r="15" ht="56" customHeight="1">
      <x:c r="A15" s="21" t="inlineStr">
        <x:is>
          <x:t xml:space="preserve">Community moderator</x:t>
        </x:is>
      </x:c>
      <x:c r="B15" s="21" t="inlineStr">
        <x:is>
          <x:t xml:space="preserve">Part-time Contractor</x:t>
        </x:is>
      </x:c>
      <x:c r="C15" s="21" t="inlineStr">
        <x:is>
          <x:t xml:space="preserve">Organize tester feedback and group rules</x:t>
        </x:is>
      </x:c>
      <x:c r="D15" s="21" t="inlineStr">
        <x:is>
          <x:t xml:space="preserve">Keep beta community safe and useful</x:t>
        </x:is>
      </x:c>
      <x:c r="E15" s="21" t="n">
        <x:v>3</x:v>
      </x:c>
      <x:c r="F15" s="16" t="n">
        <x:v>2000</x:v>
      </x:c>
      <x:c r="G15" s="21" t="inlineStr">
        <x:is>
          <x:t xml:space="preserve">Community &gt;150 active members</x:t>
        </x:is>
      </x:c>
      <x:c r="H15" s="21" t="inlineStr">
        <x:is>
          <x:t xml:space="preserve">No</x:t>
        </x:is>
      </x:c>
      <x:c r="I15" s="21" t="n">
        <x:v>12</x:v>
      </x:c>
      <x:c r="J15" s="21" t="inlineStr">
        <x:is>
          <x:t xml:space="preserve">Wait</x:t>
        </x:is>
      </x:c>
      <x:c r="K15" s="21" t="inlineStr">
        <x:is>
          <x:t xml:space="preserve"/>
        </x:is>
      </x:c>
    </x:row>
    <x:row r="16" ht="56" customHeight="1">
      <x:c r="A16" s="21" t="inlineStr">
        <x:is>
          <x:t xml:space="preserve">Sales/research assistant</x:t>
        </x:is>
      </x:c>
      <x:c r="B16" s="21" t="inlineStr">
        <x:is>
          <x:t xml:space="preserve">Freelancer</x:t>
        </x:is>
      </x:c>
      <x:c r="C16" s="21" t="inlineStr">
        <x:is>
          <x:t xml:space="preserve">Build partnership lead list and follow-ups</x:t>
        </x:is>
      </x:c>
      <x:c r="D16" s="21" t="inlineStr">
        <x:is>
          <x:t xml:space="preserve">Partnerships can beat ads when cash is tight</x:t>
        </x:is>
      </x:c>
      <x:c r="E16" s="21" t="n">
        <x:v>4</x:v>
      </x:c>
      <x:c r="F16" s="16" t="n">
        <x:v>2500</x:v>
      </x:c>
      <x:c r="G16" s="21" t="inlineStr">
        <x:is>
          <x:t xml:space="preserve">Pitch ready + 20 leads identified</x:t>
        </x:is>
      </x:c>
      <x:c r="H16" s="21" t="inlineStr">
        <x:is>
          <x:t xml:space="preserve">No</x:t>
        </x:is>
      </x:c>
      <x:c r="I16" s="21" t="n">
        <x:v>13</x:v>
      </x:c>
      <x:c r="J16" s="21" t="inlineStr">
        <x:is>
          <x:t xml:space="preserve">Wait</x:t>
        </x:is>
      </x:c>
      <x:c r="K16" s="21" t="inlineStr">
        <x:is>
          <x:t xml:space="preserve"/>
        </x:is>
      </x:c>
    </x:row>
    <x:row r="17" ht="42" customHeight="1">
      <x:c r="A17" s="21" t="inlineStr">
        <x:is>
          <x:t xml:space="preserve"/>
        </x:is>
      </x:c>
      <x:c r="B17" s="21" t="n"/>
      <x:c r="C17" s="21" t="n"/>
      <x:c r="D17" s="21" t="n"/>
      <x:c r="E17" s="21" t="n"/>
      <x:c r="F17" s="16" t="n"/>
      <x:c r="G17" s="21" t="n"/>
      <x:c r="H17" s="21" t="n"/>
      <x:c r="I17" s="21" t="n"/>
      <x:c r="J17" s="21" t="n"/>
      <x:c r="K17" s="21" t="n"/>
    </x:row>
    <x:row r="18" ht="42" customHeight="1">
      <x:c r="A18" s="21" t="inlineStr">
        <x:is>
          <x:t xml:space="preserve"/>
        </x:is>
      </x:c>
      <x:c r="B18" s="21" t="n"/>
      <x:c r="C18" s="21" t="n"/>
      <x:c r="D18" s="21" t="n"/>
      <x:c r="E18" s="21" t="n"/>
      <x:c r="F18" s="16" t="n"/>
      <x:c r="G18" s="21" t="n"/>
      <x:c r="H18" s="21" t="n"/>
      <x:c r="I18" s="21" t="n"/>
      <x:c r="J18" s="21" t="n"/>
      <x:c r="K18" s="21" t="n"/>
    </x:row>
    <x:row r="19" ht="42" customHeight="1">
      <x:c r="A19" s="21" t="inlineStr">
        <x:is>
          <x:t xml:space="preserve"/>
        </x:is>
      </x:c>
      <x:c r="B19" s="21" t="n"/>
      <x:c r="C19" s="21" t="n"/>
      <x:c r="D19" s="21" t="n"/>
      <x:c r="E19" s="21" t="n"/>
      <x:c r="F19" s="16" t="n"/>
      <x:c r="G19" s="21" t="n"/>
      <x:c r="H19" s="21" t="n"/>
      <x:c r="I19" s="21" t="n"/>
      <x:c r="J19" s="21" t="n"/>
      <x:c r="K19" s="21" t="n"/>
    </x:row>
    <x:row r="20" ht="42" customHeight="1">
      <x:c r="A20" s="21" t="inlineStr">
        <x:is>
          <x:t xml:space="preserve"/>
        </x:is>
      </x:c>
      <x:c r="B20" s="21" t="n"/>
      <x:c r="C20" s="21" t="n"/>
      <x:c r="D20" s="21" t="n"/>
      <x:c r="E20" s="21" t="n"/>
      <x:c r="F20" s="16" t="n"/>
      <x:c r="G20" s="21" t="n"/>
      <x:c r="H20" s="21" t="n"/>
      <x:c r="I20" s="21" t="n"/>
      <x:c r="J20" s="21" t="n"/>
      <x:c r="K20" s="21" t="n"/>
    </x:row>
    <x:row r="21" ht="42" customHeight="1">
      <x:c r="A21" s="21" t="inlineStr">
        <x:is>
          <x:t xml:space="preserve"/>
        </x:is>
      </x:c>
      <x:c r="B21" s="21" t="n"/>
      <x:c r="C21" s="21" t="n"/>
      <x:c r="D21" s="21" t="n"/>
      <x:c r="E21" s="21" t="n"/>
      <x:c r="F21" s="16" t="n"/>
      <x:c r="G21" s="21" t="n"/>
      <x:c r="H21" s="21" t="n"/>
      <x:c r="I21" s="21" t="n"/>
      <x:c r="J21" s="21" t="n"/>
      <x:c r="K21" s="21" t="n"/>
    </x:row>
    <x:row r="22" ht="42" customHeight="1">
      <x:c r="A22" s="21" t="inlineStr">
        <x:is>
          <x:t xml:space="preserve"/>
        </x:is>
      </x:c>
      <x:c r="B22" s="21" t="n"/>
      <x:c r="C22" s="21" t="n"/>
      <x:c r="D22" s="21" t="n"/>
      <x:c r="E22" s="21" t="n"/>
      <x:c r="F22" s="16" t="n"/>
      <x:c r="G22" s="21" t="n"/>
      <x:c r="H22" s="21" t="n"/>
      <x:c r="I22" s="21" t="n"/>
      <x:c r="J22" s="21" t="n"/>
      <x:c r="K22" s="21" t="n"/>
    </x:row>
    <x:row r="23" ht="42" customHeight="1">
      <x:c r="A23" s="21" t="inlineStr">
        <x:is>
          <x:t xml:space="preserve"/>
        </x:is>
      </x:c>
      <x:c r="B23" s="21" t="n"/>
      <x:c r="C23" s="21" t="n"/>
      <x:c r="D23" s="21" t="n"/>
      <x:c r="E23" s="21" t="n"/>
      <x:c r="F23" s="16" t="n"/>
      <x:c r="G23" s="21" t="n"/>
      <x:c r="H23" s="21" t="n"/>
      <x:c r="I23" s="21" t="n"/>
      <x:c r="J23" s="21" t="n"/>
      <x:c r="K23" s="21" t="n"/>
    </x:row>
    <x:row r="24" ht="42" customHeight="1">
      <x:c r="A24" s="21" t="inlineStr">
        <x:is>
          <x:t xml:space="preserve"/>
        </x:is>
      </x:c>
      <x:c r="B24" s="21" t="n"/>
      <x:c r="C24" s="21" t="n"/>
      <x:c r="D24" s="21" t="n"/>
      <x:c r="E24" s="21" t="n"/>
      <x:c r="F24" s="16" t="n"/>
      <x:c r="G24" s="21" t="n"/>
      <x:c r="H24" s="21" t="n"/>
      <x:c r="I24" s="21" t="n"/>
      <x:c r="J24" s="21" t="n"/>
      <x:c r="K24" s="21" t="n"/>
    </x:row>
    <x:row r="25" ht="42" customHeight="1">
      <x:c r="A25" s="21" t="inlineStr">
        <x:is>
          <x:t xml:space="preserve"/>
        </x:is>
      </x:c>
      <x:c r="B25" s="21" t="n"/>
      <x:c r="C25" s="21" t="n"/>
      <x:c r="D25" s="21" t="n"/>
      <x:c r="E25" s="21" t="n"/>
      <x:c r="F25" s="16" t="n"/>
      <x:c r="G25" s="21" t="n"/>
      <x:c r="H25" s="21" t="n"/>
      <x:c r="I25" s="21" t="n"/>
      <x:c r="J25" s="21" t="n"/>
      <x:c r="K25" s="21" t="n"/>
    </x:row>
    <x:row r="26" ht="42" customHeight="1">
      <x:c r="A26" s="21" t="inlineStr">
        <x:is>
          <x:t xml:space="preserve"/>
        </x:is>
      </x:c>
      <x:c r="B26" s="21" t="n"/>
      <x:c r="C26" s="21" t="n"/>
      <x:c r="D26" s="21" t="n"/>
      <x:c r="E26" s="21" t="n"/>
      <x:c r="F26" s="16" t="n"/>
      <x:c r="G26" s="21" t="n"/>
      <x:c r="H26" s="21" t="n"/>
      <x:c r="I26" s="21" t="n"/>
      <x:c r="J26" s="21" t="n"/>
      <x:c r="K26" s="21" t="n"/>
    </x:row>
    <x:row r="27" ht="42" customHeight="1">
      <x:c r="A27" s="21" t="inlineStr">
        <x:is>
          <x:t xml:space="preserve"/>
        </x:is>
      </x:c>
      <x:c r="B27" s="21" t="n"/>
      <x:c r="C27" s="21" t="n"/>
      <x:c r="D27" s="21" t="n"/>
      <x:c r="E27" s="21" t="n"/>
      <x:c r="F27" s="16" t="n"/>
      <x:c r="G27" s="21" t="n"/>
      <x:c r="H27" s="21" t="n"/>
      <x:c r="I27" s="21" t="n"/>
      <x:c r="J27" s="21" t="n"/>
      <x:c r="K27" s="21" t="n"/>
    </x:row>
    <x:row r="28" ht="42" customHeight="1">
      <x:c r="A28" s="21" t="inlineStr">
        <x:is>
          <x:t xml:space="preserve"/>
        </x:is>
      </x:c>
      <x:c r="B28" s="21" t="n"/>
      <x:c r="C28" s="21" t="n"/>
      <x:c r="D28" s="21" t="n"/>
      <x:c r="E28" s="21" t="n"/>
      <x:c r="F28" s="16" t="n"/>
      <x:c r="G28" s="21" t="n"/>
      <x:c r="H28" s="21" t="n"/>
      <x:c r="I28" s="21" t="n"/>
      <x:c r="J28" s="21" t="n"/>
      <x:c r="K28" s="21" t="n"/>
    </x:row>
    <x:row r="29" ht="42" customHeight="1">
      <x:c r="A29" s="21" t="inlineStr">
        <x:is>
          <x:t xml:space="preserve"/>
        </x:is>
      </x:c>
      <x:c r="B29" s="21" t="n"/>
      <x:c r="C29" s="21" t="n"/>
      <x:c r="D29" s="21" t="n"/>
      <x:c r="E29" s="21" t="n"/>
      <x:c r="F29" s="16" t="n"/>
      <x:c r="G29" s="21" t="n"/>
      <x:c r="H29" s="21" t="n"/>
      <x:c r="I29" s="21" t="n"/>
      <x:c r="J29" s="21" t="n"/>
      <x:c r="K29" s="21" t="n"/>
    </x:row>
    <x:row r="30" ht="42" customHeight="1">
      <x:c r="A30" s="21" t="inlineStr">
        <x:is>
          <x:t xml:space="preserve"/>
        </x:is>
      </x:c>
      <x:c r="B30" s="21" t="n"/>
      <x:c r="C30" s="21" t="n"/>
      <x:c r="D30" s="21" t="n"/>
      <x:c r="E30" s="21" t="n"/>
      <x:c r="F30" s="16" t="n"/>
      <x:c r="G30" s="21" t="n"/>
      <x:c r="H30" s="21" t="n"/>
      <x:c r="I30" s="21" t="n"/>
      <x:c r="J30" s="21" t="n"/>
      <x:c r="K30" s="21" t="n"/>
    </x:row>
    <x:row r="31" ht="42" customHeight="1">
      <x:c r="A31" s="21" t="inlineStr">
        <x:is>
          <x:t xml:space="preserve"/>
        </x:is>
      </x:c>
      <x:c r="B31" s="21" t="n"/>
      <x:c r="C31" s="21" t="n"/>
      <x:c r="D31" s="21" t="n"/>
      <x:c r="E31" s="21" t="n"/>
      <x:c r="F31" s="16" t="n"/>
      <x:c r="G31" s="21" t="n"/>
      <x:c r="H31" s="21" t="n"/>
      <x:c r="I31" s="21" t="n"/>
      <x:c r="J31" s="21" t="n"/>
      <x:c r="K31" s="21" t="n"/>
    </x:row>
    <x:row r="32"/>
    <x:row r="33"/>
    <x:row r="34" ht="24" customHeight="1">
      <x:c r="A34" s="3" t="inlineStr">
        <x:is>
          <x:t xml:space="preserve">Office math template</x:t>
        </x:is>
      </x:c>
      <x:c r="B34" s="3" t="n"/>
      <x:c r="C34" s="3" t="n"/>
      <x:c r="D34" s="3" t="n"/>
      <x:c r="E34" s="3" t="n"/>
      <x:c r="F34" s="3" t="n"/>
      <x:c r="G34" s="3" t="n"/>
      <x:c r="H34" s="3" t="n"/>
      <x:c r="I34" s="3" t="n"/>
      <x:c r="J34" s="3" t="n"/>
      <x:c r="K34" s="3" t="n"/>
    </x:row>
    <x:row r="35" ht="32" customHeight="1">
      <x:c r="A35" s="10" t="inlineStr">
        <x:is>
          <x:t xml:space="preserve">Metric</x:t>
        </x:is>
      </x:c>
      <x:c r="B35" s="10" t="inlineStr">
        <x:is>
          <x:t xml:space="preserve">Value</x:t>
        </x:is>
      </x:c>
      <x:c r="C35" s="10" t="inlineStr">
        <x:is>
          <x:t xml:space="preserve">Unit</x:t>
        </x:is>
      </x:c>
      <x:c r="D35" s="10" t="inlineStr">
        <x:is>
          <x:t xml:space="preserve">Comment</x:t>
        </x:is>
      </x:c>
    </x:row>
    <x:row r="36">
      <x:c r="A36" s="5" t="inlineStr">
        <x:is>
          <x:t xml:space="preserve">Estimated monthly office cost</x:t>
        </x:is>
      </x:c>
      <x:c r="B36" s="22" t="n">
        <x:v>0</x:v>
      </x:c>
      <x:c r="C36" s="5" t="inlineStr">
        <x:is>
          <x:t xml:space="preserve">KES</x:t>
        </x:is>
      </x:c>
      <x:c r="D36" s="5" t="inlineStr">
        <x:is>
          <x:t xml:space="preserve">Input real all-in cost.</x:t>
        </x:is>
      </x:c>
    </x:row>
    <x:row r="37">
      <x:c r="A37" s="7" t="inlineStr">
        <x:is>
          <x:t xml:space="preserve">Required monthly net revenue</x:t>
        </x:is>
      </x:c>
      <x:c r="B37" s="23" t="n">
        <x:f>B36*3</x:f>
        <x:v>0</x:v>
      </x:c>
      <x:c r="C37" s="7" t="inlineStr">
        <x:is>
          <x:t xml:space="preserve">KES</x:t>
        </x:is>
      </x:c>
      <x:c r="D37" s="7" t="inlineStr">
        <x:is>
          <x:t xml:space="preserve">Office gate requires 3x office cost for 3 months.</x:t>
        </x:is>
      </x:c>
    </x:row>
    <x:row r="38">
      <x:c r="A38" s="5" t="inlineStr">
        <x:is>
          <x:t xml:space="preserve">Current monthly net revenue</x:t>
        </x:is>
      </x:c>
      <x:c r="B38" s="22" t="n">
        <x:v>0</x:v>
      </x:c>
      <x:c r="C38" s="5" t="inlineStr">
        <x:is>
          <x:t xml:space="preserve">KES</x:t>
        </x:is>
      </x:c>
      <x:c r="D38" s="5" t="inlineStr">
        <x:is>
          <x:t xml:space="preserve">Input actual monthly net revenue.</x:t>
        </x:is>
      </x:c>
    </x:row>
    <x:row r="39">
      <x:c r="A39" s="7" t="inlineStr">
        <x:is>
          <x:t xml:space="preserve">Office gate result</x:t>
        </x:is>
      </x:c>
      <x:c r="B39" s="7" t="str">
        <x:f>IF(B38&gt;=B37,"Eligible to consider","No office yet")</x:f>
        <x:v>Eligible to consider</x:v>
      </x:c>
      <x:c r="C39" s="7" t="inlineStr">
        <x:is>
          <x:t xml:space="preserve"/>
        </x:is>
      </x:c>
      <x:c r="D39" s="7" t="inlineStr">
        <x:is>
          <x:t xml:space="preserve">Even if eligible, office must create measurable business value.</x:t>
        </x:is>
      </x:c>
    </x:row>
  </x:sheetData>
  <x:dataValidations count="2">
    <x:dataValidation type="list" allowBlank="1" showDropDown="0" showInputMessage="0" showErrorMessage="0" sqref="B13:B31">
      <x:formula1>=Lists!$H$5:$H$11</x:formula1>
    </x:dataValidation>
    <x:dataValidation type="list" allowBlank="1" showDropDown="0" showInputMessage="0" showErrorMessage="0" sqref="H13:H31">
      <x:formula1>=Lists!$E$5:$E$7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d43150e4e9431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5" customWidth="1"/>
    <x:col min="3" max="3" width="50" customWidth="1"/>
    <x:col min="4" max="4" width="16" customWidth="1"/>
    <x:col min="5" max="5" width="12" customWidth="1"/>
    <x:col min="6" max="6" width="18" customWidth="1"/>
    <x:col min="7" max="7" width="46" customWidth="1"/>
    <x:col min="8" max="8" width="16" customWidth="1"/>
    <x:col min="9" max="9" width="12" customWidth="1"/>
    <x:col min="10" max="10" width="24" customWidth="1"/>
    <x:col min="11" max="11" width="28" customWidth="1"/>
    <x:col min="12" max="12" width="30" customWidth="1"/>
  </x:cols>
  <x:sheetData>
    <x:row r="1" ht="30" customHeight="1">
      <x:c r="A1" s="1" t="n"/>
      <x:c r="B1" s="1" t="inlineStr">
        <x:is>
          <x:t xml:space="preserve">Compliance &amp; Admin Tracker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 ht="34" customHeight="1">
      <x:c r="A2" s="2" t="n"/>
      <x:c r="B2" s="2" t="inlineStr">
        <x:is>
          <x:t xml:space="preserve">Keep the business clean enough to accept users, partners, and payments without panic.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/>
    <x:row r="4" ht="32" customHeight="1">
      <x:c r="A4" s="10" t="inlineStr">
        <x:is>
          <x:t xml:space="preserve">Area</x:t>
        </x:is>
      </x:c>
      <x:c r="B4" s="10" t="inlineStr">
        <x:is>
          <x:t xml:space="preserve">Requirement</x:t>
        </x:is>
      </x:c>
      <x:c r="C4" s="10" t="inlineStr">
        <x:is>
          <x:t xml:space="preserve">Why It Matters</x:t>
        </x:is>
      </x:c>
      <x:c r="D4" s="10" t="inlineStr">
        <x:is>
          <x:t xml:space="preserve">Official Fee Ref</x:t>
        </x:is>
      </x:c>
      <x:c r="E4" s="10" t="inlineStr">
        <x:is>
          <x:t xml:space="preserve">Due Week</x:t>
        </x:is>
      </x:c>
      <x:c r="F4" s="10" t="inlineStr">
        <x:is>
          <x:t xml:space="preserve">Responsible</x:t>
        </x:is>
      </x:c>
      <x:c r="G4" s="10" t="inlineStr">
        <x:is>
          <x:t xml:space="preserve">Source URL</x:t>
        </x:is>
      </x:c>
      <x:c r="H4" s="10" t="inlineStr">
        <x:is>
          <x:t xml:space="preserve">Status</x:t>
        </x:is>
      </x:c>
      <x:c r="I4" s="10" t="inlineStr">
        <x:is>
          <x:t xml:space="preserve">Paid?</x:t>
        </x:is>
      </x:c>
      <x:c r="J4" s="10" t="inlineStr">
        <x:is>
          <x:t xml:space="preserve">Document Link</x:t>
        </x:is>
      </x:c>
      <x:c r="K4" s="10" t="inlineStr">
        <x:is>
          <x:t xml:space="preserve">Next Action</x:t>
        </x:is>
      </x:c>
      <x:c r="L4" s="10" t="inlineStr">
        <x:is>
          <x:t xml:space="preserve">Notes</x:t>
        </x:is>
      </x:c>
    </x:row>
    <x:row r="5" ht="44" customHeight="1">
      <x:c r="A5" s="7" t="inlineStr">
        <x:is>
          <x:t xml:space="preserve">Registration</x:t>
        </x:is>
      </x:c>
      <x:c r="B5" s="21" t="inlineStr">
        <x:is>
          <x:t xml:space="preserve">Business Name or Private Limited Company</x:t>
        </x:is>
      </x:c>
      <x:c r="C5" s="21" t="inlineStr">
        <x:is>
          <x:t xml:space="preserve">Formal identity for bank/payment/partner trust. Ltd before bigger partnerships is cleaner.</x:t>
        </x:is>
      </x:c>
      <x:c r="D5" s="16" t="n">
        <x:v>10650</x:v>
      </x:c>
      <x:c r="E5" s="21" t="n">
        <x:v>2</x:v>
      </x:c>
      <x:c r="F5" s="21" t="inlineStr">
        <x:is>
          <x:t xml:space="preserve">Founder</x:t>
        </x:is>
      </x:c>
      <x:c r="G5" s="21" t="inlineStr">
        <x:is>
          <x:t xml:space="preserve">https://brs.go.ke/fee-schedule-companies-registry/</x:t>
        </x:is>
      </x:c>
      <x:c r="H5" s="21" t="inlineStr">
        <x:is>
          <x:t xml:space="preserve">Not Started</x:t>
        </x:is>
      </x:c>
      <x:c r="I5" s="21" t="inlineStr">
        <x:is>
          <x:t xml:space="preserve">No</x:t>
        </x:is>
      </x:c>
      <x:c r="J5" s="21" t="inlineStr">
        <x:is>
          <x:t xml:space="preserve"/>
        </x:is>
      </x:c>
      <x:c r="K5" s="21" t="inlineStr">
        <x:is>
          <x:t xml:space="preserve">Choose and submit.</x:t>
        </x:is>
      </x:c>
      <x:c r="L5" s="21" t="inlineStr">
        <x:is>
          <x:t xml:space="preserve">Private Ltd official fee reference.</x:t>
        </x:is>
      </x:c>
    </x:row>
    <x:row r="6" ht="44" customHeight="1">
      <x:c r="A6" s="5" t="inlineStr">
        <x:is>
          <x:t xml:space="preserve">Registration</x:t>
        </x:is>
      </x:c>
      <x:c r="B6" s="21" t="inlineStr">
        <x:is>
          <x:t xml:space="preserve">Business name option</x:t>
        </x:is>
      </x:c>
      <x:c r="C6" s="21" t="inlineStr">
        <x:is>
          <x:t xml:space="preserve">Cheaper early naming path if cash cannot handle Ltd immediately.</x:t>
        </x:is>
      </x:c>
      <x:c r="D6" s="16" t="n">
        <x:v>950</x:v>
      </x:c>
      <x:c r="E6" s="21" t="n">
        <x:v>1</x:v>
      </x:c>
      <x:c r="F6" s="21" t="inlineStr">
        <x:is>
          <x:t xml:space="preserve">Founder</x:t>
        </x:is>
      </x:c>
      <x:c r="G6" s="21" t="inlineStr">
        <x:is>
          <x:t xml:space="preserve">https://brs.go.ke/fee-schedule-companies-registry/</x:t>
        </x:is>
      </x:c>
      <x:c r="H6" s="21" t="inlineStr">
        <x:is>
          <x:t xml:space="preserve">Not Started</x:t>
        </x:is>
      </x:c>
      <x:c r="I6" s="21" t="inlineStr">
        <x:is>
          <x:t xml:space="preserve">No</x:t>
        </x:is>
      </x:c>
      <x:c r="J6" s="21" t="inlineStr">
        <x:is>
          <x:t xml:space="preserve"/>
        </x:is>
      </x:c>
      <x:c r="K6" s="21" t="inlineStr">
        <x:is>
          <x:t xml:space="preserve">Use only if Ltd is delayed.</x:t>
        </x:is>
      </x:c>
      <x:c r="L6" s="21" t="inlineStr">
        <x:is>
          <x:t xml:space="preserve">Business name official fee reference.</x:t>
        </x:is>
      </x:c>
    </x:row>
    <x:row r="7" ht="44" customHeight="1">
      <x:c r="A7" s="7" t="inlineStr">
        <x:is>
          <x:t xml:space="preserve">Data Protection</x:t>
        </x:is>
      </x:c>
      <x:c r="B7" s="21" t="inlineStr">
        <x:is>
          <x:t xml:space="preserve">ODPC registration assessment</x:t>
        </x:is>
      </x:c>
      <x:c r="C7" s="21" t="inlineStr">
        <x:is>
          <x:t xml:space="preserve">App may handle personal/location data. Determine controller/processor obligations.</x:t>
        </x:is>
      </x:c>
      <x:c r="D7" s="16" t="n">
        <x:v>4000</x:v>
      </x:c>
      <x:c r="E7" s="21" t="n">
        <x:v>3</x:v>
      </x:c>
      <x:c r="F7" s="21" t="inlineStr">
        <x:is>
          <x:t xml:space="preserve">Founder</x:t>
        </x:is>
      </x:c>
      <x:c r="G7" s="21" t="inlineStr">
        <x:is>
          <x:t xml:space="preserve">https://www.odpc.go.ke/faqs/</x:t>
        </x:is>
      </x:c>
      <x:c r="H7" s="21" t="inlineStr">
        <x:is>
          <x:t xml:space="preserve">Not Started</x:t>
        </x:is>
      </x:c>
      <x:c r="I7" s="21" t="inlineStr">
        <x:is>
          <x:t xml:space="preserve">No</x:t>
        </x:is>
      </x:c>
      <x:c r="J7" s="21" t="inlineStr">
        <x:is>
          <x:t xml:space="preserve"/>
        </x:is>
      </x:c>
      <x:c r="K7" s="21" t="inlineStr">
        <x:is>
          <x:t xml:space="preserve">Map data and apply if required.</x:t>
        </x:is>
      </x:c>
      <x:c r="L7" s="21" t="inlineStr">
        <x:is>
          <x:t xml:space="preserve">Micro/small fee reference.</x:t>
        </x:is>
      </x:c>
    </x:row>
    <x:row r="8" ht="44" customHeight="1">
      <x:c r="A8" s="5" t="inlineStr">
        <x:is>
          <x:t xml:space="preserve">Data Protection</x:t>
        </x:is>
      </x:c>
      <x:c r="B8" s="21" t="inlineStr">
        <x:is>
          <x:t xml:space="preserve">Privacy policy</x:t>
        </x:is>
      </x:c>
      <x:c r="C8" s="21" t="inlineStr">
        <x:is>
          <x:t xml:space="preserve">Users must know data collection, purpose, retention, deletion/contact process.</x:t>
        </x:is>
      </x:c>
      <x:c r="D8" s="16" t="n">
        <x:v>0</x:v>
      </x:c>
      <x:c r="E8" s="21" t="n">
        <x:v>2</x:v>
      </x:c>
      <x:c r="F8" s="21" t="inlineStr">
        <x:is>
          <x:t xml:space="preserve">Founder</x:t>
        </x:is>
      </x:c>
      <x:c r="G8" s="21" t="inlineStr">
        <x:is>
          <x:t xml:space="preserve">https://www.odpc.go.ke/data-protection-compliance/</x:t>
        </x:is>
      </x:c>
      <x:c r="H8" s="21" t="inlineStr">
        <x:is>
          <x:t xml:space="preserve">Not Started</x:t>
        </x:is>
      </x:c>
      <x:c r="I8" s="21" t="inlineStr">
        <x:is>
          <x:t xml:space="preserve">No</x:t>
        </x:is>
      </x:c>
      <x:c r="J8" s="21" t="inlineStr">
        <x:is>
          <x:t xml:space="preserve"/>
        </x:is>
      </x:c>
      <x:c r="K8" s="21" t="inlineStr">
        <x:is>
          <x:t xml:space="preserve">Publish simple version.</x:t>
        </x:is>
      </x:c>
      <x:c r="L8" s="21" t="inlineStr">
        <x:is>
          <x:t xml:space="preserve">Improve with review later.</x:t>
        </x:is>
      </x:c>
    </x:row>
    <x:row r="9" ht="44" customHeight="1">
      <x:c r="A9" s="7" t="inlineStr">
        <x:is>
          <x:t xml:space="preserve">Data Protection</x:t>
        </x:is>
      </x:c>
      <x:c r="B9" s="21" t="inlineStr">
        <x:is>
          <x:t xml:space="preserve">Terms and safety disclaimer</x:t>
        </x:is>
      </x:c>
      <x:c r="C9" s="21" t="inlineStr">
        <x:is>
          <x:t xml:space="preserve">Positions app as compliance/safety, not enforcement evasion.</x:t>
        </x:is>
      </x:c>
      <x:c r="D9" s="16" t="n">
        <x:v>0</x:v>
      </x:c>
      <x:c r="E9" s="21" t="n">
        <x:v>2</x:v>
      </x:c>
      <x:c r="F9" s="21" t="inlineStr">
        <x:is>
          <x:t xml:space="preserve">Founder</x:t>
        </x:is>
      </x:c>
      <x:c r="G9" s="21" t="inlineStr">
        <x:is>
          <x:t xml:space="preserve">Internal</x:t>
        </x:is>
      </x:c>
      <x:c r="H9" s="21" t="inlineStr">
        <x:is>
          <x:t xml:space="preserve">Not Started</x:t>
        </x:is>
      </x:c>
      <x:c r="I9" s="21" t="inlineStr">
        <x:is>
          <x:t xml:space="preserve">No</x:t>
        </x:is>
      </x:c>
      <x:c r="J9" s="21" t="inlineStr">
        <x:is>
          <x:t xml:space="preserve"/>
        </x:is>
      </x:c>
      <x:c r="K9" s="21" t="inlineStr">
        <x:is>
          <x:t xml:space="preserve">Draft and link.</x:t>
        </x:is>
      </x:c>
      <x:c r="L9" s="21" t="inlineStr">
        <x:is>
          <x:t xml:space="preserve">Use clear language.</x:t>
        </x:is>
      </x:c>
    </x:row>
    <x:row r="10" ht="44" customHeight="1">
      <x:c r="A10" s="5" t="inlineStr">
        <x:is>
          <x:t xml:space="preserve">App Store</x:t>
        </x:is>
      </x:c>
      <x:c r="B10" s="21" t="inlineStr">
        <x:is>
          <x:t xml:space="preserve">Google Play publication</x:t>
        </x:is>
      </x:c>
      <x:c r="C10" s="21" t="inlineStr">
        <x:is>
          <x:t xml:space="preserve">App is already live; fee/testing requirements are past milestones, not new budget items.</x:t>
        </x:is>
      </x:c>
      <x:c r="D10" s="16" t="n">
        <x:v>0</x:v>
      </x:c>
      <x:c r="E10" s="21" t="n">
        <x:v>1</x:v>
      </x:c>
      <x:c r="F10" s="21" t="inlineStr">
        <x:is>
          <x:t xml:space="preserve">Founder</x:t>
        </x:is>
      </x:c>
      <x:c r="G10" s="21" t="inlineStr">
        <x:is>
          <x:t xml:space="preserve">https://support.google.com/googleplay/android-developer/answer/6112435</x:t>
        </x:is>
      </x:c>
      <x:c r="H10" s="21" t="inlineStr">
        <x:is>
          <x:t xml:space="preserve">Done</x:t>
        </x:is>
      </x:c>
      <x:c r="I10" s="21" t="inlineStr">
        <x:is>
          <x:t xml:space="preserve">Yes</x:t>
        </x:is>
      </x:c>
      <x:c r="J10" s="21" t="inlineStr">
        <x:is>
          <x:t xml:space="preserve"/>
        </x:is>
      </x:c>
      <x:c r="K10" s="21" t="inlineStr">
        <x:is>
          <x:t xml:space="preserve">Maintain listing, policies and subscription compliance.</x:t>
        </x:is>
      </x:c>
      <x:c r="L10" s="21" t="inlineStr">
        <x:is>
          <x:t xml:space="preserve">Already completed and paid before this operating plan.</x:t>
        </x:is>
      </x:c>
    </x:row>
    <x:row r="11" ht="44" customHeight="1">
      <x:c r="A11" s="7" t="inlineStr">
        <x:is>
          <x:t xml:space="preserve">App Store</x:t>
        </x:is>
      </x:c>
      <x:c r="B11" s="21" t="inlineStr">
        <x:is>
          <x:t xml:space="preserve">Apple App Store publication</x:t>
        </x:is>
      </x:c>
      <x:c r="C11" s="21" t="inlineStr">
        <x:is>
          <x:t xml:space="preserve">App is already live; fee/testing requirements are past milestones, not new budget items.</x:t>
        </x:is>
      </x:c>
      <x:c r="D11" s="16" t="n">
        <x:v>0</x:v>
      </x:c>
      <x:c r="E11" s="21" t="n">
        <x:v>1</x:v>
      </x:c>
      <x:c r="F11" s="21" t="inlineStr">
        <x:is>
          <x:t xml:space="preserve">Founder</x:t>
        </x:is>
      </x:c>
      <x:c r="G11" s="21" t="inlineStr">
        <x:is>
          <x:t xml:space="preserve">https://developer.apple.com/programs/</x:t>
        </x:is>
      </x:c>
      <x:c r="H11" s="21" t="inlineStr">
        <x:is>
          <x:t xml:space="preserve">Done</x:t>
        </x:is>
      </x:c>
      <x:c r="I11" s="21" t="inlineStr">
        <x:is>
          <x:t xml:space="preserve">Yes</x:t>
        </x:is>
      </x:c>
      <x:c r="J11" s="21" t="inlineStr">
        <x:is>
          <x:t xml:space="preserve"/>
        </x:is>
      </x:c>
      <x:c r="K11" s="21" t="inlineStr">
        <x:is>
          <x:t xml:space="preserve">Maintain listing, policies and subscription compliance.</x:t>
        </x:is>
      </x:c>
      <x:c r="L11" s="21" t="inlineStr">
        <x:is>
          <x:t xml:space="preserve">Already completed and paid before this operating plan.</x:t>
        </x:is>
      </x:c>
    </x:row>
    <x:row r="12" ht="44" customHeight="1">
      <x:c r="A12" s="5" t="inlineStr">
        <x:is>
          <x:t xml:space="preserve">Payments</x:t>
        </x:is>
      </x:c>
      <x:c r="B12" s="21" t="inlineStr">
        <x:is>
          <x:t xml:space="preserve">M-PESA Business path</x:t>
        </x:is>
      </x:c>
      <x:c r="C12" s="21" t="inlineStr">
        <x:is>
          <x:t xml:space="preserve">Future payments and reconciliation.</x:t>
        </x:is>
      </x:c>
      <x:c r="D12" s="16" t="n">
        <x:v>0</x:v>
      </x:c>
      <x:c r="E12" s="21" t="n">
        <x:v>8</x:v>
      </x:c>
      <x:c r="F12" s="21" t="inlineStr">
        <x:is>
          <x:t xml:space="preserve">Founder</x:t>
        </x:is>
      </x:c>
      <x:c r="G12" s="21" t="inlineStr">
        <x:is>
          <x:t xml:space="preserve">https://hub.m-pesaforbusiness.co.ke/</x:t>
        </x:is>
      </x:c>
      <x:c r="H12" s="21" t="inlineStr">
        <x:is>
          <x:t xml:space="preserve">Not Started</x:t>
        </x:is>
      </x:c>
      <x:c r="I12" s="21" t="inlineStr">
        <x:is>
          <x:t xml:space="preserve">No</x:t>
        </x:is>
      </x:c>
      <x:c r="J12" s="21" t="inlineStr">
        <x:is>
          <x:t xml:space="preserve"/>
        </x:is>
      </x:c>
      <x:c r="K12" s="21" t="inlineStr">
        <x:is>
          <x:t xml:space="preserve">Prepare documents after registration.</x:t>
        </x:is>
      </x:c>
      <x:c r="L12" s="21" t="inlineStr">
        <x:is>
          <x:t xml:space="preserve">Do not rush until offer exists.</x:t>
        </x:is>
      </x:c>
    </x:row>
    <x:row r="13" ht="44" customHeight="1">
      <x:c r="A13" s="7" t="inlineStr">
        <x:is>
          <x:t xml:space="preserve">Tax</x:t>
        </x:is>
      </x:c>
      <x:c r="B13" s="21" t="inlineStr">
        <x:is>
          <x:t xml:space="preserve">KRA tax path</x:t>
        </x:is>
      </x:c>
      <x:c r="C13" s="21" t="inlineStr">
        <x:is>
          <x:t xml:space="preserve">Revenue must be tracked and taxed correctly as business grows.</x:t>
        </x:is>
      </x:c>
      <x:c r="D13" s="16" t="n">
        <x:v>0</x:v>
      </x:c>
      <x:c r="E13" s="21" t="n">
        <x:v>12</x:v>
      </x:c>
      <x:c r="F13" s="21" t="inlineStr">
        <x:is>
          <x:t xml:space="preserve">Founder</x:t>
        </x:is>
      </x:c>
      <x:c r="G13" s="21" t="inlineStr">
        <x:is>
          <x:t xml:space="preserve">https://www.kra.go.ke/individual/filing-paying/types-of-taxes/turnover-tax-tot</x:t>
        </x:is>
      </x:c>
      <x:c r="H13" s="21" t="inlineStr">
        <x:is>
          <x:t xml:space="preserve">Not Started</x:t>
        </x:is>
      </x:c>
      <x:c r="I13" s="21" t="inlineStr">
        <x:is>
          <x:t xml:space="preserve">No</x:t>
        </x:is>
      </x:c>
      <x:c r="J13" s="21" t="inlineStr">
        <x:is>
          <x:t xml:space="preserve"/>
        </x:is>
      </x:c>
      <x:c r="K13" s="21" t="inlineStr">
        <x:is>
          <x:t xml:space="preserve">Consult accountant once revenue starts.</x:t>
        </x:is>
      </x:c>
      <x:c r="L13" s="21" t="inlineStr">
        <x:is>
          <x:t xml:space="preserve">KRA describes TOT thresholds/rate.</x:t>
        </x:is>
      </x:c>
    </x:row>
    <x:row r="14">
      <x:c r="A14" s="7" t="inlineStr">
        <x:is>
          <x:t xml:space="preserve">Infrastructure</x:t>
        </x:is>
      </x:c>
      <x:c r="B14" s="21" t="inlineStr">
        <x:is>
          <x:t xml:space="preserve">Replit monthly hosting</x:t>
        </x:is>
      </x:c>
      <x:c r="C14" s="21" t="inlineStr">
        <x:is>
          <x:t xml:space="preserve">Keep production app available and documented.</x:t>
        </x:is>
      </x:c>
      <x:c r="D14" s="16" t="n">
        <x:f>Assumptions!$B$19</x:f>
        <x:v>2587.2000000000003</x:v>
      </x:c>
      <x:c r="E14" s="21" t="n">
        <x:v>1</x:v>
      </x:c>
      <x:c r="F14" s="21" t="inlineStr">
        <x:is>
          <x:t xml:space="preserve">Founder</x:t>
        </x:is>
      </x:c>
      <x:c r="G14" s="21" t="inlineStr">
        <x:is>
          <x:t xml:space="preserve">https://replit.com/pricing</x:t>
        </x:is>
      </x:c>
      <x:c r="H14" s="21" t="inlineStr">
        <x:is>
          <x:t xml:space="preserve">In Progress</x:t>
        </x:is>
      </x:c>
      <x:c r="I14" s="21" t="inlineStr">
        <x:is>
          <x:t xml:space="preserve">No</x:t>
        </x:is>
      </x:c>
      <x:c r="J14" s="21" t="inlineStr">
        <x:is>
          <x:t xml:space="preserve"/>
        </x:is>
      </x:c>
      <x:c r="K14" s="21" t="inlineStr">
        <x:is>
          <x:t xml:space="preserve">Pay monthly; save receipt; maintain backup.</x:t>
        </x:is>
      </x:c>
      <x:c r="L14" s="21" t="inlineStr">
        <x:is>
          <x:t xml:space="preserve">US$20/month founder input; KES amount uses editable FX.</x:t>
        </x:is>
      </x:c>
    </x:row>
    <x:row r="15">
      <x:c r="A15" s="7" t="inlineStr">
        <x:is>
          <x:t xml:space="preserve">Subscriptions</x:t>
        </x:is>
      </x:c>
      <x:c r="B15" s="21" t="inlineStr">
        <x:is>
          <x:t xml:space="preserve">Store payout reconciliation</x:t>
        </x:is>
      </x:c>
      <x:c r="C15" s="21" t="inlineStr">
        <x:is>
          <x:t xml:space="preserve">Separate gross sales, fees, refunds and cash.</x:t>
        </x:is>
      </x:c>
      <x:c r="D15" s="16" t="n">
        <x:v>0</x:v>
      </x:c>
      <x:c r="E15" s="21" t="n">
        <x:v>1</x:v>
      </x:c>
      <x:c r="F15" s="21" t="inlineStr">
        <x:is>
          <x:t xml:space="preserve">Founder</x:t>
        </x:is>
      </x:c>
      <x:c r="G15" s="21" t="inlineStr">
        <x:is>
          <x:t xml:space="preserve">Internal</x:t>
        </x:is>
      </x:c>
      <x:c r="H15" s="21" t="inlineStr">
        <x:is>
          <x:t xml:space="preserve">In Progress</x:t>
        </x:is>
      </x:c>
      <x:c r="I15" s="21" t="inlineStr">
        <x:is>
          <x:t xml:space="preserve">No</x:t>
        </x:is>
      </x:c>
      <x:c r="J15" s="21" t="inlineStr">
        <x:is>
          <x:t xml:space="preserve"/>
        </x:is>
      </x:c>
      <x:c r="K15" s="21" t="inlineStr">
        <x:is>
          <x:t xml:space="preserve">Complete weekly revenue row.</x:t>
        </x:is>
      </x:c>
      <x:c r="L15" s="21" t="inlineStr">
        <x:is>
          <x:t xml:space="preserve">Cash may arrive after the sale week.</x:t>
        </x:is>
      </x:c>
    </x:row>
    <x:row r="16">
      <x:c r="A16" s="7" t="inlineStr">
        <x:is>
          <x:t xml:space="preserve">Reliability</x:t>
        </x:is>
      </x:c>
      <x:c r="B16" s="21" t="inlineStr">
        <x:is>
          <x:t xml:space="preserve">Crash/incident process</x:t>
        </x:is>
      </x:c>
      <x:c r="C16" s="21" t="inlineStr">
        <x:is>
          <x:t xml:space="preserve">Paying users need a clear response and recovery path.</x:t>
        </x:is>
      </x:c>
      <x:c r="D16" s="16" t="n">
        <x:v>0</x:v>
      </x:c>
      <x:c r="E16" s="21" t="n">
        <x:v>2</x:v>
      </x:c>
      <x:c r="F16" s="21" t="inlineStr">
        <x:is>
          <x:t xml:space="preserve">Founder</x:t>
        </x:is>
      </x:c>
      <x:c r="G16" s="21" t="inlineStr">
        <x:is>
          <x:t xml:space="preserve">Internal</x:t>
        </x:is>
      </x:c>
      <x:c r="H16" s="21" t="inlineStr">
        <x:is>
          <x:t xml:space="preserve">Not Started</x:t>
        </x:is>
      </x:c>
      <x:c r="I16" s="21" t="inlineStr">
        <x:is>
          <x:t xml:space="preserve">No</x:t>
        </x:is>
      </x:c>
      <x:c r="J16" s="21" t="inlineStr">
        <x:is>
          <x:t xml:space="preserve"/>
        </x:is>
      </x:c>
      <x:c r="K16" s="21" t="inlineStr">
        <x:is>
          <x:t xml:space="preserve">Create alert, severity and communication process.</x:t>
        </x:is>
      </x:c>
      <x:c r="L16" s="21" t="inlineStr">
        <x:is>
          <x:t xml:space="preserve">Link issues to Product Backlog.</x:t>
        </x:is>
      </x:c>
    </x:row>
    <x:row r="17">
      <x:c r="A17" s="7" t="inlineStr">
        <x:is>
          <x:t xml:space="preserve">Finance</x:t>
        </x:is>
      </x:c>
      <x:c r="B17" s="21" t="inlineStr">
        <x:is>
          <x:t xml:space="preserve">Receipt and tax records</x:t>
        </x:is>
      </x:c>
      <x:c r="C17" s="21" t="inlineStr">
        <x:is>
          <x:t xml:space="preserve">Revenue has started; records must start now.</x:t>
        </x:is>
      </x:c>
      <x:c r="D17" s="16" t="n">
        <x:v>0</x:v>
      </x:c>
      <x:c r="E17" s="21" t="n">
        <x:v>1</x:v>
      </x:c>
      <x:c r="F17" s="21" t="inlineStr">
        <x:is>
          <x:t xml:space="preserve">Founder</x:t>
        </x:is>
      </x:c>
      <x:c r="G17" s="21" t="inlineStr">
        <x:is>
          <x:t xml:space="preserve">https://www.kra.go.ke/</x:t>
        </x:is>
      </x:c>
      <x:c r="H17" s="21" t="inlineStr">
        <x:is>
          <x:t xml:space="preserve">In Progress</x:t>
        </x:is>
      </x:c>
      <x:c r="I17" s="21" t="inlineStr">
        <x:is>
          <x:t xml:space="preserve">No</x:t>
        </x:is>
      </x:c>
      <x:c r="J17" s="21" t="inlineStr">
        <x:is>
          <x:t xml:space="preserve"/>
        </x:is>
      </x:c>
      <x:c r="K17" s="21" t="inlineStr">
        <x:is>
          <x:t xml:space="preserve">Archive monthly statements and receipts.</x:t>
        </x:is>
      </x:c>
      <x:c r="L17" s="21" t="inlineStr">
        <x:is>
          <x:t xml:space="preserve">Get professional guidance as revenue grows.</x:t>
        </x:is>
      </x:c>
    </x:row>
  </x:sheetData>
  <x:dataValidations count="2">
    <x:dataValidation type="list" allowBlank="1" showDropDown="0" showInputMessage="0" showErrorMessage="0" sqref="H5:H13">
      <x:formula1>=Lists!$A$5:$A$10</x:formula1>
    </x:dataValidation>
    <x:dataValidation type="list" allowBlank="1" showDropDown="0" showInputMessage="0" showErrorMessage="0" sqref="I5:I13">
      <x:formula1>=Lists!$E$5:$E$7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4164317ffb488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5" customWidth="1"/>
    <x:col min="3" max="3" width="50" customWidth="1"/>
    <x:col min="4" max="4" width="14" customWidth="1"/>
    <x:col min="5" max="5" width="14" customWidth="1"/>
    <x:col min="6" max="6" width="12" customWidth="1"/>
    <x:col min="7" max="7" width="28" customWidth="1"/>
    <x:col min="8" max="8" width="38" customWidth="1"/>
    <x:col min="9" max="9" width="18" customWidth="1"/>
    <x:col min="10" max="10" width="16" customWidth="1"/>
    <x:col min="11" max="11" width="24" customWidth="1"/>
  </x:cols>
  <x:sheetData>
    <x:row r="1" ht="30" customHeight="1">
      <x:c r="A1" s="1" t="n"/>
      <x:c r="B1" s="1" t="inlineStr">
        <x:is>
          <x:t xml:space="preserve">Risk Register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2" ht="34" customHeight="1">
      <x:c r="A2" s="2" t="n"/>
      <x:c r="B2" s="2" t="inlineStr">
        <x:is>
          <x:t xml:space="preserve">Name risks early so they do not control the founder emotionally.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/>
    <x:row r="4" ht="32" customHeight="1">
      <x:c r="A4" s="10" t="inlineStr">
        <x:is>
          <x:t xml:space="preserve">ID</x:t>
        </x:is>
      </x:c>
      <x:c r="B4" s="10" t="inlineStr">
        <x:is>
          <x:t xml:space="preserve">Risk</x:t>
        </x:is>
      </x:c>
      <x:c r="C4" s="10" t="inlineStr">
        <x:is>
          <x:t xml:space="preserve">Why It Matters</x:t>
        </x:is>
      </x:c>
      <x:c r="D4" s="10" t="inlineStr">
        <x:is>
          <x:t xml:space="preserve">Likelihood</x:t>
        </x:is>
      </x:c>
      <x:c r="E4" s="10" t="inlineStr">
        <x:is>
          <x:t xml:space="preserve">Impact</x:t>
        </x:is>
      </x:c>
      <x:c r="F4" s="10" t="inlineStr">
        <x:is>
          <x:t xml:space="preserve">Risk Score</x:t>
        </x:is>
      </x:c>
      <x:c r="G4" s="10" t="inlineStr">
        <x:is>
          <x:t xml:space="preserve">Early Warning</x:t>
        </x:is>
      </x:c>
      <x:c r="H4" s="10" t="inlineStr">
        <x:is>
          <x:t xml:space="preserve">Mitigation</x:t>
        </x:is>
      </x:c>
      <x:c r="I4" s="10" t="inlineStr">
        <x:is>
          <x:t xml:space="preserve">Owner</x:t>
        </x:is>
      </x:c>
      <x:c r="J4" s="10" t="inlineStr">
        <x:is>
          <x:t xml:space="preserve">Status</x:t>
        </x:is>
      </x:c>
      <x:c r="K4" s="10" t="inlineStr">
        <x:is>
          <x:t xml:space="preserve">Notes</x:t>
        </x:is>
      </x:c>
    </x:row>
    <x:row r="5" ht="44" customHeight="1">
      <x:c r="A5" s="7" t="inlineStr">
        <x:is>
          <x:t xml:space="preserve">K01</x:t>
        </x:is>
      </x:c>
      <x:c r="B5" s="21" t="inlineStr">
        <x:is>
          <x:t xml:space="preserve">Running out of cash</x:t>
        </x:is>
      </x:c>
      <x:c r="C5" s="21" t="inlineStr">
        <x:is>
          <x:t xml:space="preserve">Fixed costs or random ads consume weekly KES 10k before traction.</x:t>
        </x:is>
      </x:c>
      <x:c r="D5" s="21" t="inlineStr">
        <x:is>
          <x:t xml:space="preserve">High</x:t>
        </x:is>
      </x:c>
      <x:c r="E5" s="21" t="inlineStr">
        <x:is>
          <x:t xml:space="preserve">High</x:t>
        </x:is>
      </x:c>
      <x:c r="F5" s="14" t="n">
        <x:f>IF(D5="High",3,IF(D5="Medium",2,IF(D5="Low",1,0)))*IF(E5="High",3,IF(E5="Medium",2,IF(E5="Low",1,0)))</x:f>
        <x:v>9</x:v>
      </x:c>
      <x:c r="G5" s="21" t="inlineStr">
        <x:is>
          <x:t xml:space="preserve">Operating cash below buffer</x:t>
        </x:is>
      </x:c>
      <x:c r="H5" s="21" t="inlineStr">
        <x:is>
          <x:t xml:space="preserve">No office, no full-time hire, strict Friday cash decisions.</x:t>
        </x:is>
      </x:c>
      <x:c r="I5" s="21" t="inlineStr">
        <x:is>
          <x:t xml:space="preserve">Founder</x:t>
        </x:is>
      </x:c>
      <x:c r="J5" s="21" t="inlineStr">
        <x:is>
          <x:t xml:space="preserve">In Progress</x:t>
        </x:is>
      </x:c>
      <x:c r="K5" s="21" t="inlineStr">
        <x:is>
          <x:t xml:space="preserve"/>
        </x:is>
      </x:c>
    </x:row>
    <x:row r="6" ht="44" customHeight="1">
      <x:c r="A6" s="5" t="inlineStr">
        <x:is>
          <x:t xml:space="preserve">K02</x:t>
        </x:is>
      </x:c>
      <x:c r="B6" s="21" t="inlineStr">
        <x:is>
          <x:t xml:space="preserve">Building too broadly</x:t>
        </x:is>
      </x:c>
      <x:c r="C6" s="21" t="inlineStr">
        <x:is>
          <x:t xml:space="preserve">Trying to cover all Kenya before one corridor is trusted.</x:t>
        </x:is>
      </x:c>
      <x:c r="D6" s="21" t="inlineStr">
        <x:is>
          <x:t xml:space="preserve">High</x:t>
        </x:is>
      </x:c>
      <x:c r="E6" s="21" t="inlineStr">
        <x:is>
          <x:t xml:space="preserve">Medium</x:t>
        </x:is>
      </x:c>
      <x:c r="F6" s="14" t="n">
        <x:f>IF(D6="High",3,IF(D6="Medium",2,IF(D6="Low",1,0)))*IF(E6="High",3,IF(E6="Medium",2,IF(E6="Low",1,0)))</x:f>
        <x:v>6</x:v>
      </x:c>
      <x:c r="G6" s="21" t="inlineStr">
        <x:is>
          <x:t xml:space="preserve">Many unverified records, few active users</x:t>
        </x:is>
      </x:c>
      <x:c r="H6" s="21" t="inlineStr">
        <x:is>
          <x:t xml:space="preserve">Own one corridor deeply first.</x:t>
        </x:is>
      </x:c>
      <x:c r="I6" s="21" t="inlineStr">
        <x:is>
          <x:t xml:space="preserve">Founder</x:t>
        </x:is>
      </x:c>
      <x:c r="J6" s="21" t="inlineStr">
        <x:is>
          <x:t xml:space="preserve">In Progress</x:t>
        </x:is>
      </x:c>
      <x:c r="K6" s="21" t="inlineStr">
        <x:is>
          <x:t xml:space="preserve"/>
        </x:is>
      </x:c>
    </x:row>
    <x:row r="7" ht="44" customHeight="1">
      <x:c r="A7" s="7" t="inlineStr">
        <x:is>
          <x:t xml:space="preserve">K03</x:t>
        </x:is>
      </x:c>
      <x:c r="B7" s="21" t="inlineStr">
        <x:is>
          <x:t xml:space="preserve">Unmeasured influencer spend</x:t>
        </x:is>
      </x:c>
      <x:c r="C7" s="21" t="inlineStr">
        <x:is>
          <x:t xml:space="preserve">Creators generate views but no installs/activation.</x:t>
        </x:is>
      </x:c>
      <x:c r="D7" s="21" t="inlineStr">
        <x:is>
          <x:t xml:space="preserve">Medium</x:t>
        </x:is>
      </x:c>
      <x:c r="E7" s="21" t="inlineStr">
        <x:is>
          <x:t xml:space="preserve">High</x:t>
        </x:is>
      </x:c>
      <x:c r="F7" s="14" t="n">
        <x:f>IF(D7="High",3,IF(D7="Medium",2,IF(D7="Low",1,0)))*IF(E7="High",3,IF(E7="Medium",2,IF(E7="Low",1,0)))</x:f>
        <x:v>6</x:v>
      </x:c>
      <x:c r="G7" s="21" t="inlineStr">
        <x:is>
          <x:t xml:space="preserve">No referral code, no report</x:t>
        </x:is>
      </x:c>
      <x:c r="H7" s="21" t="inlineStr">
        <x:is>
          <x:t xml:space="preserve">No tracking, no repeat payment.</x:t>
        </x:is>
      </x:c>
      <x:c r="I7" s="21" t="inlineStr">
        <x:is>
          <x:t xml:space="preserve">Founder</x:t>
        </x:is>
      </x:c>
      <x:c r="J7" s="21" t="inlineStr">
        <x:is>
          <x:t xml:space="preserve">Not Started</x:t>
        </x:is>
      </x:c>
      <x:c r="K7" s="21" t="inlineStr">
        <x:is>
          <x:t xml:space="preserve"/>
        </x:is>
      </x:c>
    </x:row>
    <x:row r="8" ht="44" customHeight="1">
      <x:c r="A8" s="5" t="inlineStr">
        <x:is>
          <x:t xml:space="preserve">K04</x:t>
        </x:is>
      </x:c>
      <x:c r="B8" s="21" t="inlineStr">
        <x:is>
          <x:t xml:space="preserve">Ads before retention</x:t>
        </x:is>
      </x:c>
      <x:c r="C8" s="21" t="inlineStr">
        <x:is>
          <x:t xml:space="preserve">Paid installs leak because onboarding/value is weak.</x:t>
        </x:is>
      </x:c>
      <x:c r="D8" s="21" t="inlineStr">
        <x:is>
          <x:t xml:space="preserve">High</x:t>
        </x:is>
      </x:c>
      <x:c r="E8" s="21" t="inlineStr">
        <x:is>
          <x:t xml:space="preserve">High</x:t>
        </x:is>
      </x:c>
      <x:c r="F8" s="14" t="n">
        <x:f>IF(D8="High",3,IF(D8="Medium",2,IF(D8="Low",1,0)))*IF(E8="High",3,IF(E8="Medium",2,IF(E8="Low",1,0)))</x:f>
        <x:v>9</x:v>
      </x:c>
      <x:c r="G8" s="21" t="inlineStr">
        <x:is>
          <x:t xml:space="preserve">Low activation/D7 retention</x:t>
        </x:is>
      </x:c>
      <x:c r="H8" s="21" t="inlineStr">
        <x:is>
          <x:t xml:space="preserve">Use Launch Readiness gates before ads.</x:t>
        </x:is>
      </x:c>
      <x:c r="I8" s="21" t="inlineStr">
        <x:is>
          <x:t xml:space="preserve">Founder</x:t>
        </x:is>
      </x:c>
      <x:c r="J8" s="21" t="inlineStr">
        <x:is>
          <x:t xml:space="preserve">In Progress</x:t>
        </x:is>
      </x:c>
      <x:c r="K8" s="21" t="inlineStr">
        <x:is>
          <x:t xml:space="preserve"/>
        </x:is>
      </x:c>
    </x:row>
    <x:row r="9" ht="44" customHeight="1">
      <x:c r="A9" s="7" t="inlineStr">
        <x:is>
          <x:t xml:space="preserve">K05</x:t>
        </x:is>
      </x:c>
      <x:c r="B9" s="21" t="inlineStr">
        <x:is>
          <x:t xml:space="preserve">Legal/data privacy mistakes</x:t>
        </x:is>
      </x:c>
      <x:c r="C9" s="21" t="inlineStr">
        <x:is>
          <x:t xml:space="preserve">Road-safety app may process personal/location data.</x:t>
        </x:is>
      </x:c>
      <x:c r="D9" s="21" t="inlineStr">
        <x:is>
          <x:t xml:space="preserve">Medium</x:t>
        </x:is>
      </x:c>
      <x:c r="E9" s="21" t="inlineStr">
        <x:is>
          <x:t xml:space="preserve">High</x:t>
        </x:is>
      </x:c>
      <x:c r="F9" s="14" t="n">
        <x:f>IF(D9="High",3,IF(D9="Medium",2,IF(D9="Low",1,0)))*IF(E9="High",3,IF(E9="Medium",2,IF(E9="Low",1,0)))</x:f>
        <x:v>6</x:v>
      </x:c>
      <x:c r="G9" s="21" t="inlineStr">
        <x:is>
          <x:t xml:space="preserve">No policy, no consent, unclear data use</x:t>
        </x:is>
      </x:c>
      <x:c r="H9" s="21" t="inlineStr">
        <x:is>
          <x:t xml:space="preserve">Privacy/terms/ODPC assessment before growth.</x:t>
        </x:is>
      </x:c>
      <x:c r="I9" s="21" t="inlineStr">
        <x:is>
          <x:t xml:space="preserve">Founder</x:t>
        </x:is>
      </x:c>
      <x:c r="J9" s="21" t="inlineStr">
        <x:is>
          <x:t xml:space="preserve">Not Started</x:t>
        </x:is>
      </x:c>
      <x:c r="K9" s="21" t="inlineStr">
        <x:is>
          <x:t xml:space="preserve"/>
        </x:is>
      </x:c>
    </x:row>
    <x:row r="10" ht="44" customHeight="1">
      <x:c r="A10" s="5" t="inlineStr">
        <x:is>
          <x:t xml:space="preserve">K06</x:t>
        </x:is>
      </x:c>
      <x:c r="B10" s="21" t="inlineStr">
        <x:is>
          <x:t xml:space="preserve">Competitor copying idea</x:t>
        </x:is>
      </x:c>
      <x:c r="C10" s="21" t="inlineStr">
        <x:is>
          <x:t xml:space="preserve">Better-funded player sees the market.</x:t>
        </x:is>
      </x:c>
      <x:c r="D10" s="21" t="inlineStr">
        <x:is>
          <x:t xml:space="preserve">Medium</x:t>
        </x:is>
      </x:c>
      <x:c r="E10" s="21" t="inlineStr">
        <x:is>
          <x:t xml:space="preserve">Medium</x:t>
        </x:is>
      </x:c>
      <x:c r="F10" s="14" t="n">
        <x:f>IF(D10="High",3,IF(D10="Medium",2,IF(D10="Low",1,0)))*IF(E10="High",3,IF(E10="Medium",2,IF(E10="Low",1,0)))</x:f>
        <x:v>4</x:v>
      </x:c>
      <x:c r="G10" s="21" t="inlineStr">
        <x:is>
          <x:t xml:space="preserve">Similar posts/features appear</x:t>
        </x:is>
      </x:c>
      <x:c r="H10" s="21" t="inlineStr">
        <x:is>
          <x:t xml:space="preserve">Build local trust, data verification, partnerships, community flywheel.</x:t>
        </x:is>
      </x:c>
      <x:c r="I10" s="21" t="inlineStr">
        <x:is>
          <x:t xml:space="preserve">Founder</x:t>
        </x:is>
      </x:c>
      <x:c r="J10" s="21" t="inlineStr">
        <x:is>
          <x:t xml:space="preserve">In Progress</x:t>
        </x:is>
      </x:c>
      <x:c r="K10" s="21" t="inlineStr">
        <x:is>
          <x:t xml:space="preserve"/>
        </x:is>
      </x:c>
    </x:row>
    <x:row r="11" ht="44" customHeight="1">
      <x:c r="A11" s="7" t="inlineStr">
        <x:is>
          <x:t xml:space="preserve">K07</x:t>
        </x:is>
      </x:c>
      <x:c r="B11" s="21" t="inlineStr">
        <x:is>
          <x:t xml:space="preserve">Unsafe brand perception</x:t>
        </x:is>
      </x:c>
      <x:c r="C11" s="21" t="inlineStr">
        <x:is>
          <x:t xml:space="preserve">Users think app helps evade enforcement.</x:t>
        </x:is>
      </x:c>
      <x:c r="D11" s="21" t="inlineStr">
        <x:is>
          <x:t xml:space="preserve">Medium</x:t>
        </x:is>
      </x:c>
      <x:c r="E11" s="21" t="inlineStr">
        <x:is>
          <x:t xml:space="preserve">High</x:t>
        </x:is>
      </x:c>
      <x:c r="F11" s="14" t="n">
        <x:f>IF(D11="High",3,IF(D11="Medium",2,IF(D11="Low",1,0)))*IF(E11="High",3,IF(E11="Medium",2,IF(E11="Low",1,0)))</x:f>
        <x:v>6</x:v>
      </x:c>
      <x:c r="G11" s="21" t="inlineStr">
        <x:is>
          <x:t xml:space="preserve">Comments ask how to avoid police</x:t>
        </x:is>
      </x:c>
      <x:c r="H11" s="21" t="inlineStr">
        <x:is>
          <x:t xml:space="preserve">Safety/compliance language in every brief and policy.</x:t>
        </x:is>
      </x:c>
      <x:c r="I11" s="21" t="inlineStr">
        <x:is>
          <x:t xml:space="preserve">Founder</x:t>
        </x:is>
      </x:c>
      <x:c r="J11" s="21" t="inlineStr">
        <x:is>
          <x:t xml:space="preserve">In Progress</x:t>
        </x:is>
      </x:c>
      <x:c r="K11" s="21" t="inlineStr">
        <x:is>
          <x:t xml:space="preserve"/>
        </x:is>
      </x:c>
    </x:row>
    <x:row r="12" ht="44" customHeight="1">
      <x:c r="A12" s="5" t="inlineStr">
        <x:is>
          <x:t xml:space="preserve">K08</x:t>
        </x:is>
      </x:c>
      <x:c r="B12" s="21" t="inlineStr">
        <x:is>
          <x:t xml:space="preserve">Founder burnout</x:t>
        </x:is>
      </x:c>
      <x:c r="C12" s="21" t="inlineStr">
        <x:is>
          <x:t xml:space="preserve">Solo execution across product, content, data, support, sales is heavy.</x:t>
        </x:is>
      </x:c>
      <x:c r="D12" s="21" t="inlineStr">
        <x:is>
          <x:t xml:space="preserve">High</x:t>
        </x:is>
      </x:c>
      <x:c r="E12" s="21" t="inlineStr">
        <x:is>
          <x:t xml:space="preserve">Medium</x:t>
        </x:is>
      </x:c>
      <x:c r="F12" s="14" t="n">
        <x:f>IF(D12="High",3,IF(D12="Medium",2,IF(D12="Low",1,0)))*IF(E12="High",3,IF(E12="Medium",2,IF(E12="Low",1,0)))</x:f>
        <x:v>6</x:v>
      </x:c>
      <x:c r="G12" s="21" t="inlineStr">
        <x:is>
          <x:t xml:space="preserve">Missed weekly reviews, no publishing</x:t>
        </x:is>
      </x:c>
      <x:c r="H12" s="21" t="inlineStr">
        <x:is>
          <x:t xml:space="preserve">Weekly cadence + one priority per area + contractors for documented tasks.</x:t>
        </x:is>
      </x:c>
      <x:c r="I12" s="21" t="inlineStr">
        <x:is>
          <x:t xml:space="preserve">Founder</x:t>
        </x:is>
      </x:c>
      <x:c r="J12" s="21" t="inlineStr">
        <x:is>
          <x:t xml:space="preserve">In Progress</x:t>
        </x:is>
      </x:c>
      <x:c r="K12" s="21" t="inlineStr">
        <x:is>
          <x:t xml:space="preserve"/>
        </x:is>
      </x:c>
    </x:row>
    <x:row r="13" ht="44" customHeight="1">
      <x:c r="A13" s="7" t="inlineStr">
        <x:is>
          <x:t xml:space="preserve">K09</x:t>
        </x:is>
      </x:c>
      <x:c r="B13" s="21" t="inlineStr">
        <x:is>
          <x:t xml:space="preserve"/>
        </x:is>
      </x:c>
      <x:c r="C13" s="21" t="inlineStr">
        <x:is>
          <x:t xml:space="preserve"/>
        </x:is>
      </x:c>
      <x:c r="D13" s="21" t="inlineStr">
        <x:is>
          <x:t xml:space="preserve">Medium</x:t>
        </x:is>
      </x:c>
      <x:c r="E13" s="21" t="inlineStr">
        <x:is>
          <x:t xml:space="preserve">Medium</x:t>
        </x:is>
      </x:c>
      <x:c r="F13" s="14" t="n">
        <x:f>IF(D13="High",3,IF(D13="Medium",2,IF(D13="Low",1,0)))*IF(E13="High",3,IF(E13="Medium",2,IF(E13="Low",1,0)))</x:f>
        <x:v>4</x:v>
      </x:c>
      <x:c r="G13" s="21" t="inlineStr">
        <x:is>
          <x:t xml:space="preserve"/>
        </x:is>
      </x:c>
      <x:c r="H13" s="21" t="inlineStr">
        <x:is>
          <x:t xml:space="preserve"/>
        </x:is>
      </x:c>
      <x:c r="I13" s="21" t="inlineStr">
        <x:is>
          <x:t xml:space="preserve">Founder</x:t>
        </x:is>
      </x:c>
      <x:c r="J13" s="21" t="inlineStr">
        <x:is>
          <x:t xml:space="preserve">Backlog</x:t>
        </x:is>
      </x:c>
      <x:c r="K13" s="21" t="inlineStr">
        <x:is>
          <x:t xml:space="preserve"/>
        </x:is>
      </x:c>
    </x:row>
    <x:row r="14" ht="44" customHeight="1">
      <x:c r="A14" s="5" t="inlineStr">
        <x:is>
          <x:t xml:space="preserve">K10</x:t>
        </x:is>
      </x:c>
      <x:c r="B14" s="21" t="inlineStr">
        <x:is>
          <x:t xml:space="preserve"/>
        </x:is>
      </x:c>
      <x:c r="C14" s="21" t="inlineStr">
        <x:is>
          <x:t xml:space="preserve"/>
        </x:is>
      </x:c>
      <x:c r="D14" s="21" t="inlineStr">
        <x:is>
          <x:t xml:space="preserve">Medium</x:t>
        </x:is>
      </x:c>
      <x:c r="E14" s="21" t="inlineStr">
        <x:is>
          <x:t xml:space="preserve">Medium</x:t>
        </x:is>
      </x:c>
      <x:c r="F14" s="14" t="n">
        <x:f>IF(D14="High",3,IF(D14="Medium",2,IF(D14="Low",1,0)))*IF(E14="High",3,IF(E14="Medium",2,IF(E14="Low",1,0)))</x:f>
        <x:v>4</x:v>
      </x:c>
      <x:c r="G14" s="21" t="inlineStr">
        <x:is>
          <x:t xml:space="preserve"/>
        </x:is>
      </x:c>
      <x:c r="H14" s="21" t="inlineStr">
        <x:is>
          <x:t xml:space="preserve"/>
        </x:is>
      </x:c>
      <x:c r="I14" s="21" t="inlineStr">
        <x:is>
          <x:t xml:space="preserve">Founder</x:t>
        </x:is>
      </x:c>
      <x:c r="J14" s="21" t="inlineStr">
        <x:is>
          <x:t xml:space="preserve">Backlog</x:t>
        </x:is>
      </x:c>
      <x:c r="K14" s="21" t="inlineStr">
        <x:is>
          <x:t xml:space="preserve"/>
        </x:is>
      </x:c>
    </x:row>
    <x:row r="15" ht="44" customHeight="1">
      <x:c r="A15" s="7" t="inlineStr">
        <x:is>
          <x:t xml:space="preserve">K11</x:t>
        </x:is>
      </x:c>
      <x:c r="B15" s="21" t="inlineStr">
        <x:is>
          <x:t xml:space="preserve"/>
        </x:is>
      </x:c>
      <x:c r="C15" s="21" t="inlineStr">
        <x:is>
          <x:t xml:space="preserve"/>
        </x:is>
      </x:c>
      <x:c r="D15" s="21" t="inlineStr">
        <x:is>
          <x:t xml:space="preserve">Medium</x:t>
        </x:is>
      </x:c>
      <x:c r="E15" s="21" t="inlineStr">
        <x:is>
          <x:t xml:space="preserve">Medium</x:t>
        </x:is>
      </x:c>
      <x:c r="F15" s="14" t="n">
        <x:f>IF(D15="High",3,IF(D15="Medium",2,IF(D15="Low",1,0)))*IF(E15="High",3,IF(E15="Medium",2,IF(E15="Low",1,0)))</x:f>
        <x:v>4</x:v>
      </x:c>
      <x:c r="G15" s="21" t="inlineStr">
        <x:is>
          <x:t xml:space="preserve"/>
        </x:is>
      </x:c>
      <x:c r="H15" s="21" t="inlineStr">
        <x:is>
          <x:t xml:space="preserve"/>
        </x:is>
      </x:c>
      <x:c r="I15" s="21" t="inlineStr">
        <x:is>
          <x:t xml:space="preserve">Founder</x:t>
        </x:is>
      </x:c>
      <x:c r="J15" s="21" t="inlineStr">
        <x:is>
          <x:t xml:space="preserve">Backlog</x:t>
        </x:is>
      </x:c>
      <x:c r="K15" s="21" t="inlineStr">
        <x:is>
          <x:t xml:space="preserve"/>
        </x:is>
      </x:c>
    </x:row>
    <x:row r="16" ht="44" customHeight="1">
      <x:c r="A16" s="5" t="inlineStr">
        <x:is>
          <x:t xml:space="preserve">K12</x:t>
        </x:is>
      </x:c>
      <x:c r="B16" s="21" t="inlineStr">
        <x:is>
          <x:t xml:space="preserve"/>
        </x:is>
      </x:c>
      <x:c r="C16" s="21" t="inlineStr">
        <x:is>
          <x:t xml:space="preserve"/>
        </x:is>
      </x:c>
      <x:c r="D16" s="21" t="inlineStr">
        <x:is>
          <x:t xml:space="preserve">Medium</x:t>
        </x:is>
      </x:c>
      <x:c r="E16" s="21" t="inlineStr">
        <x:is>
          <x:t xml:space="preserve">Medium</x:t>
        </x:is>
      </x:c>
      <x:c r="F16" s="14" t="n">
        <x:f>IF(D16="High",3,IF(D16="Medium",2,IF(D16="Low",1,0)))*IF(E16="High",3,IF(E16="Medium",2,IF(E16="Low",1,0)))</x:f>
        <x:v>4</x:v>
      </x:c>
      <x:c r="G16" s="21" t="inlineStr">
        <x:is>
          <x:t xml:space="preserve"/>
        </x:is>
      </x:c>
      <x:c r="H16" s="21" t="inlineStr">
        <x:is>
          <x:t xml:space="preserve"/>
        </x:is>
      </x:c>
      <x:c r="I16" s="21" t="inlineStr">
        <x:is>
          <x:t xml:space="preserve">Founder</x:t>
        </x:is>
      </x:c>
      <x:c r="J16" s="21" t="inlineStr">
        <x:is>
          <x:t xml:space="preserve">Backlog</x:t>
        </x:is>
      </x:c>
      <x:c r="K16" s="21" t="inlineStr">
        <x:is>
          <x:t xml:space="preserve"/>
        </x:is>
      </x:c>
    </x:row>
    <x:row r="17" ht="44" customHeight="1">
      <x:c r="A17" s="7" t="inlineStr">
        <x:is>
          <x:t xml:space="preserve">K13</x:t>
        </x:is>
      </x:c>
      <x:c r="B17" s="21" t="inlineStr">
        <x:is>
          <x:t xml:space="preserve"/>
        </x:is>
      </x:c>
      <x:c r="C17" s="21" t="inlineStr">
        <x:is>
          <x:t xml:space="preserve"/>
        </x:is>
      </x:c>
      <x:c r="D17" s="21" t="inlineStr">
        <x:is>
          <x:t xml:space="preserve">Medium</x:t>
        </x:is>
      </x:c>
      <x:c r="E17" s="21" t="inlineStr">
        <x:is>
          <x:t xml:space="preserve">Medium</x:t>
        </x:is>
      </x:c>
      <x:c r="F17" s="14" t="n">
        <x:f>IF(D17="High",3,IF(D17="Medium",2,IF(D17="Low",1,0)))*IF(E17="High",3,IF(E17="Medium",2,IF(E17="Low",1,0)))</x:f>
        <x:v>4</x:v>
      </x:c>
      <x:c r="G17" s="21" t="inlineStr">
        <x:is>
          <x:t xml:space="preserve"/>
        </x:is>
      </x:c>
      <x:c r="H17" s="21" t="inlineStr">
        <x:is>
          <x:t xml:space="preserve"/>
        </x:is>
      </x:c>
      <x:c r="I17" s="21" t="inlineStr">
        <x:is>
          <x:t xml:space="preserve">Founder</x:t>
        </x:is>
      </x:c>
      <x:c r="J17" s="21" t="inlineStr">
        <x:is>
          <x:t xml:space="preserve">Backlog</x:t>
        </x:is>
      </x:c>
      <x:c r="K17" s="21" t="inlineStr">
        <x:is>
          <x:t xml:space="preserve"/>
        </x:is>
      </x:c>
    </x:row>
    <x:row r="18" ht="44" customHeight="1">
      <x:c r="A18" s="5" t="inlineStr">
        <x:is>
          <x:t xml:space="preserve">K14</x:t>
        </x:is>
      </x:c>
      <x:c r="B18" s="21" t="inlineStr">
        <x:is>
          <x:t xml:space="preserve"/>
        </x:is>
      </x:c>
      <x:c r="C18" s="21" t="inlineStr">
        <x:is>
          <x:t xml:space="preserve"/>
        </x:is>
      </x:c>
      <x:c r="D18" s="21" t="inlineStr">
        <x:is>
          <x:t xml:space="preserve">Medium</x:t>
        </x:is>
      </x:c>
      <x:c r="E18" s="21" t="inlineStr">
        <x:is>
          <x:t xml:space="preserve">Medium</x:t>
        </x:is>
      </x:c>
      <x:c r="F18" s="14" t="n">
        <x:f>IF(D18="High",3,IF(D18="Medium",2,IF(D18="Low",1,0)))*IF(E18="High",3,IF(E18="Medium",2,IF(E18="Low",1,0)))</x:f>
        <x:v>4</x:v>
      </x:c>
      <x:c r="G18" s="21" t="inlineStr">
        <x:is>
          <x:t xml:space="preserve"/>
        </x:is>
      </x:c>
      <x:c r="H18" s="21" t="inlineStr">
        <x:is>
          <x:t xml:space="preserve"/>
        </x:is>
      </x:c>
      <x:c r="I18" s="21" t="inlineStr">
        <x:is>
          <x:t xml:space="preserve">Founder</x:t>
        </x:is>
      </x:c>
      <x:c r="J18" s="21" t="inlineStr">
        <x:is>
          <x:t xml:space="preserve">Backlog</x:t>
        </x:is>
      </x:c>
      <x:c r="K18" s="21" t="inlineStr">
        <x:is>
          <x:t xml:space="preserve"/>
        </x:is>
      </x:c>
    </x:row>
    <x:row r="19" ht="44" customHeight="1">
      <x:c r="A19" s="7" t="inlineStr">
        <x:is>
          <x:t xml:space="preserve">K15</x:t>
        </x:is>
      </x:c>
      <x:c r="B19" s="21" t="inlineStr">
        <x:is>
          <x:t xml:space="preserve"/>
        </x:is>
      </x:c>
      <x:c r="C19" s="21" t="inlineStr">
        <x:is>
          <x:t xml:space="preserve"/>
        </x:is>
      </x:c>
      <x:c r="D19" s="21" t="inlineStr">
        <x:is>
          <x:t xml:space="preserve">Medium</x:t>
        </x:is>
      </x:c>
      <x:c r="E19" s="21" t="inlineStr">
        <x:is>
          <x:t xml:space="preserve">Medium</x:t>
        </x:is>
      </x:c>
      <x:c r="F19" s="14" t="n">
        <x:f>IF(D19="High",3,IF(D19="Medium",2,IF(D19="Low",1,0)))*IF(E19="High",3,IF(E19="Medium",2,IF(E19="Low",1,0)))</x:f>
        <x:v>4</x:v>
      </x:c>
      <x:c r="G19" s="21" t="inlineStr">
        <x:is>
          <x:t xml:space="preserve"/>
        </x:is>
      </x:c>
      <x:c r="H19" s="21" t="inlineStr">
        <x:is>
          <x:t xml:space="preserve"/>
        </x:is>
      </x:c>
      <x:c r="I19" s="21" t="inlineStr">
        <x:is>
          <x:t xml:space="preserve">Founder</x:t>
        </x:is>
      </x:c>
      <x:c r="J19" s="21" t="inlineStr">
        <x:is>
          <x:t xml:space="preserve">Backlog</x:t>
        </x:is>
      </x:c>
      <x:c r="K19" s="21" t="inlineStr">
        <x:is>
          <x:t xml:space="preserve"/>
        </x:is>
      </x:c>
    </x:row>
    <x:row r="20" ht="44" customHeight="1">
      <x:c r="A20" s="5" t="inlineStr">
        <x:is>
          <x:t xml:space="preserve">K16</x:t>
        </x:is>
      </x:c>
      <x:c r="B20" s="21" t="inlineStr">
        <x:is>
          <x:t xml:space="preserve"/>
        </x:is>
      </x:c>
      <x:c r="C20" s="21" t="inlineStr">
        <x:is>
          <x:t xml:space="preserve"/>
        </x:is>
      </x:c>
      <x:c r="D20" s="21" t="inlineStr">
        <x:is>
          <x:t xml:space="preserve">Medium</x:t>
        </x:is>
      </x:c>
      <x:c r="E20" s="21" t="inlineStr">
        <x:is>
          <x:t xml:space="preserve">Medium</x:t>
        </x:is>
      </x:c>
      <x:c r="F20" s="14" t="n">
        <x:f>IF(D20="High",3,IF(D20="Medium",2,IF(D20="Low",1,0)))*IF(E20="High",3,IF(E20="Medium",2,IF(E20="Low",1,0)))</x:f>
        <x:v>4</x:v>
      </x:c>
      <x:c r="G20" s="21" t="inlineStr">
        <x:is>
          <x:t xml:space="preserve"/>
        </x:is>
      </x:c>
      <x:c r="H20" s="21" t="inlineStr">
        <x:is>
          <x:t xml:space="preserve"/>
        </x:is>
      </x:c>
      <x:c r="I20" s="21" t="inlineStr">
        <x:is>
          <x:t xml:space="preserve">Founder</x:t>
        </x:is>
      </x:c>
      <x:c r="J20" s="21" t="inlineStr">
        <x:is>
          <x:t xml:space="preserve">Backlog</x:t>
        </x:is>
      </x:c>
      <x:c r="K20" s="21" t="inlineStr">
        <x:is>
          <x:t xml:space="preserve"/>
        </x:is>
      </x:c>
    </x:row>
    <x:row r="21" ht="44" customHeight="1">
      <x:c r="A21" s="7" t="inlineStr">
        <x:is>
          <x:t xml:space="preserve">K17</x:t>
        </x:is>
      </x:c>
      <x:c r="B21" s="21" t="inlineStr">
        <x:is>
          <x:t xml:space="preserve"/>
        </x:is>
      </x:c>
      <x:c r="C21" s="21" t="inlineStr">
        <x:is>
          <x:t xml:space="preserve"/>
        </x:is>
      </x:c>
      <x:c r="D21" s="21" t="inlineStr">
        <x:is>
          <x:t xml:space="preserve">Medium</x:t>
        </x:is>
      </x:c>
      <x:c r="E21" s="21" t="inlineStr">
        <x:is>
          <x:t xml:space="preserve">Medium</x:t>
        </x:is>
      </x:c>
      <x:c r="F21" s="14" t="n">
        <x:f>IF(D21="High",3,IF(D21="Medium",2,IF(D21="Low",1,0)))*IF(E21="High",3,IF(E21="Medium",2,IF(E21="Low",1,0)))</x:f>
        <x:v>4</x:v>
      </x:c>
      <x:c r="G21" s="21" t="inlineStr">
        <x:is>
          <x:t xml:space="preserve"/>
        </x:is>
      </x:c>
      <x:c r="H21" s="21" t="inlineStr">
        <x:is>
          <x:t xml:space="preserve"/>
        </x:is>
      </x:c>
      <x:c r="I21" s="21" t="inlineStr">
        <x:is>
          <x:t xml:space="preserve">Founder</x:t>
        </x:is>
      </x:c>
      <x:c r="J21" s="21" t="inlineStr">
        <x:is>
          <x:t xml:space="preserve">Backlog</x:t>
        </x:is>
      </x:c>
      <x:c r="K21" s="21" t="inlineStr">
        <x:is>
          <x:t xml:space="preserve"/>
        </x:is>
      </x:c>
    </x:row>
    <x:row r="22" ht="44" customHeight="1">
      <x:c r="A22" s="5" t="inlineStr">
        <x:is>
          <x:t xml:space="preserve">K18</x:t>
        </x:is>
      </x:c>
      <x:c r="B22" s="21" t="inlineStr">
        <x:is>
          <x:t xml:space="preserve"/>
        </x:is>
      </x:c>
      <x:c r="C22" s="21" t="inlineStr">
        <x:is>
          <x:t xml:space="preserve"/>
        </x:is>
      </x:c>
      <x:c r="D22" s="21" t="inlineStr">
        <x:is>
          <x:t xml:space="preserve">Medium</x:t>
        </x:is>
      </x:c>
      <x:c r="E22" s="21" t="inlineStr">
        <x:is>
          <x:t xml:space="preserve">Medium</x:t>
        </x:is>
      </x:c>
      <x:c r="F22" s="14" t="n">
        <x:f>IF(D22="High",3,IF(D22="Medium",2,IF(D22="Low",1,0)))*IF(E22="High",3,IF(E22="Medium",2,IF(E22="Low",1,0)))</x:f>
        <x:v>4</x:v>
      </x:c>
      <x:c r="G22" s="21" t="inlineStr">
        <x:is>
          <x:t xml:space="preserve"/>
        </x:is>
      </x:c>
      <x:c r="H22" s="21" t="inlineStr">
        <x:is>
          <x:t xml:space="preserve"/>
        </x:is>
      </x:c>
      <x:c r="I22" s="21" t="inlineStr">
        <x:is>
          <x:t xml:space="preserve">Founder</x:t>
        </x:is>
      </x:c>
      <x:c r="J22" s="21" t="inlineStr">
        <x:is>
          <x:t xml:space="preserve">Backlog</x:t>
        </x:is>
      </x:c>
      <x:c r="K22" s="21" t="inlineStr">
        <x:is>
          <x:t xml:space="preserve"/>
        </x:is>
      </x:c>
    </x:row>
    <x:row r="23" ht="44" customHeight="1">
      <x:c r="A23" s="7" t="inlineStr">
        <x:is>
          <x:t xml:space="preserve">K19</x:t>
        </x:is>
      </x:c>
      <x:c r="B23" s="21" t="inlineStr">
        <x:is>
          <x:t xml:space="preserve"/>
        </x:is>
      </x:c>
      <x:c r="C23" s="21" t="inlineStr">
        <x:is>
          <x:t xml:space="preserve"/>
        </x:is>
      </x:c>
      <x:c r="D23" s="21" t="inlineStr">
        <x:is>
          <x:t xml:space="preserve">Medium</x:t>
        </x:is>
      </x:c>
      <x:c r="E23" s="21" t="inlineStr">
        <x:is>
          <x:t xml:space="preserve">Medium</x:t>
        </x:is>
      </x:c>
      <x:c r="F23" s="14" t="n">
        <x:f>IF(D23="High",3,IF(D23="Medium",2,IF(D23="Low",1,0)))*IF(E23="High",3,IF(E23="Medium",2,IF(E23="Low",1,0)))</x:f>
        <x:v>4</x:v>
      </x:c>
      <x:c r="G23" s="21" t="inlineStr">
        <x:is>
          <x:t xml:space="preserve"/>
        </x:is>
      </x:c>
      <x:c r="H23" s="21" t="inlineStr">
        <x:is>
          <x:t xml:space="preserve"/>
        </x:is>
      </x:c>
      <x:c r="I23" s="21" t="inlineStr">
        <x:is>
          <x:t xml:space="preserve">Founder</x:t>
        </x:is>
      </x:c>
      <x:c r="J23" s="21" t="inlineStr">
        <x:is>
          <x:t xml:space="preserve">Backlog</x:t>
        </x:is>
      </x:c>
      <x:c r="K23" s="21" t="inlineStr">
        <x:is>
          <x:t xml:space="preserve"/>
        </x:is>
      </x:c>
    </x:row>
    <x:row r="24" ht="44" customHeight="1">
      <x:c r="A24" s="5" t="inlineStr">
        <x:is>
          <x:t xml:space="preserve">K20</x:t>
        </x:is>
      </x:c>
      <x:c r="B24" s="21" t="inlineStr">
        <x:is>
          <x:t xml:space="preserve"/>
        </x:is>
      </x:c>
      <x:c r="C24" s="21" t="inlineStr">
        <x:is>
          <x:t xml:space="preserve"/>
        </x:is>
      </x:c>
      <x:c r="D24" s="21" t="inlineStr">
        <x:is>
          <x:t xml:space="preserve">Medium</x:t>
        </x:is>
      </x:c>
      <x:c r="E24" s="21" t="inlineStr">
        <x:is>
          <x:t xml:space="preserve">Medium</x:t>
        </x:is>
      </x:c>
      <x:c r="F24" s="14" t="n">
        <x:f>IF(D24="High",3,IF(D24="Medium",2,IF(D24="Low",1,0)))*IF(E24="High",3,IF(E24="Medium",2,IF(E24="Low",1,0)))</x:f>
        <x:v>4</x:v>
      </x:c>
      <x:c r="G24" s="21" t="inlineStr">
        <x:is>
          <x:t xml:space="preserve"/>
        </x:is>
      </x:c>
      <x:c r="H24" s="21" t="inlineStr">
        <x:is>
          <x:t xml:space="preserve"/>
        </x:is>
      </x:c>
      <x:c r="I24" s="21" t="inlineStr">
        <x:is>
          <x:t xml:space="preserve">Founder</x:t>
        </x:is>
      </x:c>
      <x:c r="J24" s="21" t="inlineStr">
        <x:is>
          <x:t xml:space="preserve">Backlog</x:t>
        </x:is>
      </x:c>
      <x:c r="K24" s="21" t="inlineStr">
        <x:is>
          <x:t xml:space="preserve"/>
        </x:is>
      </x:c>
    </x:row>
    <x:row r="25" ht="44" customHeight="1">
      <x:c r="A25" s="7" t="inlineStr">
        <x:is>
          <x:t xml:space="preserve">K21</x:t>
        </x:is>
      </x:c>
      <x:c r="B25" s="21" t="inlineStr">
        <x:is>
          <x:t xml:space="preserve"/>
        </x:is>
      </x:c>
      <x:c r="C25" s="21" t="inlineStr">
        <x:is>
          <x:t xml:space="preserve"/>
        </x:is>
      </x:c>
      <x:c r="D25" s="21" t="inlineStr">
        <x:is>
          <x:t xml:space="preserve">Medium</x:t>
        </x:is>
      </x:c>
      <x:c r="E25" s="21" t="inlineStr">
        <x:is>
          <x:t xml:space="preserve">Medium</x:t>
        </x:is>
      </x:c>
      <x:c r="F25" s="14" t="n">
        <x:f>IF(D25="High",3,IF(D25="Medium",2,IF(D25="Low",1,0)))*IF(E25="High",3,IF(E25="Medium",2,IF(E25="Low",1,0)))</x:f>
        <x:v>4</x:v>
      </x:c>
      <x:c r="G25" s="21" t="inlineStr">
        <x:is>
          <x:t xml:space="preserve"/>
        </x:is>
      </x:c>
      <x:c r="H25" s="21" t="inlineStr">
        <x:is>
          <x:t xml:space="preserve"/>
        </x:is>
      </x:c>
      <x:c r="I25" s="21" t="inlineStr">
        <x:is>
          <x:t xml:space="preserve">Founder</x:t>
        </x:is>
      </x:c>
      <x:c r="J25" s="21" t="inlineStr">
        <x:is>
          <x:t xml:space="preserve">Backlog</x:t>
        </x:is>
      </x:c>
      <x:c r="K25" s="21" t="inlineStr">
        <x:is>
          <x:t xml:space="preserve"/>
        </x:is>
      </x:c>
    </x:row>
    <x:row r="26" ht="44" customHeight="1">
      <x:c r="A26" s="7" t="inlineStr">
        <x:is>
          <x:t xml:space="preserve">K26</x:t>
        </x:is>
      </x:c>
      <x:c r="B26" s="21" t="inlineStr">
        <x:is>
          <x:t xml:space="preserve">Replit outage or account dependency</x:t>
        </x:is>
      </x:c>
      <x:c r="C26" s="21" t="inlineStr">
        <x:is>
          <x:t xml:space="preserve">Production downtime can immediately affect paying users.</x:t>
        </x:is>
      </x:c>
      <x:c r="D26" s="21" t="inlineStr">
        <x:is>
          <x:t xml:space="preserve">Medium</x:t>
        </x:is>
      </x:c>
      <x:c r="E26" s="21" t="inlineStr">
        <x:is>
          <x:t xml:space="preserve">High</x:t>
        </x:is>
      </x:c>
      <x:c r="F26" s="14" t="n">
        <x:f>IF(D26="High",3,IF(D26="Medium",2,IF(D26="Low",1,0)))*IF(E26="High",3,IF(E26="Medium",2,IF(E26="Low",1,0)))</x:f>
        <x:v>6</x:v>
      </x:c>
      <x:c r="G26" s="21" t="inlineStr">
        <x:is>
          <x:t xml:space="preserve">No alert, failed deploy, access problem</x:t>
        </x:is>
      </x:c>
      <x:c r="H26" s="21" t="inlineStr">
        <x:is>
          <x:t xml:space="preserve">Maintain backup/export, uptime check and recovery SOP.</x:t>
        </x:is>
      </x:c>
      <x:c r="I26" s="21" t="inlineStr">
        <x:is>
          <x:t xml:space="preserve">Founder</x:t>
        </x:is>
      </x:c>
      <x:c r="J26" s="21" t="inlineStr">
        <x:is>
          <x:t xml:space="preserve">In Progress</x:t>
        </x:is>
      </x:c>
      <x:c r="K26" s="21" t="inlineStr">
        <x:is>
          <x:t xml:space="preserve"/>
        </x:is>
      </x:c>
    </x:row>
    <x:row r="27" ht="44" customHeight="1">
      <x:c r="A27" s="7" t="inlineStr">
        <x:is>
          <x:t xml:space="preserve">K27</x:t>
        </x:is>
      </x:c>
      <x:c r="B27" s="21" t="inlineStr">
        <x:is>
          <x:t xml:space="preserve">Store payout delay or mismatch</x:t>
        </x:is>
      </x:c>
      <x:c r="C27" s="21" t="inlineStr">
        <x:is>
          <x:t xml:space="preserve">Accrued subscriptions may not equal cash available.</x:t>
        </x:is>
      </x:c>
      <x:c r="D27" s="21" t="inlineStr">
        <x:is>
          <x:t xml:space="preserve">Medium</x:t>
        </x:is>
      </x:c>
      <x:c r="E27" s="21" t="inlineStr">
        <x:is>
          <x:t xml:space="preserve">High</x:t>
        </x:is>
      </x:c>
      <x:c r="F27" s="14" t="n">
        <x:f>IF(D27="High",3,IF(D27="Medium",2,IF(D27="Low",1,0)))*IF(E27="High",3,IF(E27="Medium",2,IF(E27="Low",1,0)))</x:f>
        <x:v>6</x:v>
      </x:c>
      <x:c r="G27" s="21" t="inlineStr">
        <x:is>
          <x:t xml:space="preserve">Cash receipt differs from store report</x:t>
        </x:is>
      </x:c>
      <x:c r="H27" s="21" t="inlineStr">
        <x:is>
          <x:t xml:space="preserve">Reconcile gross, fees, refunds and cash weekly; never spend expected payout.</x:t>
        </x:is>
      </x:c>
      <x:c r="I27" s="21" t="inlineStr">
        <x:is>
          <x:t xml:space="preserve">Founder</x:t>
        </x:is>
      </x:c>
      <x:c r="J27" s="21" t="inlineStr">
        <x:is>
          <x:t xml:space="preserve">In Progress</x:t>
        </x:is>
      </x:c>
      <x:c r="K27" s="21" t="inlineStr">
        <x:is>
          <x:t xml:space="preserve"/>
        </x:is>
      </x:c>
    </x:row>
    <x:row r="28" ht="44" customHeight="1">
      <x:c r="A28" s="7" t="inlineStr">
        <x:is>
          <x:t xml:space="preserve">K28</x:t>
        </x:is>
      </x:c>
      <x:c r="B28" s="21" t="inlineStr">
        <x:is>
          <x:t xml:space="preserve">Fuel overspend with weak output</x:t>
        </x:is>
      </x:c>
      <x:c r="C28" s="21" t="inlineStr">
        <x:is>
          <x:t xml:space="preserve">Field driving can consume weekly funding without building data or content.</x:t>
        </x:is>
      </x:c>
      <x:c r="D28" s="21" t="inlineStr">
        <x:is>
          <x:t xml:space="preserve">High</x:t>
        </x:is>
      </x:c>
      <x:c r="E28" s="21" t="inlineStr">
        <x:is>
          <x:t xml:space="preserve">Medium</x:t>
        </x:is>
      </x:c>
      <x:c r="F28" s="14" t="n">
        <x:f>IF(D28="High",3,IF(D28="Medium",2,IF(D28="Low",1,0)))*IF(E28="High",3,IF(E28="Medium",2,IF(E28="Low",1,0)))</x:f>
        <x:v>6</x:v>
      </x:c>
      <x:c r="G28" s="21" t="inlineStr">
        <x:is>
          <x:t xml:space="preserve">Trips have no linked evidence/assets</x:t>
        </x:is>
      </x:c>
      <x:c r="H28" s="21" t="inlineStr">
        <x:is>
          <x:t xml:space="preserve">Pre-plan corridor; log km; require data + content outputs per trip.</x:t>
        </x:is>
      </x:c>
      <x:c r="I28" s="21" t="inlineStr">
        <x:is>
          <x:t xml:space="preserve">Founder</x:t>
        </x:is>
      </x:c>
      <x:c r="J28" s="21" t="inlineStr">
        <x:is>
          <x:t xml:space="preserve">In Progress</x:t>
        </x:is>
      </x:c>
      <x:c r="K28" s="21" t="inlineStr">
        <x:is>
          <x:t xml:space="preserve"/>
        </x:is>
      </x:c>
    </x:row>
    <x:row r="29" ht="44" customHeight="1">
      <x:c r="A29" s="7" t="inlineStr">
        <x:is>
          <x:t xml:space="preserve">K29</x:t>
        </x:is>
      </x:c>
      <x:c r="B29" s="21" t="inlineStr">
        <x:is>
          <x:t xml:space="preserve">Incorrect camera/speed claim</x:t>
        </x:is>
      </x:c>
      <x:c r="C29" s="21" t="inlineStr">
        <x:is>
          <x:t xml:space="preserve">Bad road intelligence can harm trust and safety.</x:t>
        </x:is>
      </x:c>
      <x:c r="D29" s="21" t="inlineStr">
        <x:is>
          <x:t xml:space="preserve">Medium</x:t>
        </x:is>
      </x:c>
      <x:c r="E29" s="21" t="inlineStr">
        <x:is>
          <x:t xml:space="preserve">High</x:t>
        </x:is>
      </x:c>
      <x:c r="F29" s="14" t="n">
        <x:f>IF(D29="High",3,IF(D29="Medium",2,IF(D29="Low",1,0)))*IF(E29="High",3,IF(E29="Medium",2,IF(E29="Low",1,0)))</x:f>
        <x:v>6</x:v>
      </x:c>
      <x:c r="G29" s="21" t="inlineStr">
        <x:is>
          <x:t xml:space="preserve">Unverified record used publicly</x:t>
        </x:is>
      </x:c>
      <x:c r="H29" s="21" t="inlineStr">
        <x:is>
          <x:t xml:space="preserve">Confidence levels, evidence, last-verified date and cautious language.</x:t>
        </x:is>
      </x:c>
      <x:c r="I29" s="21" t="inlineStr">
        <x:is>
          <x:t xml:space="preserve">Founder</x:t>
        </x:is>
      </x:c>
      <x:c r="J29" s="21" t="inlineStr">
        <x:is>
          <x:t xml:space="preserve">In Progress</x:t>
        </x:is>
      </x:c>
      <x:c r="K29" s="21" t="inlineStr">
        <x:is>
          <x:t xml:space="preserve"/>
        </x:is>
      </x:c>
    </x:row>
  </x:sheetData>
  <x:dataValidations count="2">
    <x:dataValidation type="list" allowBlank="1" showDropDown="0" showInputMessage="0" showErrorMessage="0" sqref="D5:E29">
      <x:formula1>"Low,Medium,High"</x:formula1>
    </x:dataValidation>
    <x:dataValidation type="list" allowBlank="1" showDropDown="0" showInputMessage="0" showErrorMessage="0" sqref="J5:J29">
      <x:formula1>=Lists!$A$5:$A$10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1e7dfd17c44c3e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5" customWidth="1"/>
    <x:col min="3" max="3" width="18" customWidth="1"/>
    <x:col min="4" max="4" width="40" customWidth="1"/>
    <x:col min="5" max="5" width="52" customWidth="1"/>
    <x:col min="6" max="6" width="34" customWidth="1"/>
    <x:col min="7" max="7" width="24" customWidth="1"/>
    <x:col min="8" max="8" width="16" customWidth="1"/>
    <x:col min="9" max="9" width="16" customWidth="1"/>
    <x:col min="10" max="10" width="18" customWidth="1"/>
    <x:col min="11" max="11" width="16" customWidth="1"/>
    <x:col min="12" max="12" width="18" customWidth="1"/>
    <x:col min="13" max="13" width="18" customWidth="1"/>
    <x:col min="14" max="14" width="24" customWidth="1"/>
  </x:cols>
  <x:sheetData>
    <x:row r="1" ht="30" customHeight="1">
      <x:c r="A1" s="1" t="n"/>
      <x:c r="B1" s="1" t="inlineStr">
        <x:is>
          <x:t xml:space="preserve">SOP Library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2" ht="34" customHeight="1">
      <x:c r="A2" s="2" t="n"/>
      <x:c r="B2" s="2" t="inlineStr">
        <x:is>
          <x:t xml:space="preserve">Document repeatable tasks before delegating. This turns chaos into operations.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/>
    <x:row r="4" ht="32" customHeight="1">
      <x:c r="A4" s="10" t="inlineStr">
        <x:is>
          <x:t xml:space="preserve">SOP ID</x:t>
        </x:is>
      </x:c>
      <x:c r="B4" s="10" t="inlineStr">
        <x:is>
          <x:t xml:space="preserve">Process</x:t>
        </x:is>
      </x:c>
      <x:c r="C4" s="10" t="inlineStr">
        <x:is>
          <x:t xml:space="preserve">Owner</x:t>
        </x:is>
      </x:c>
      <x:c r="D4" s="10" t="inlineStr">
        <x:is>
          <x:t xml:space="preserve">Purpose</x:t>
        </x:is>
      </x:c>
      <x:c r="E4" s="10" t="inlineStr">
        <x:is>
          <x:t xml:space="preserve">Steps</x:t>
        </x:is>
      </x:c>
      <x:c r="F4" s="10" t="inlineStr">
        <x:is>
          <x:t xml:space="preserve">Acceptance Criteria</x:t>
        </x:is>
      </x:c>
      <x:c r="G4" s="10" t="inlineStr">
        <x:is>
          <x:t xml:space="preserve">Tools Needed</x:t>
        </x:is>
      </x:c>
      <x:c r="H4" s="10" t="inlineStr">
        <x:is>
          <x:t xml:space="preserve">Frequency</x:t>
        </x:is>
      </x:c>
      <x:c r="I4" s="10" t="inlineStr">
        <x:is>
          <x:t xml:space="preserve">Estimated Time</x:t>
        </x:is>
      </x:c>
      <x:c r="J4" s="10" t="inlineStr">
        <x:is>
          <x:t xml:space="preserve">Handoff Ready?</x:t>
        </x:is>
      </x:c>
      <x:c r="K4" s="10" t="inlineStr">
        <x:is>
          <x:t xml:space="preserve">Status</x:t>
        </x:is>
      </x:c>
      <x:c r="L4" s="10" t="inlineStr">
        <x:is>
          <x:t xml:space="preserve">Last Updated</x:t>
        </x:is>
      </x:c>
      <x:c r="M4" s="10" t="inlineStr">
        <x:is>
          <x:t xml:space="preserve">Next Review</x:t>
        </x:is>
      </x:c>
      <x:c r="N4" s="10" t="inlineStr">
        <x:is>
          <x:t xml:space="preserve">Notes</x:t>
        </x:is>
      </x:c>
    </x:row>
    <x:row r="5" ht="62" customHeight="1">
      <x:c r="A5" s="7" t="inlineStr">
        <x:is>
          <x:t xml:space="preserve">SOP01</x:t>
        </x:is>
      </x:c>
      <x:c r="B5" s="21" t="inlineStr">
        <x:is>
          <x:t xml:space="preserve">Weekly cash review</x:t>
        </x:is>
      </x:c>
      <x:c r="C5" s="21" t="inlineStr">
        <x:is>
          <x:t xml:space="preserve">Founder</x:t>
        </x:is>
      </x:c>
      <x:c r="D5" s="21" t="inlineStr">
        <x:is>
          <x:t xml:space="preserve">Decide Friday spending before payments.</x:t>
        </x:is>
      </x:c>
      <x:c r="E5" s="21" t="inlineStr">
        <x:is>
          <x:t xml:space="preserve">Update cash plan; check reserve; choose max 3 spend items; record actuals.</x:t>
        </x:is>
      </x:c>
      <x:c r="F5" s="21" t="inlineStr">
        <x:is>
          <x:t xml:space="preserve">No spend without category, receipt, and purpose.</x:t>
        </x:is>
      </x:c>
      <x:c r="G5" s="21" t="inlineStr">
        <x:is>
          <x:t xml:space="preserve">Workbook, receipts folder</x:t>
        </x:is>
      </x:c>
      <x:c r="H5" s="21" t="inlineStr">
        <x:is>
          <x:t xml:space="preserve">Weekly</x:t>
        </x:is>
      </x:c>
      <x:c r="I5" s="21" t="inlineStr">
        <x:is>
          <x:t xml:space="preserve">45 min</x:t>
        </x:is>
      </x:c>
      <x:c r="J5" s="21" t="inlineStr">
        <x:is>
          <x:t xml:space="preserve">No</x:t>
        </x:is>
      </x:c>
      <x:c r="K5" s="21" t="inlineStr">
        <x:is>
          <x:t xml:space="preserve">In Progress</x:t>
        </x:is>
      </x:c>
      <x:c r="L5" s="21" t="inlineStr">
        <x:is>
          <x:t xml:space="preserve"/>
        </x:is>
      </x:c>
      <x:c r="M5" s="21" t="inlineStr">
        <x:is>
          <x:t xml:space="preserve"/>
        </x:is>
      </x:c>
      <x:c r="N5" s="21" t="inlineStr">
        <x:is>
          <x:t xml:space="preserve"/>
        </x:is>
      </x:c>
    </x:row>
    <x:row r="6" ht="62" customHeight="1">
      <x:c r="A6" s="5" t="inlineStr">
        <x:is>
          <x:t xml:space="preserve">SOP02</x:t>
        </x:is>
      </x:c>
      <x:c r="B6" s="21" t="inlineStr">
        <x:is>
          <x:t xml:space="preserve">Road data verification</x:t>
        </x:is>
      </x:c>
      <x:c r="C6" s="21" t="inlineStr">
        <x:is>
          <x:t xml:space="preserve">Founder</x:t>
        </x:is>
      </x:c>
      <x:c r="D6" s="21" t="inlineStr">
        <x:is>
          <x:t xml:space="preserve">Prevent unverified/unsafe claims.</x:t>
        </x:is>
      </x:c>
      <x:c r="E6" s="21" t="inlineStr">
        <x:is>
          <x:t xml:space="preserve">Select corridor; collect evidence; assign confidence; record source; set next action.</x:t>
        </x:is>
      </x:c>
      <x:c r="F6" s="21" t="inlineStr">
        <x:is>
          <x:t xml:space="preserve">Every public claim has confidence/source/date.</x:t>
        </x:is>
      </x:c>
      <x:c r="G6" s="21" t="inlineStr">
        <x:is>
          <x:t xml:space="preserve">Form, phone camera, map, workbook</x:t>
        </x:is>
      </x:c>
      <x:c r="H6" s="21" t="inlineStr">
        <x:is>
          <x:t xml:space="preserve">Weekly</x:t>
        </x:is>
      </x:c>
      <x:c r="I6" s="21" t="inlineStr">
        <x:is>
          <x:t xml:space="preserve">90 min</x:t>
        </x:is>
      </x:c>
      <x:c r="J6" s="21" t="inlineStr">
        <x:is>
          <x:t xml:space="preserve">No</x:t>
        </x:is>
      </x:c>
      <x:c r="K6" s="21" t="inlineStr">
        <x:is>
          <x:t xml:space="preserve">Not Started</x:t>
        </x:is>
      </x:c>
      <x:c r="L6" s="21" t="inlineStr">
        <x:is>
          <x:t xml:space="preserve"/>
        </x:is>
      </x:c>
      <x:c r="M6" s="21" t="inlineStr">
        <x:is>
          <x:t xml:space="preserve"/>
        </x:is>
      </x:c>
      <x:c r="N6" s="21" t="inlineStr">
        <x:is>
          <x:t xml:space="preserve"/>
        </x:is>
      </x:c>
    </x:row>
    <x:row r="7" ht="62" customHeight="1">
      <x:c r="A7" s="7" t="inlineStr">
        <x:is>
          <x:t xml:space="preserve">SOP03</x:t>
        </x:is>
      </x:c>
      <x:c r="B7" s="21" t="inlineStr">
        <x:is>
          <x:t xml:space="preserve">Short video production</x:t>
        </x:is>
      </x:c>
      <x:c r="C7" s="21" t="inlineStr">
        <x:is>
          <x:t xml:space="preserve">Founder</x:t>
        </x:is>
      </x:c>
      <x:c r="D7" s="21" t="inlineStr">
        <x:is>
          <x:t xml:space="preserve">Publish consistently with low cost.</x:t>
        </x:is>
      </x:c>
      <x:c r="E7" s="21" t="inlineStr">
        <x:is>
          <x:t xml:space="preserve">Pick four core items; batch record; edit captions; post to TikTok and Instagram; log clicks, installs and paid conversions.</x:t>
        </x:is>
      </x:c>
      <x:c r="F7" s="21" t="inlineStr">
        <x:is>
          <x:t xml:space="preserve">Four core posts/week without product or support slippage.</x:t>
        </x:is>
      </x:c>
      <x:c r="G7" s="21" t="inlineStr">
        <x:is>
          <x:t xml:space="preserve">Phone, captions app, content plan</x:t>
        </x:is>
      </x:c>
      <x:c r="H7" s="21" t="inlineStr">
        <x:is>
          <x:t xml:space="preserve">Weekly</x:t>
        </x:is>
      </x:c>
      <x:c r="I7" s="21" t="inlineStr">
        <x:is>
          <x:t xml:space="preserve">90 min</x:t>
        </x:is>
      </x:c>
      <x:c r="J7" s="21" t="inlineStr">
        <x:is>
          <x:t xml:space="preserve">No</x:t>
        </x:is>
      </x:c>
      <x:c r="K7" s="21" t="inlineStr">
        <x:is>
          <x:t xml:space="preserve">Not Started</x:t>
        </x:is>
      </x:c>
      <x:c r="L7" s="21" t="inlineStr">
        <x:is>
          <x:t xml:space="preserve"/>
        </x:is>
      </x:c>
      <x:c r="M7" s="21" t="inlineStr">
        <x:is>
          <x:t xml:space="preserve"/>
        </x:is>
      </x:c>
      <x:c r="N7" s="21" t="inlineStr">
        <x:is>
          <x:t xml:space="preserve"/>
        </x:is>
      </x:c>
    </x:row>
    <x:row r="8" ht="62" customHeight="1">
      <x:c r="A8" s="5" t="inlineStr">
        <x:is>
          <x:t xml:space="preserve">SOP04</x:t>
        </x:is>
      </x:c>
      <x:c r="B8" s="21" t="inlineStr">
        <x:is>
          <x:t xml:space="preserve">User call</x:t>
        </x:is>
      </x:c>
      <x:c r="C8" s="21" t="inlineStr">
        <x:is>
          <x:t xml:space="preserve">Founder</x:t>
        </x:is>
      </x:c>
      <x:c r="D8" s="21" t="inlineStr">
        <x:is>
          <x:t xml:space="preserve">Turn feedback into product decisions.</x:t>
        </x:is>
      </x:c>
      <x:c r="E8" s="21" t="inlineStr">
        <x:is>
          <x:t xml:space="preserve">Ask 5 core questions; record quote; tag issue; follow up.</x:t>
        </x:is>
      </x:c>
      <x:c r="F8" s="21" t="inlineStr">
        <x:is>
          <x:t xml:space="preserve">10 calls/week logged.</x:t>
        </x:is>
      </x:c>
      <x:c r="G8" s="21" t="inlineStr">
        <x:is>
          <x:t xml:space="preserve">Phone, CRM sheet</x:t>
        </x:is>
      </x:c>
      <x:c r="H8" s="21" t="inlineStr">
        <x:is>
          <x:t xml:space="preserve">Weekly</x:t>
        </x:is>
      </x:c>
      <x:c r="I8" s="21" t="inlineStr">
        <x:is>
          <x:t xml:space="preserve">60 min</x:t>
        </x:is>
      </x:c>
      <x:c r="J8" s="21" t="inlineStr">
        <x:is>
          <x:t xml:space="preserve">No</x:t>
        </x:is>
      </x:c>
      <x:c r="K8" s="21" t="inlineStr">
        <x:is>
          <x:t xml:space="preserve">Not Started</x:t>
        </x:is>
      </x:c>
      <x:c r="L8" s="21" t="inlineStr">
        <x:is>
          <x:t xml:space="preserve"/>
        </x:is>
      </x:c>
      <x:c r="M8" s="21" t="inlineStr">
        <x:is>
          <x:t xml:space="preserve"/>
        </x:is>
      </x:c>
      <x:c r="N8" s="21" t="inlineStr">
        <x:is>
          <x:t xml:space="preserve"/>
        </x:is>
      </x:c>
    </x:row>
    <x:row r="9" ht="62" customHeight="1">
      <x:c r="A9" s="7" t="inlineStr">
        <x:is>
          <x:t xml:space="preserve">SOP05</x:t>
        </x:is>
      </x:c>
      <x:c r="B9" s="21" t="inlineStr">
        <x:is>
          <x:t xml:space="preserve">Creator test</x:t>
        </x:is>
      </x:c>
      <x:c r="C9" s="21" t="inlineStr">
        <x:is>
          <x:t xml:space="preserve">Founder</x:t>
        </x:is>
      </x:c>
      <x:c r="D9" s="21" t="inlineStr">
        <x:is>
          <x:t xml:space="preserve">Avoid wasting influencer money.</x:t>
        </x:is>
      </x:c>
      <x:c r="E9" s="21" t="inlineStr">
        <x:is>
          <x:t xml:space="preserve">Brief creator; create code; approve script; monitor metrics; decide repeat/kill.</x:t>
        </x:is>
      </x:c>
      <x:c r="F9" s="21" t="inlineStr">
        <x:is>
          <x:t xml:space="preserve">Tracked deliverables and cost/install measured.</x:t>
        </x:is>
      </x:c>
      <x:c r="G9" s="21" t="inlineStr">
        <x:is>
          <x:t xml:space="preserve">Referral links, tracker</x:t>
        </x:is>
      </x:c>
      <x:c r="H9" s="21" t="inlineStr">
        <x:is>
          <x:t xml:space="preserve">Per test</x:t>
        </x:is>
      </x:c>
      <x:c r="I9" s="21" t="inlineStr">
        <x:is>
          <x:t xml:space="preserve">60 min</x:t>
        </x:is>
      </x:c>
      <x:c r="J9" s="21" t="inlineStr">
        <x:is>
          <x:t xml:space="preserve">No</x:t>
        </x:is>
      </x:c>
      <x:c r="K9" s="21" t="inlineStr">
        <x:is>
          <x:t xml:space="preserve">Not Started</x:t>
        </x:is>
      </x:c>
      <x:c r="L9" s="21" t="inlineStr">
        <x:is>
          <x:t xml:space="preserve"/>
        </x:is>
      </x:c>
      <x:c r="M9" s="21" t="inlineStr">
        <x:is>
          <x:t xml:space="preserve"/>
        </x:is>
      </x:c>
      <x:c r="N9" s="21" t="inlineStr">
        <x:is>
          <x:t xml:space="preserve"/>
        </x:is>
      </x:c>
    </x:row>
    <x:row r="10" ht="62" customHeight="1">
      <x:c r="A10" s="5" t="inlineStr">
        <x:is>
          <x:t xml:space="preserve">SOP06</x:t>
        </x:is>
      </x:c>
      <x:c r="B10" s="21" t="inlineStr">
        <x:is>
          <x:t xml:space="preserve">Subscription reconciliation</x:t>
        </x:is>
      </x:c>
      <x:c r="C10" s="21" t="inlineStr">
        <x:is>
          <x:t xml:space="preserve">Founder</x:t>
        </x:is>
      </x:c>
      <x:c r="D10" s="21" t="inlineStr">
        <x:is>
          <x:t xml:space="preserve">Know what was sold versus what became cash.</x:t>
        </x:is>
      </x:c>
      <x:c r="E10" s="21" t="inlineStr">
        <x:is>
          <x:t xml:space="preserve">Export/read store reports; log gross, fees, refunds, active paid, cash received; reconcile Money Log.</x:t>
        </x:is>
      </x:c>
      <x:c r="F10" s="21" t="inlineStr">
        <x:is>
          <x:t xml:space="preserve">Weekly revenue row complete and unexplained variance flagged.</x:t>
        </x:is>
      </x:c>
      <x:c r="G10" s="21" t="inlineStr">
        <x:is>
          <x:t xml:space="preserve">Store reports, workbook, bank/M-PESA</x:t>
        </x:is>
      </x:c>
      <x:c r="H10" s="21" t="inlineStr">
        <x:is>
          <x:t xml:space="preserve">Weekly</x:t>
        </x:is>
      </x:c>
      <x:c r="I10" s="21" t="inlineStr">
        <x:is>
          <x:t xml:space="preserve">45 min</x:t>
        </x:is>
      </x:c>
      <x:c r="J10" s="21" t="inlineStr">
        <x:is>
          <x:t xml:space="preserve">No</x:t>
        </x:is>
      </x:c>
      <x:c r="K10" s="21" t="inlineStr">
        <x:is>
          <x:t xml:space="preserve">In Progress</x:t>
        </x:is>
      </x:c>
      <x:c r="L10" s="21" t="inlineStr">
        <x:is>
          <x:t xml:space="preserve"/>
        </x:is>
      </x:c>
      <x:c r="M10" s="21" t="inlineStr">
        <x:is>
          <x:t xml:space="preserve"/>
        </x:is>
      </x:c>
      <x:c r="N10" s="21" t="inlineStr">
        <x:is>
          <x:t xml:space="preserve"/>
        </x:is>
      </x:c>
    </x:row>
    <x:row r="11" ht="62" customHeight="1">
      <x:c r="A11" s="7" t="inlineStr">
        <x:is>
          <x:t xml:space="preserve">SOP07</x:t>
        </x:is>
      </x:c>
      <x:c r="B11" s="21" t="inlineStr">
        <x:is>
          <x:t xml:space="preserve">Replit continuity</x:t>
        </x:is>
      </x:c>
      <x:c r="C11" s="21" t="inlineStr">
        <x:is>
          <x:t xml:space="preserve">Founder</x:t>
        </x:is>
      </x:c>
      <x:c r="D11" s="21" t="inlineStr">
        <x:is>
          <x:t xml:space="preserve">Reduce production-hosting dependency risk.</x:t>
        </x:is>
      </x:c>
      <x:c r="E11" s="21" t="inlineStr">
        <x:is>
          <x:t xml:space="preserve">Confirm payment; export/backup code/data/config; inventory secrets; test recovery steps; record incidents.</x:t>
        </x:is>
      </x:c>
      <x:c r="F11" s="21" t="inlineStr">
        <x:is>
          <x:t xml:space="preserve">Current backup exists and recovery owner/steps are known.</x:t>
        </x:is>
      </x:c>
      <x:c r="G11" s="21" t="inlineStr">
        <x:is>
          <x:t xml:space="preserve">Replit, repo/backup, password manager</x:t>
        </x:is>
      </x:c>
      <x:c r="H11" s="21" t="inlineStr">
        <x:is>
          <x:t xml:space="preserve">Monthly</x:t>
        </x:is>
      </x:c>
      <x:c r="I11" s="21" t="inlineStr">
        <x:is>
          <x:t xml:space="preserve">60 min</x:t>
        </x:is>
      </x:c>
      <x:c r="J11" s="21" t="inlineStr">
        <x:is>
          <x:t xml:space="preserve">No</x:t>
        </x:is>
      </x:c>
      <x:c r="K11" s="21" t="inlineStr">
        <x:is>
          <x:t xml:space="preserve">Not Started</x:t>
        </x:is>
      </x:c>
      <x:c r="L11" s="21" t="inlineStr">
        <x:is>
          <x:t xml:space="preserve"/>
        </x:is>
      </x:c>
      <x:c r="M11" s="21" t="inlineStr">
        <x:is>
          <x:t xml:space="preserve"/>
        </x:is>
      </x:c>
      <x:c r="N11" s="21" t="inlineStr">
        <x:is>
          <x:t xml:space="preserve"/>
        </x:is>
      </x:c>
    </x:row>
    <x:row r="12" ht="62" customHeight="1">
      <x:c r="A12" s="5" t="inlineStr">
        <x:is>
          <x:t xml:space="preserve">SOP08</x:t>
        </x:is>
      </x:c>
      <x:c r="B12" s="21" t="inlineStr">
        <x:is>
          <x:t xml:space="preserve">Field trip planning</x:t>
        </x:is>
      </x:c>
      <x:c r="C12" s="21" t="inlineStr">
        <x:is>
          <x:t xml:space="preserve">Founder</x:t>
        </x:is>
      </x:c>
      <x:c r="D12" s="21" t="inlineStr">
        <x:is>
          <x:t xml:space="preserve">Turn fuel into multiple business outputs.</x:t>
        </x:is>
      </x:c>
      <x:c r="E12" s="21" t="inlineStr">
        <x:is>
          <x:t xml:space="preserve">Choose corridor; set km cap; list records/shots/users; log odometers; capture evidence; link trip IDs.</x:t>
        </x:is>
      </x:c>
      <x:c r="F12" s="21" t="inlineStr">
        <x:is>
          <x:t xml:space="preserve">Trip produces evidence, verified records and reusable content within budget.</x:t>
        </x:is>
      </x:c>
      <x:c r="G12" s="21" t="inlineStr">
        <x:is>
          <x:t xml:space="preserve">Car, phone, mount, forms, workbook</x:t>
        </x:is>
      </x:c>
      <x:c r="H12" s="21" t="inlineStr">
        <x:is>
          <x:t xml:space="preserve">Weekly</x:t>
        </x:is>
      </x:c>
      <x:c r="I12" s="21" t="inlineStr">
        <x:is>
          <x:t xml:space="preserve">120 min</x:t>
        </x:is>
      </x:c>
      <x:c r="J12" s="21" t="inlineStr">
        <x:is>
          <x:t xml:space="preserve">No</x:t>
        </x:is>
      </x:c>
      <x:c r="K12" s="21" t="inlineStr">
        <x:is>
          <x:t xml:space="preserve">In Progress</x:t>
        </x:is>
      </x:c>
      <x:c r="L12" s="21" t="inlineStr">
        <x:is>
          <x:t xml:space="preserve"/>
        </x:is>
      </x:c>
      <x:c r="M12" s="21" t="inlineStr">
        <x:is>
          <x:t xml:space="preserve"/>
        </x:is>
      </x:c>
      <x:c r="N12" s="21" t="inlineStr">
        <x:is>
          <x:t xml:space="preserve"/>
        </x:is>
      </x:c>
    </x:row>
    <x:row r="13" ht="62" customHeight="1">
      <x:c r="A13" s="7" t="inlineStr">
        <x:is>
          <x:t xml:space="preserve">SOP09</x:t>
        </x:is>
      </x:c>
      <x:c r="B13" s="21" t="inlineStr">
        <x:is>
          <x:t xml:space="preserve">Paying-user support</x:t>
        </x:is>
      </x:c>
      <x:c r="C13" s="21" t="inlineStr">
        <x:is>
          <x:t xml:space="preserve">Founder</x:t>
        </x:is>
      </x:c>
      <x:c r="D13" s="21" t="inlineStr">
        <x:is>
          <x:t xml:space="preserve">Retain trust and learn from people who pay.</x:t>
        </x:is>
      </x:c>
      <x:c r="E13" s="21" t="inlineStr">
        <x:is>
          <x:t xml:space="preserve">Respond; classify issue; solve/escalate; record quote/feature; follow up; update FAQ/backlog.</x:t>
        </x:is>
      </x:c>
      <x:c r="F13" s="21" t="inlineStr">
        <x:is>
          <x:t xml:space="preserve">Response within 24 hours and issue is closed or owned.</x:t>
        </x:is>
      </x:c>
      <x:c r="G13" s="21" t="inlineStr">
        <x:is>
          <x:t xml:space="preserve">Email/phone, CRM, backlog</x:t>
        </x:is>
      </x:c>
      <x:c r="H13" s="21" t="inlineStr">
        <x:is>
          <x:t xml:space="preserve">Daily</x:t>
        </x:is>
      </x:c>
      <x:c r="I13" s="21" t="inlineStr">
        <x:is>
          <x:t xml:space="preserve">30 min</x:t>
        </x:is>
      </x:c>
      <x:c r="J13" s="21" t="inlineStr">
        <x:is>
          <x:t xml:space="preserve">No</x:t>
        </x:is>
      </x:c>
      <x:c r="K13" s="21" t="inlineStr">
        <x:is>
          <x:t xml:space="preserve">In Progress</x:t>
        </x:is>
      </x:c>
      <x:c r="L13" s="21" t="inlineStr">
        <x:is>
          <x:t xml:space="preserve"/>
        </x:is>
      </x:c>
      <x:c r="M13" s="21" t="inlineStr">
        <x:is>
          <x:t xml:space="preserve"/>
        </x:is>
      </x:c>
      <x:c r="N13" s="21" t="inlineStr">
        <x:is>
          <x:t xml:space="preserve"/>
        </x:is>
      </x:c>
    </x:row>
    <x:row r="14" ht="62" customHeight="1">
      <x:c r="A14" s="5" t="inlineStr">
        <x:is>
          <x:t xml:space="preserve">SOP10</x:t>
        </x:is>
      </x:c>
      <x:c r="B14" s="21" t="inlineStr">
        <x:is>
          <x:t xml:space="preserve">Friday founder review</x:t>
        </x:is>
      </x:c>
      <x:c r="C14" s="21" t="inlineStr">
        <x:is>
          <x:t xml:space="preserve">Founder</x:t>
        </x:is>
      </x:c>
      <x:c r="D14" s="21" t="inlineStr">
        <x:is>
          <x:t xml:space="preserve">Make one coherent weekly decision.</x:t>
        </x:is>
      </x:c>
      <x:c r="E14" s="21" t="inlineStr">
        <x:is>
          <x:t xml:space="preserve">Reconcile cash and subscriptions; review reliability, users, field, content and experiment; choose next-week priority.</x:t>
        </x:is>
      </x:c>
      <x:c r="F14" s="21" t="inlineStr">
        <x:is>
          <x:t xml:space="preserve">Weekly Review and Command Center updated.</x:t>
        </x:is>
      </x:c>
      <x:c r="G14" s="21" t="inlineStr">
        <x:is>
          <x:t xml:space="preserve">Workbook</x:t>
        </x:is>
      </x:c>
      <x:c r="H14" s="21" t="inlineStr">
        <x:is>
          <x:t xml:space="preserve">Weekly</x:t>
        </x:is>
      </x:c>
      <x:c r="I14" s="21" t="inlineStr">
        <x:is>
          <x:t xml:space="preserve">60 min</x:t>
        </x:is>
      </x:c>
      <x:c r="J14" s="21" t="inlineStr">
        <x:is>
          <x:t xml:space="preserve">No</x:t>
        </x:is>
      </x:c>
      <x:c r="K14" s="21" t="inlineStr">
        <x:is>
          <x:t xml:space="preserve">In Progress</x:t>
        </x:is>
      </x:c>
      <x:c r="L14" s="21" t="inlineStr">
        <x:is>
          <x:t xml:space="preserve"/>
        </x:is>
      </x:c>
      <x:c r="M14" s="21" t="inlineStr">
        <x:is>
          <x:t xml:space="preserve"/>
        </x:is>
      </x:c>
      <x:c r="N14" s="21" t="inlineStr">
        <x:is>
          <x:t xml:space="preserve"/>
        </x:is>
      </x:c>
    </x:row>
    <x:row r="15" ht="62" customHeight="1">
      <x:c r="A15" s="7" t="inlineStr">
        <x:is>
          <x:t xml:space="preserve">SOP11</x:t>
        </x:is>
      </x:c>
      <x:c r="B15" s="21" t="inlineStr">
        <x:is>
          <x:t xml:space="preserve"/>
        </x:is>
      </x:c>
      <x:c r="C15" s="21" t="inlineStr">
        <x:is>
          <x:t xml:space="preserve">Founder</x:t>
        </x:is>
      </x:c>
      <x:c r="D15" s="21" t="inlineStr">
        <x:is>
          <x:t xml:space="preserve"/>
        </x:is>
      </x:c>
      <x:c r="E15" s="21" t="inlineStr">
        <x:is>
          <x:t xml:space="preserve"/>
        </x:is>
      </x:c>
      <x:c r="F15" s="21" t="inlineStr">
        <x:is>
          <x:t xml:space="preserve"/>
        </x:is>
      </x:c>
      <x:c r="G15" s="21" t="inlineStr">
        <x:is>
          <x:t xml:space="preserve"/>
        </x:is>
      </x:c>
      <x:c r="H15" s="21" t="inlineStr">
        <x:is>
          <x:t xml:space="preserve"/>
        </x:is>
      </x:c>
      <x:c r="I15" s="21" t="inlineStr">
        <x:is>
          <x:t xml:space="preserve"/>
        </x:is>
      </x:c>
      <x:c r="J15" s="21" t="inlineStr">
        <x:is>
          <x:t xml:space="preserve">No</x:t>
        </x:is>
      </x:c>
      <x:c r="K15" s="21" t="inlineStr">
        <x:is>
          <x:t xml:space="preserve">Backlog</x:t>
        </x:is>
      </x:c>
      <x:c r="L15" s="21" t="inlineStr">
        <x:is>
          <x:t xml:space="preserve"/>
        </x:is>
      </x:c>
      <x:c r="M15" s="21" t="inlineStr">
        <x:is>
          <x:t xml:space="preserve"/>
        </x:is>
      </x:c>
      <x:c r="N15" s="21" t="inlineStr">
        <x:is>
          <x:t xml:space="preserve"/>
        </x:is>
      </x:c>
    </x:row>
    <x:row r="16" ht="62" customHeight="1">
      <x:c r="A16" s="5" t="inlineStr">
        <x:is>
          <x:t xml:space="preserve">SOP12</x:t>
        </x:is>
      </x:c>
      <x:c r="B16" s="21" t="inlineStr">
        <x:is>
          <x:t xml:space="preserve"/>
        </x:is>
      </x:c>
      <x:c r="C16" s="21" t="inlineStr">
        <x:is>
          <x:t xml:space="preserve">Founder</x:t>
        </x:is>
      </x:c>
      <x:c r="D16" s="21" t="inlineStr">
        <x:is>
          <x:t xml:space="preserve"/>
        </x:is>
      </x:c>
      <x:c r="E16" s="21" t="inlineStr">
        <x:is>
          <x:t xml:space="preserve"/>
        </x:is>
      </x:c>
      <x:c r="F16" s="21" t="inlineStr">
        <x:is>
          <x:t xml:space="preserve"/>
        </x:is>
      </x:c>
      <x:c r="G16" s="21" t="inlineStr">
        <x:is>
          <x:t xml:space="preserve"/>
        </x:is>
      </x:c>
      <x:c r="H16" s="21" t="inlineStr">
        <x:is>
          <x:t xml:space="preserve"/>
        </x:is>
      </x:c>
      <x:c r="I16" s="21" t="inlineStr">
        <x:is>
          <x:t xml:space="preserve"/>
        </x:is>
      </x:c>
      <x:c r="J16" s="21" t="inlineStr">
        <x:is>
          <x:t xml:space="preserve">No</x:t>
        </x:is>
      </x:c>
      <x:c r="K16" s="21" t="inlineStr">
        <x:is>
          <x:t xml:space="preserve">Backlog</x:t>
        </x:is>
      </x:c>
      <x:c r="L16" s="21" t="inlineStr">
        <x:is>
          <x:t xml:space="preserve"/>
        </x:is>
      </x:c>
      <x:c r="M16" s="21" t="inlineStr">
        <x:is>
          <x:t xml:space="preserve"/>
        </x:is>
      </x:c>
      <x:c r="N16" s="21" t="inlineStr">
        <x:is>
          <x:t xml:space="preserve"/>
        </x:is>
      </x:c>
    </x:row>
    <x:row r="17" ht="62" customHeight="1">
      <x:c r="A17" s="7" t="inlineStr">
        <x:is>
          <x:t xml:space="preserve">SOP13</x:t>
        </x:is>
      </x:c>
      <x:c r="B17" s="21" t="inlineStr">
        <x:is>
          <x:t xml:space="preserve"/>
        </x:is>
      </x:c>
      <x:c r="C17" s="21" t="inlineStr">
        <x:is>
          <x:t xml:space="preserve">Founder</x:t>
        </x:is>
      </x:c>
      <x:c r="D17" s="21" t="inlineStr">
        <x:is>
          <x:t xml:space="preserve"/>
        </x:is>
      </x:c>
      <x:c r="E17" s="21" t="inlineStr">
        <x:is>
          <x:t xml:space="preserve"/>
        </x:is>
      </x:c>
      <x:c r="F17" s="21" t="inlineStr">
        <x:is>
          <x:t xml:space="preserve"/>
        </x:is>
      </x:c>
      <x:c r="G17" s="21" t="inlineStr">
        <x:is>
          <x:t xml:space="preserve"/>
        </x:is>
      </x:c>
      <x:c r="H17" s="21" t="inlineStr">
        <x:is>
          <x:t xml:space="preserve"/>
        </x:is>
      </x:c>
      <x:c r="I17" s="21" t="inlineStr">
        <x:is>
          <x:t xml:space="preserve"/>
        </x:is>
      </x:c>
      <x:c r="J17" s="21" t="inlineStr">
        <x:is>
          <x:t xml:space="preserve">No</x:t>
        </x:is>
      </x:c>
      <x:c r="K17" s="21" t="inlineStr">
        <x:is>
          <x:t xml:space="preserve">Backlog</x:t>
        </x:is>
      </x:c>
      <x:c r="L17" s="21" t="inlineStr">
        <x:is>
          <x:t xml:space="preserve"/>
        </x:is>
      </x:c>
      <x:c r="M17" s="21" t="inlineStr">
        <x:is>
          <x:t xml:space="preserve"/>
        </x:is>
      </x:c>
      <x:c r="N17" s="21" t="inlineStr">
        <x:is>
          <x:t xml:space="preserve"/>
        </x:is>
      </x:c>
    </x:row>
    <x:row r="18" ht="62" customHeight="1">
      <x:c r="A18" s="5" t="inlineStr">
        <x:is>
          <x:t xml:space="preserve">SOP14</x:t>
        </x:is>
      </x:c>
      <x:c r="B18" s="21" t="inlineStr">
        <x:is>
          <x:t xml:space="preserve"/>
        </x:is>
      </x:c>
      <x:c r="C18" s="21" t="inlineStr">
        <x:is>
          <x:t xml:space="preserve">Founder</x:t>
        </x:is>
      </x:c>
      <x:c r="D18" s="21" t="inlineStr">
        <x:is>
          <x:t xml:space="preserve"/>
        </x:is>
      </x:c>
      <x:c r="E18" s="21" t="inlineStr">
        <x:is>
          <x:t xml:space="preserve"/>
        </x:is>
      </x:c>
      <x:c r="F18" s="21" t="inlineStr">
        <x:is>
          <x:t xml:space="preserve"/>
        </x:is>
      </x:c>
      <x:c r="G18" s="21" t="inlineStr">
        <x:is>
          <x:t xml:space="preserve"/>
        </x:is>
      </x:c>
      <x:c r="H18" s="21" t="inlineStr">
        <x:is>
          <x:t xml:space="preserve"/>
        </x:is>
      </x:c>
      <x:c r="I18" s="21" t="inlineStr">
        <x:is>
          <x:t xml:space="preserve"/>
        </x:is>
      </x:c>
      <x:c r="J18" s="21" t="inlineStr">
        <x:is>
          <x:t xml:space="preserve">No</x:t>
        </x:is>
      </x:c>
      <x:c r="K18" s="21" t="inlineStr">
        <x:is>
          <x:t xml:space="preserve">Backlog</x:t>
        </x:is>
      </x:c>
      <x:c r="L18" s="21" t="inlineStr">
        <x:is>
          <x:t xml:space="preserve"/>
        </x:is>
      </x:c>
      <x:c r="M18" s="21" t="inlineStr">
        <x:is>
          <x:t xml:space="preserve"/>
        </x:is>
      </x:c>
      <x:c r="N18" s="21" t="inlineStr">
        <x:is>
          <x:t xml:space="preserve"/>
        </x:is>
      </x:c>
    </x:row>
    <x:row r="19" ht="62" customHeight="1">
      <x:c r="A19" s="7" t="inlineStr">
        <x:is>
          <x:t xml:space="preserve">SOP15</x:t>
        </x:is>
      </x:c>
      <x:c r="B19" s="21" t="inlineStr">
        <x:is>
          <x:t xml:space="preserve"/>
        </x:is>
      </x:c>
      <x:c r="C19" s="21" t="inlineStr">
        <x:is>
          <x:t xml:space="preserve">Founder</x:t>
        </x:is>
      </x:c>
      <x:c r="D19" s="21" t="inlineStr">
        <x:is>
          <x:t xml:space="preserve"/>
        </x:is>
      </x:c>
      <x:c r="E19" s="21" t="inlineStr">
        <x:is>
          <x:t xml:space="preserve"/>
        </x:is>
      </x:c>
      <x:c r="F19" s="21" t="inlineStr">
        <x:is>
          <x:t xml:space="preserve"/>
        </x:is>
      </x:c>
      <x:c r="G19" s="21" t="inlineStr">
        <x:is>
          <x:t xml:space="preserve"/>
        </x:is>
      </x:c>
      <x:c r="H19" s="21" t="inlineStr">
        <x:is>
          <x:t xml:space="preserve"/>
        </x:is>
      </x:c>
      <x:c r="I19" s="21" t="inlineStr">
        <x:is>
          <x:t xml:space="preserve"/>
        </x:is>
      </x:c>
      <x:c r="J19" s="21" t="inlineStr">
        <x:is>
          <x:t xml:space="preserve">No</x:t>
        </x:is>
      </x:c>
      <x:c r="K19" s="21" t="inlineStr">
        <x:is>
          <x:t xml:space="preserve">Backlog</x:t>
        </x:is>
      </x:c>
      <x:c r="L19" s="21" t="inlineStr">
        <x:is>
          <x:t xml:space="preserve"/>
        </x:is>
      </x:c>
      <x:c r="M19" s="21" t="inlineStr">
        <x:is>
          <x:t xml:space="preserve"/>
        </x:is>
      </x:c>
      <x:c r="N19" s="21" t="inlineStr">
        <x:is>
          <x:t xml:space="preserve"/>
        </x:is>
      </x:c>
    </x:row>
    <x:row r="20" ht="62" customHeight="1">
      <x:c r="A20" s="5" t="inlineStr">
        <x:is>
          <x:t xml:space="preserve">SOP16</x:t>
        </x:is>
      </x:c>
      <x:c r="B20" s="21" t="inlineStr">
        <x:is>
          <x:t xml:space="preserve"/>
        </x:is>
      </x:c>
      <x:c r="C20" s="21" t="inlineStr">
        <x:is>
          <x:t xml:space="preserve">Founder</x:t>
        </x:is>
      </x:c>
      <x:c r="D20" s="21" t="inlineStr">
        <x:is>
          <x:t xml:space="preserve"/>
        </x:is>
      </x:c>
      <x:c r="E20" s="21" t="inlineStr">
        <x:is>
          <x:t xml:space="preserve"/>
        </x:is>
      </x:c>
      <x:c r="F20" s="21" t="inlineStr">
        <x:is>
          <x:t xml:space="preserve"/>
        </x:is>
      </x:c>
      <x:c r="G20" s="21" t="inlineStr">
        <x:is>
          <x:t xml:space="preserve"/>
        </x:is>
      </x:c>
      <x:c r="H20" s="21" t="inlineStr">
        <x:is>
          <x:t xml:space="preserve"/>
        </x:is>
      </x:c>
      <x:c r="I20" s="21" t="inlineStr">
        <x:is>
          <x:t xml:space="preserve"/>
        </x:is>
      </x:c>
      <x:c r="J20" s="21" t="inlineStr">
        <x:is>
          <x:t xml:space="preserve">No</x:t>
        </x:is>
      </x:c>
      <x:c r="K20" s="21" t="inlineStr">
        <x:is>
          <x:t xml:space="preserve">Backlog</x:t>
        </x:is>
      </x:c>
      <x:c r="L20" s="21" t="inlineStr">
        <x:is>
          <x:t xml:space="preserve"/>
        </x:is>
      </x:c>
      <x:c r="M20" s="21" t="inlineStr">
        <x:is>
          <x:t xml:space="preserve"/>
        </x:is>
      </x:c>
      <x:c r="N20" s="21" t="inlineStr">
        <x:is>
          <x:t xml:space="preserve"/>
        </x:is>
      </x:c>
    </x:row>
    <x:row r="21" ht="62" customHeight="1">
      <x:c r="A21" s="7" t="inlineStr">
        <x:is>
          <x:t xml:space="preserve">SOP17</x:t>
        </x:is>
      </x:c>
      <x:c r="B21" s="21" t="inlineStr">
        <x:is>
          <x:t xml:space="preserve"/>
        </x:is>
      </x:c>
      <x:c r="C21" s="21" t="inlineStr">
        <x:is>
          <x:t xml:space="preserve">Founder</x:t>
        </x:is>
      </x:c>
      <x:c r="D21" s="21" t="inlineStr">
        <x:is>
          <x:t xml:space="preserve"/>
        </x:is>
      </x:c>
      <x:c r="E21" s="21" t="inlineStr">
        <x:is>
          <x:t xml:space="preserve"/>
        </x:is>
      </x:c>
      <x:c r="F21" s="21" t="inlineStr">
        <x:is>
          <x:t xml:space="preserve"/>
        </x:is>
      </x:c>
      <x:c r="G21" s="21" t="inlineStr">
        <x:is>
          <x:t xml:space="preserve"/>
        </x:is>
      </x:c>
      <x:c r="H21" s="21" t="inlineStr">
        <x:is>
          <x:t xml:space="preserve"/>
        </x:is>
      </x:c>
      <x:c r="I21" s="21" t="inlineStr">
        <x:is>
          <x:t xml:space="preserve"/>
        </x:is>
      </x:c>
      <x:c r="J21" s="21" t="inlineStr">
        <x:is>
          <x:t xml:space="preserve">No</x:t>
        </x:is>
      </x:c>
      <x:c r="K21" s="21" t="inlineStr">
        <x:is>
          <x:t xml:space="preserve">Backlog</x:t>
        </x:is>
      </x:c>
      <x:c r="L21" s="21" t="inlineStr">
        <x:is>
          <x:t xml:space="preserve"/>
        </x:is>
      </x:c>
      <x:c r="M21" s="21" t="inlineStr">
        <x:is>
          <x:t xml:space="preserve"/>
        </x:is>
      </x:c>
      <x:c r="N21" s="21" t="inlineStr">
        <x:is>
          <x:t xml:space="preserve"/>
        </x:is>
      </x:c>
    </x:row>
    <x:row r="22" ht="62" customHeight="1">
      <x:c r="A22" s="5" t="inlineStr">
        <x:is>
          <x:t xml:space="preserve">SOP18</x:t>
        </x:is>
      </x:c>
      <x:c r="B22" s="21" t="inlineStr">
        <x:is>
          <x:t xml:space="preserve"/>
        </x:is>
      </x:c>
      <x:c r="C22" s="21" t="inlineStr">
        <x:is>
          <x:t xml:space="preserve">Founder</x:t>
        </x:is>
      </x:c>
      <x:c r="D22" s="21" t="inlineStr">
        <x:is>
          <x:t xml:space="preserve"/>
        </x:is>
      </x:c>
      <x:c r="E22" s="21" t="inlineStr">
        <x:is>
          <x:t xml:space="preserve"/>
        </x:is>
      </x:c>
      <x:c r="F22" s="21" t="inlineStr">
        <x:is>
          <x:t xml:space="preserve"/>
        </x:is>
      </x:c>
      <x:c r="G22" s="21" t="inlineStr">
        <x:is>
          <x:t xml:space="preserve"/>
        </x:is>
      </x:c>
      <x:c r="H22" s="21" t="inlineStr">
        <x:is>
          <x:t xml:space="preserve"/>
        </x:is>
      </x:c>
      <x:c r="I22" s="21" t="inlineStr">
        <x:is>
          <x:t xml:space="preserve"/>
        </x:is>
      </x:c>
      <x:c r="J22" s="21" t="inlineStr">
        <x:is>
          <x:t xml:space="preserve">No</x:t>
        </x:is>
      </x:c>
      <x:c r="K22" s="21" t="inlineStr">
        <x:is>
          <x:t xml:space="preserve">Backlog</x:t>
        </x:is>
      </x:c>
      <x:c r="L22" s="21" t="inlineStr">
        <x:is>
          <x:t xml:space="preserve"/>
        </x:is>
      </x:c>
      <x:c r="M22" s="21" t="inlineStr">
        <x:is>
          <x:t xml:space="preserve"/>
        </x:is>
      </x:c>
      <x:c r="N22" s="21" t="inlineStr">
        <x:is>
          <x:t xml:space="preserve"/>
        </x:is>
      </x:c>
    </x:row>
    <x:row r="23" ht="62" customHeight="1">
      <x:c r="A23" s="7" t="inlineStr">
        <x:is>
          <x:t xml:space="preserve">SOP19</x:t>
        </x:is>
      </x:c>
      <x:c r="B23" s="21" t="inlineStr">
        <x:is>
          <x:t xml:space="preserve"/>
        </x:is>
      </x:c>
      <x:c r="C23" s="21" t="inlineStr">
        <x:is>
          <x:t xml:space="preserve">Founder</x:t>
        </x:is>
      </x:c>
      <x:c r="D23" s="21" t="inlineStr">
        <x:is>
          <x:t xml:space="preserve"/>
        </x:is>
      </x:c>
      <x:c r="E23" s="21" t="inlineStr">
        <x:is>
          <x:t xml:space="preserve"/>
        </x:is>
      </x:c>
      <x:c r="F23" s="21" t="inlineStr">
        <x:is>
          <x:t xml:space="preserve"/>
        </x:is>
      </x:c>
      <x:c r="G23" s="21" t="inlineStr">
        <x:is>
          <x:t xml:space="preserve"/>
        </x:is>
      </x:c>
      <x:c r="H23" s="21" t="inlineStr">
        <x:is>
          <x:t xml:space="preserve"/>
        </x:is>
      </x:c>
      <x:c r="I23" s="21" t="inlineStr">
        <x:is>
          <x:t xml:space="preserve"/>
        </x:is>
      </x:c>
      <x:c r="J23" s="21" t="inlineStr">
        <x:is>
          <x:t xml:space="preserve">No</x:t>
        </x:is>
      </x:c>
      <x:c r="K23" s="21" t="inlineStr">
        <x:is>
          <x:t xml:space="preserve">Backlog</x:t>
        </x:is>
      </x:c>
      <x:c r="L23" s="21" t="inlineStr">
        <x:is>
          <x:t xml:space="preserve"/>
        </x:is>
      </x:c>
      <x:c r="M23" s="21" t="inlineStr">
        <x:is>
          <x:t xml:space="preserve"/>
        </x:is>
      </x:c>
      <x:c r="N23" s="21" t="inlineStr">
        <x:is>
          <x:t xml:space="preserve"/>
        </x:is>
      </x:c>
    </x:row>
    <x:row r="24" ht="62" customHeight="1">
      <x:c r="A24" s="5" t="inlineStr">
        <x:is>
          <x:t xml:space="preserve">SOP20</x:t>
        </x:is>
      </x:c>
      <x:c r="B24" s="21" t="inlineStr">
        <x:is>
          <x:t xml:space="preserve"/>
        </x:is>
      </x:c>
      <x:c r="C24" s="21" t="inlineStr">
        <x:is>
          <x:t xml:space="preserve">Founder</x:t>
        </x:is>
      </x:c>
      <x:c r="D24" s="21" t="inlineStr">
        <x:is>
          <x:t xml:space="preserve"/>
        </x:is>
      </x:c>
      <x:c r="E24" s="21" t="inlineStr">
        <x:is>
          <x:t xml:space="preserve"/>
        </x:is>
      </x:c>
      <x:c r="F24" s="21" t="inlineStr">
        <x:is>
          <x:t xml:space="preserve"/>
        </x:is>
      </x:c>
      <x:c r="G24" s="21" t="inlineStr">
        <x:is>
          <x:t xml:space="preserve"/>
        </x:is>
      </x:c>
      <x:c r="H24" s="21" t="inlineStr">
        <x:is>
          <x:t xml:space="preserve"/>
        </x:is>
      </x:c>
      <x:c r="I24" s="21" t="inlineStr">
        <x:is>
          <x:t xml:space="preserve"/>
        </x:is>
      </x:c>
      <x:c r="J24" s="21" t="inlineStr">
        <x:is>
          <x:t xml:space="preserve">No</x:t>
        </x:is>
      </x:c>
      <x:c r="K24" s="21" t="inlineStr">
        <x:is>
          <x:t xml:space="preserve">Backlog</x:t>
        </x:is>
      </x:c>
      <x:c r="L24" s="21" t="inlineStr">
        <x:is>
          <x:t xml:space="preserve"/>
        </x:is>
      </x:c>
      <x:c r="M24" s="21" t="inlineStr">
        <x:is>
          <x:t xml:space="preserve"/>
        </x:is>
      </x:c>
      <x:c r="N24" s="21" t="inlineStr">
        <x:is>
          <x:t xml:space="preserve"/>
        </x:is>
      </x:c>
    </x:row>
  </x:sheetData>
  <x:dataValidations count="2">
    <x:dataValidation type="list" allowBlank="1" showDropDown="0" showInputMessage="0" showErrorMessage="0" sqref="J5:J24">
      <x:formula1>=Lists!$E$5:$E$7</x:formula1>
    </x:dataValidation>
    <x:dataValidation type="list" allowBlank="1" showDropDown="0" showInputMessage="0" showErrorMessage="0" sqref="K5:K24">
      <x:formula1>=Lists!$A$5:$A$10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582dfb8408404a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5" customWidth="1"/>
    <x:col min="3" max="3" width="18" customWidth="1"/>
    <x:col min="4" max="4" width="36" customWidth="1"/>
    <x:col min="5" max="5" width="34" customWidth="1"/>
    <x:col min="6" max="6" width="16" customWidth="1"/>
    <x:col min="7" max="7" width="32" customWidth="1"/>
    <x:col min="8" max="8" width="18" customWidth="1"/>
    <x:col min="9" max="9" width="18" customWidth="1"/>
    <x:col min="10" max="10" width="16" customWidth="1"/>
    <x:col min="11" max="11" width="26" customWidth="1"/>
    <x:col min="12" max="12" width="24" customWidth="1"/>
  </x:cols>
  <x:sheetData>
    <x:row r="1" ht="30" customHeight="1">
      <x:c r="A1" s="1" t="n"/>
      <x:c r="B1" s="1" t="inlineStr">
        <x:is>
          <x:t xml:space="preserve">Competitor Watch</x:t>
        </x:is>
      </x:c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 ht="34" customHeight="1">
      <x:c r="A2" s="2" t="n"/>
      <x:c r="B2" s="2" t="inlineStr">
        <x:is>
          <x:t xml:space="preserve">Do not panic-watch competitors. Track calmly, learn, and strengthen your moat.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/>
    <x:row r="4" ht="32" customHeight="1">
      <x:c r="A4" s="10" t="inlineStr">
        <x:is>
          <x:t xml:space="preserve">Date</x:t>
        </x:is>
      </x:c>
      <x:c r="B4" s="10" t="inlineStr">
        <x:is>
          <x:t xml:space="preserve">Competitor/Signal</x:t>
        </x:is>
      </x:c>
      <x:c r="C4" s="10" t="inlineStr">
        <x:is>
          <x:t xml:space="preserve">Type</x:t>
        </x:is>
      </x:c>
      <x:c r="D4" s="10" t="inlineStr">
        <x:is>
          <x:t xml:space="preserve">What They Did</x:t>
        </x:is>
      </x:c>
      <x:c r="E4" s="10" t="inlineStr">
        <x:is>
          <x:t xml:space="preserve">Why It Matters</x:t>
        </x:is>
      </x:c>
      <x:c r="F4" s="10" t="inlineStr">
        <x:is>
          <x:t xml:space="preserve">Threat Level</x:t>
        </x:is>
      </x:c>
      <x:c r="G4" s="10" t="inlineStr">
        <x:is>
          <x:t xml:space="preserve">Msafiri Response</x:t>
        </x:is>
      </x:c>
      <x:c r="H4" s="10" t="inlineStr">
        <x:is>
          <x:t xml:space="preserve">Owner</x:t>
        </x:is>
      </x:c>
      <x:c r="I4" s="10" t="inlineStr">
        <x:is>
          <x:t xml:space="preserve">Response Due</x:t>
        </x:is>
      </x:c>
      <x:c r="J4" s="10" t="inlineStr">
        <x:is>
          <x:t xml:space="preserve">Status</x:t>
        </x:is>
      </x:c>
      <x:c r="K4" s="10" t="inlineStr">
        <x:is>
          <x:t xml:space="preserve">Learning</x:t>
        </x:is>
      </x:c>
      <x:c r="L4" s="10" t="inlineStr">
        <x:is>
          <x:t xml:space="preserve">Notes</x:t>
        </x:is>
      </x:c>
    </x:row>
    <x:row r="5" ht="44" customHeight="1">
      <x:c r="A5" s="7" t="inlineStr">
        <x:is>
          <x:t xml:space="preserve"/>
        </x:is>
      </x:c>
      <x:c r="B5" s="21" t="inlineStr">
        <x:is>
          <x:t xml:space="preserve"/>
        </x:is>
      </x:c>
      <x:c r="C5" s="21" t="inlineStr">
        <x:is>
          <x:t xml:space="preserve"/>
        </x:is>
      </x:c>
      <x:c r="D5" s="21" t="inlineStr">
        <x:is>
          <x:t xml:space="preserve"/>
        </x:is>
      </x:c>
      <x:c r="E5" s="21" t="inlineStr">
        <x:is>
          <x:t xml:space="preserve"/>
        </x:is>
      </x:c>
      <x:c r="F5" s="21" t="inlineStr">
        <x:is>
          <x:t xml:space="preserve">Medium</x:t>
        </x:is>
      </x:c>
      <x:c r="G5" s="21" t="inlineStr">
        <x:is>
          <x:t xml:space="preserve"/>
        </x:is>
      </x:c>
      <x:c r="H5" s="21" t="inlineStr">
        <x:is>
          <x:t xml:space="preserve">Founder</x:t>
        </x:is>
      </x:c>
      <x:c r="I5" s="21" t="inlineStr">
        <x:is>
          <x:t xml:space="preserve"/>
        </x:is>
      </x:c>
      <x:c r="J5" s="21" t="inlineStr">
        <x:is>
          <x:t xml:space="preserve">Backlog</x:t>
        </x:is>
      </x:c>
      <x:c r="K5" s="21" t="inlineStr">
        <x:is>
          <x:t xml:space="preserve"/>
        </x:is>
      </x:c>
      <x:c r="L5" s="21" t="inlineStr">
        <x:is>
          <x:t xml:space="preserve"/>
        </x:is>
      </x:c>
    </x:row>
    <x:row r="6" ht="44" customHeight="1">
      <x:c r="A6" s="5" t="inlineStr">
        <x:is>
          <x:t xml:space="preserve"/>
        </x:is>
      </x:c>
      <x:c r="B6" s="21" t="inlineStr">
        <x:is>
          <x:t xml:space="preserve"/>
        </x:is>
      </x:c>
      <x:c r="C6" s="21" t="inlineStr">
        <x:is>
          <x:t xml:space="preserve"/>
        </x:is>
      </x:c>
      <x:c r="D6" s="21" t="inlineStr">
        <x:is>
          <x:t xml:space="preserve"/>
        </x:is>
      </x:c>
      <x:c r="E6" s="21" t="inlineStr">
        <x:is>
          <x:t xml:space="preserve"/>
        </x:is>
      </x:c>
      <x:c r="F6" s="21" t="inlineStr">
        <x:is>
          <x:t xml:space="preserve">Medium</x:t>
        </x:is>
      </x:c>
      <x:c r="G6" s="21" t="inlineStr">
        <x:is>
          <x:t xml:space="preserve"/>
        </x:is>
      </x:c>
      <x:c r="H6" s="21" t="inlineStr">
        <x:is>
          <x:t xml:space="preserve">Founder</x:t>
        </x:is>
      </x:c>
      <x:c r="I6" s="21" t="inlineStr">
        <x:is>
          <x:t xml:space="preserve"/>
        </x:is>
      </x:c>
      <x:c r="J6" s="21" t="inlineStr">
        <x:is>
          <x:t xml:space="preserve">Backlog</x:t>
        </x:is>
      </x:c>
      <x:c r="K6" s="21" t="inlineStr">
        <x:is>
          <x:t xml:space="preserve"/>
        </x:is>
      </x:c>
      <x:c r="L6" s="21" t="inlineStr">
        <x:is>
          <x:t xml:space="preserve"/>
        </x:is>
      </x:c>
    </x:row>
    <x:row r="7" ht="44" customHeight="1">
      <x:c r="A7" s="7" t="inlineStr">
        <x:is>
          <x:t xml:space="preserve"/>
        </x:is>
      </x:c>
      <x:c r="B7" s="21" t="inlineStr">
        <x:is>
          <x:t xml:space="preserve"/>
        </x:is>
      </x:c>
      <x:c r="C7" s="21" t="inlineStr">
        <x:is>
          <x:t xml:space="preserve"/>
        </x:is>
      </x:c>
      <x:c r="D7" s="21" t="inlineStr">
        <x:is>
          <x:t xml:space="preserve"/>
        </x:is>
      </x:c>
      <x:c r="E7" s="21" t="inlineStr">
        <x:is>
          <x:t xml:space="preserve"/>
        </x:is>
      </x:c>
      <x:c r="F7" s="21" t="inlineStr">
        <x:is>
          <x:t xml:space="preserve">Medium</x:t>
        </x:is>
      </x:c>
      <x:c r="G7" s="21" t="inlineStr">
        <x:is>
          <x:t xml:space="preserve"/>
        </x:is>
      </x:c>
      <x:c r="H7" s="21" t="inlineStr">
        <x:is>
          <x:t xml:space="preserve">Founder</x:t>
        </x:is>
      </x:c>
      <x:c r="I7" s="21" t="inlineStr">
        <x:is>
          <x:t xml:space="preserve"/>
        </x:is>
      </x:c>
      <x:c r="J7" s="21" t="inlineStr">
        <x:is>
          <x:t xml:space="preserve">Backlog</x:t>
        </x:is>
      </x:c>
      <x:c r="K7" s="21" t="inlineStr">
        <x:is>
          <x:t xml:space="preserve"/>
        </x:is>
      </x:c>
      <x:c r="L7" s="21" t="inlineStr">
        <x:is>
          <x:t xml:space="preserve"/>
        </x:is>
      </x:c>
    </x:row>
    <x:row r="8" ht="44" customHeight="1">
      <x:c r="A8" s="5" t="inlineStr">
        <x:is>
          <x:t xml:space="preserve"/>
        </x:is>
      </x:c>
      <x:c r="B8" s="21" t="inlineStr">
        <x:is>
          <x:t xml:space="preserve"/>
        </x:is>
      </x:c>
      <x:c r="C8" s="21" t="inlineStr">
        <x:is>
          <x:t xml:space="preserve"/>
        </x:is>
      </x:c>
      <x:c r="D8" s="21" t="inlineStr">
        <x:is>
          <x:t xml:space="preserve"/>
        </x:is>
      </x:c>
      <x:c r="E8" s="21" t="inlineStr">
        <x:is>
          <x:t xml:space="preserve"/>
        </x:is>
      </x:c>
      <x:c r="F8" s="21" t="inlineStr">
        <x:is>
          <x:t xml:space="preserve">Medium</x:t>
        </x:is>
      </x:c>
      <x:c r="G8" s="21" t="inlineStr">
        <x:is>
          <x:t xml:space="preserve"/>
        </x:is>
      </x:c>
      <x:c r="H8" s="21" t="inlineStr">
        <x:is>
          <x:t xml:space="preserve">Founder</x:t>
        </x:is>
      </x:c>
      <x:c r="I8" s="21" t="inlineStr">
        <x:is>
          <x:t xml:space="preserve"/>
        </x:is>
      </x:c>
      <x:c r="J8" s="21" t="inlineStr">
        <x:is>
          <x:t xml:space="preserve">Backlog</x:t>
        </x:is>
      </x:c>
      <x:c r="K8" s="21" t="inlineStr">
        <x:is>
          <x:t xml:space="preserve"/>
        </x:is>
      </x:c>
      <x:c r="L8" s="21" t="inlineStr">
        <x:is>
          <x:t xml:space="preserve"/>
        </x:is>
      </x:c>
    </x:row>
    <x:row r="9" ht="44" customHeight="1">
      <x:c r="A9" s="7" t="inlineStr">
        <x:is>
          <x:t xml:space="preserve"/>
        </x:is>
      </x:c>
      <x:c r="B9" s="21" t="inlineStr">
        <x:is>
          <x:t xml:space="preserve"/>
        </x:is>
      </x:c>
      <x:c r="C9" s="21" t="inlineStr">
        <x:is>
          <x:t xml:space="preserve"/>
        </x:is>
      </x:c>
      <x:c r="D9" s="21" t="inlineStr">
        <x:is>
          <x:t xml:space="preserve"/>
        </x:is>
      </x:c>
      <x:c r="E9" s="21" t="inlineStr">
        <x:is>
          <x:t xml:space="preserve"/>
        </x:is>
      </x:c>
      <x:c r="F9" s="21" t="inlineStr">
        <x:is>
          <x:t xml:space="preserve">Medium</x:t>
        </x:is>
      </x:c>
      <x:c r="G9" s="21" t="inlineStr">
        <x:is>
          <x:t xml:space="preserve"/>
        </x:is>
      </x:c>
      <x:c r="H9" s="21" t="inlineStr">
        <x:is>
          <x:t xml:space="preserve">Founder</x:t>
        </x:is>
      </x:c>
      <x:c r="I9" s="21" t="inlineStr">
        <x:is>
          <x:t xml:space="preserve"/>
        </x:is>
      </x:c>
      <x:c r="J9" s="21" t="inlineStr">
        <x:is>
          <x:t xml:space="preserve">Backlog</x:t>
        </x:is>
      </x:c>
      <x:c r="K9" s="21" t="inlineStr">
        <x:is>
          <x:t xml:space="preserve"/>
        </x:is>
      </x:c>
      <x:c r="L9" s="21" t="inlineStr">
        <x:is>
          <x:t xml:space="preserve"/>
        </x:is>
      </x:c>
    </x:row>
    <x:row r="10" ht="44" customHeight="1">
      <x:c r="A10" s="5" t="inlineStr">
        <x:is>
          <x:t xml:space="preserve"/>
        </x:is>
      </x:c>
      <x:c r="B10" s="21" t="inlineStr">
        <x:is>
          <x:t xml:space="preserve"/>
        </x:is>
      </x:c>
      <x:c r="C10" s="21" t="inlineStr">
        <x:is>
          <x:t xml:space="preserve"/>
        </x:is>
      </x:c>
      <x:c r="D10" s="21" t="inlineStr">
        <x:is>
          <x:t xml:space="preserve"/>
        </x:is>
      </x:c>
      <x:c r="E10" s="21" t="inlineStr">
        <x:is>
          <x:t xml:space="preserve"/>
        </x:is>
      </x:c>
      <x:c r="F10" s="21" t="inlineStr">
        <x:is>
          <x:t xml:space="preserve">Medium</x:t>
        </x:is>
      </x:c>
      <x:c r="G10" s="21" t="inlineStr">
        <x:is>
          <x:t xml:space="preserve"/>
        </x:is>
      </x:c>
      <x:c r="H10" s="21" t="inlineStr">
        <x:is>
          <x:t xml:space="preserve">Founder</x:t>
        </x:is>
      </x:c>
      <x:c r="I10" s="21" t="inlineStr">
        <x:is>
          <x:t xml:space="preserve"/>
        </x:is>
      </x:c>
      <x:c r="J10" s="21" t="inlineStr">
        <x:is>
          <x:t xml:space="preserve">Backlog</x:t>
        </x:is>
      </x:c>
      <x:c r="K10" s="21" t="inlineStr">
        <x:is>
          <x:t xml:space="preserve"/>
        </x:is>
      </x:c>
      <x:c r="L10" s="21" t="inlineStr">
        <x:is>
          <x:t xml:space="preserve"/>
        </x:is>
      </x:c>
    </x:row>
    <x:row r="11" ht="44" customHeight="1">
      <x:c r="A11" s="7" t="inlineStr">
        <x:is>
          <x:t xml:space="preserve"/>
        </x:is>
      </x:c>
      <x:c r="B11" s="21" t="inlineStr">
        <x:is>
          <x:t xml:space="preserve"/>
        </x:is>
      </x:c>
      <x:c r="C11" s="21" t="inlineStr">
        <x:is>
          <x:t xml:space="preserve"/>
        </x:is>
      </x:c>
      <x:c r="D11" s="21" t="inlineStr">
        <x:is>
          <x:t xml:space="preserve"/>
        </x:is>
      </x:c>
      <x:c r="E11" s="21" t="inlineStr">
        <x:is>
          <x:t xml:space="preserve"/>
        </x:is>
      </x:c>
      <x:c r="F11" s="21" t="inlineStr">
        <x:is>
          <x:t xml:space="preserve">Medium</x:t>
        </x:is>
      </x:c>
      <x:c r="G11" s="21" t="inlineStr">
        <x:is>
          <x:t xml:space="preserve"/>
        </x:is>
      </x:c>
      <x:c r="H11" s="21" t="inlineStr">
        <x:is>
          <x:t xml:space="preserve">Founder</x:t>
        </x:is>
      </x:c>
      <x:c r="I11" s="21" t="inlineStr">
        <x:is>
          <x:t xml:space="preserve"/>
        </x:is>
      </x:c>
      <x:c r="J11" s="21" t="inlineStr">
        <x:is>
          <x:t xml:space="preserve">Backlog</x:t>
        </x:is>
      </x:c>
      <x:c r="K11" s="21" t="inlineStr">
        <x:is>
          <x:t xml:space="preserve"/>
        </x:is>
      </x:c>
      <x:c r="L11" s="21" t="inlineStr">
        <x:is>
          <x:t xml:space="preserve"/>
        </x:is>
      </x:c>
    </x:row>
    <x:row r="12" ht="44" customHeight="1">
      <x:c r="A12" s="5" t="inlineStr">
        <x:is>
          <x:t xml:space="preserve"/>
        </x:is>
      </x:c>
      <x:c r="B12" s="21" t="inlineStr">
        <x:is>
          <x:t xml:space="preserve"/>
        </x:is>
      </x:c>
      <x:c r="C12" s="21" t="inlineStr">
        <x:is>
          <x:t xml:space="preserve"/>
        </x:is>
      </x:c>
      <x:c r="D12" s="21" t="inlineStr">
        <x:is>
          <x:t xml:space="preserve"/>
        </x:is>
      </x:c>
      <x:c r="E12" s="21" t="inlineStr">
        <x:is>
          <x:t xml:space="preserve"/>
        </x:is>
      </x:c>
      <x:c r="F12" s="21" t="inlineStr">
        <x:is>
          <x:t xml:space="preserve">Medium</x:t>
        </x:is>
      </x:c>
      <x:c r="G12" s="21" t="inlineStr">
        <x:is>
          <x:t xml:space="preserve"/>
        </x:is>
      </x:c>
      <x:c r="H12" s="21" t="inlineStr">
        <x:is>
          <x:t xml:space="preserve">Founder</x:t>
        </x:is>
      </x:c>
      <x:c r="I12" s="21" t="inlineStr">
        <x:is>
          <x:t xml:space="preserve"/>
        </x:is>
      </x:c>
      <x:c r="J12" s="21" t="inlineStr">
        <x:is>
          <x:t xml:space="preserve">Backlog</x:t>
        </x:is>
      </x:c>
      <x:c r="K12" s="21" t="inlineStr">
        <x:is>
          <x:t xml:space="preserve"/>
        </x:is>
      </x:c>
      <x:c r="L12" s="21" t="inlineStr">
        <x:is>
          <x:t xml:space="preserve"/>
        </x:is>
      </x:c>
    </x:row>
    <x:row r="13" ht="44" customHeight="1">
      <x:c r="A13" s="7" t="inlineStr">
        <x:is>
          <x:t xml:space="preserve"/>
        </x:is>
      </x:c>
      <x:c r="B13" s="21" t="inlineStr">
        <x:is>
          <x:t xml:space="preserve"/>
        </x:is>
      </x:c>
      <x:c r="C13" s="21" t="inlineStr">
        <x:is>
          <x:t xml:space="preserve"/>
        </x:is>
      </x:c>
      <x:c r="D13" s="21" t="inlineStr">
        <x:is>
          <x:t xml:space="preserve"/>
        </x:is>
      </x:c>
      <x:c r="E13" s="21" t="inlineStr">
        <x:is>
          <x:t xml:space="preserve"/>
        </x:is>
      </x:c>
      <x:c r="F13" s="21" t="inlineStr">
        <x:is>
          <x:t xml:space="preserve">Medium</x:t>
        </x:is>
      </x:c>
      <x:c r="G13" s="21" t="inlineStr">
        <x:is>
          <x:t xml:space="preserve"/>
        </x:is>
      </x:c>
      <x:c r="H13" s="21" t="inlineStr">
        <x:is>
          <x:t xml:space="preserve">Founder</x:t>
        </x:is>
      </x:c>
      <x:c r="I13" s="21" t="inlineStr">
        <x:is>
          <x:t xml:space="preserve"/>
        </x:is>
      </x:c>
      <x:c r="J13" s="21" t="inlineStr">
        <x:is>
          <x:t xml:space="preserve">Backlog</x:t>
        </x:is>
      </x:c>
      <x:c r="K13" s="21" t="inlineStr">
        <x:is>
          <x:t xml:space="preserve"/>
        </x:is>
      </x:c>
      <x:c r="L13" s="21" t="inlineStr">
        <x:is>
          <x:t xml:space="preserve"/>
        </x:is>
      </x:c>
    </x:row>
    <x:row r="14" ht="44" customHeight="1">
      <x:c r="A14" s="5" t="inlineStr">
        <x:is>
          <x:t xml:space="preserve"/>
        </x:is>
      </x:c>
      <x:c r="B14" s="21" t="inlineStr">
        <x:is>
          <x:t xml:space="preserve"/>
        </x:is>
      </x:c>
      <x:c r="C14" s="21" t="inlineStr">
        <x:is>
          <x:t xml:space="preserve"/>
        </x:is>
      </x:c>
      <x:c r="D14" s="21" t="inlineStr">
        <x:is>
          <x:t xml:space="preserve"/>
        </x:is>
      </x:c>
      <x:c r="E14" s="21" t="inlineStr">
        <x:is>
          <x:t xml:space="preserve"/>
        </x:is>
      </x:c>
      <x:c r="F14" s="21" t="inlineStr">
        <x:is>
          <x:t xml:space="preserve">Medium</x:t>
        </x:is>
      </x:c>
      <x:c r="G14" s="21" t="inlineStr">
        <x:is>
          <x:t xml:space="preserve"/>
        </x:is>
      </x:c>
      <x:c r="H14" s="21" t="inlineStr">
        <x:is>
          <x:t xml:space="preserve">Founder</x:t>
        </x:is>
      </x:c>
      <x:c r="I14" s="21" t="inlineStr">
        <x:is>
          <x:t xml:space="preserve"/>
        </x:is>
      </x:c>
      <x:c r="J14" s="21" t="inlineStr">
        <x:is>
          <x:t xml:space="preserve">Backlog</x:t>
        </x:is>
      </x:c>
      <x:c r="K14" s="21" t="inlineStr">
        <x:is>
          <x:t xml:space="preserve"/>
        </x:is>
      </x:c>
      <x:c r="L14" s="21" t="inlineStr">
        <x:is>
          <x:t xml:space="preserve"/>
        </x:is>
      </x:c>
    </x:row>
    <x:row r="15" ht="44" customHeight="1">
      <x:c r="A15" s="7" t="inlineStr">
        <x:is>
          <x:t xml:space="preserve"/>
        </x:is>
      </x:c>
      <x:c r="B15" s="21" t="inlineStr">
        <x:is>
          <x:t xml:space="preserve"/>
        </x:is>
      </x:c>
      <x:c r="C15" s="21" t="inlineStr">
        <x:is>
          <x:t xml:space="preserve"/>
        </x:is>
      </x:c>
      <x:c r="D15" s="21" t="inlineStr">
        <x:is>
          <x:t xml:space="preserve"/>
        </x:is>
      </x:c>
      <x:c r="E15" s="21" t="inlineStr">
        <x:is>
          <x:t xml:space="preserve"/>
        </x:is>
      </x:c>
      <x:c r="F15" s="21" t="inlineStr">
        <x:is>
          <x:t xml:space="preserve">Medium</x:t>
        </x:is>
      </x:c>
      <x:c r="G15" s="21" t="inlineStr">
        <x:is>
          <x:t xml:space="preserve"/>
        </x:is>
      </x:c>
      <x:c r="H15" s="21" t="inlineStr">
        <x:is>
          <x:t xml:space="preserve">Founder</x:t>
        </x:is>
      </x:c>
      <x:c r="I15" s="21" t="inlineStr">
        <x:is>
          <x:t xml:space="preserve"/>
        </x:is>
      </x:c>
      <x:c r="J15" s="21" t="inlineStr">
        <x:is>
          <x:t xml:space="preserve">Backlog</x:t>
        </x:is>
      </x:c>
      <x:c r="K15" s="21" t="inlineStr">
        <x:is>
          <x:t xml:space="preserve"/>
        </x:is>
      </x:c>
      <x:c r="L15" s="21" t="inlineStr">
        <x:is>
          <x:t xml:space="preserve"/>
        </x:is>
      </x:c>
    </x:row>
    <x:row r="16" ht="44" customHeight="1">
      <x:c r="A16" s="5" t="inlineStr">
        <x:is>
          <x:t xml:space="preserve"/>
        </x:is>
      </x:c>
      <x:c r="B16" s="21" t="inlineStr">
        <x:is>
          <x:t xml:space="preserve"/>
        </x:is>
      </x:c>
      <x:c r="C16" s="21" t="inlineStr">
        <x:is>
          <x:t xml:space="preserve"/>
        </x:is>
      </x:c>
      <x:c r="D16" s="21" t="inlineStr">
        <x:is>
          <x:t xml:space="preserve"/>
        </x:is>
      </x:c>
      <x:c r="E16" s="21" t="inlineStr">
        <x:is>
          <x:t xml:space="preserve"/>
        </x:is>
      </x:c>
      <x:c r="F16" s="21" t="inlineStr">
        <x:is>
          <x:t xml:space="preserve">Medium</x:t>
        </x:is>
      </x:c>
      <x:c r="G16" s="21" t="inlineStr">
        <x:is>
          <x:t xml:space="preserve"/>
        </x:is>
      </x:c>
      <x:c r="H16" s="21" t="inlineStr">
        <x:is>
          <x:t xml:space="preserve">Founder</x:t>
        </x:is>
      </x:c>
      <x:c r="I16" s="21" t="inlineStr">
        <x:is>
          <x:t xml:space="preserve"/>
        </x:is>
      </x:c>
      <x:c r="J16" s="21" t="inlineStr">
        <x:is>
          <x:t xml:space="preserve">Backlog</x:t>
        </x:is>
      </x:c>
      <x:c r="K16" s="21" t="inlineStr">
        <x:is>
          <x:t xml:space="preserve"/>
        </x:is>
      </x:c>
      <x:c r="L16" s="21" t="inlineStr">
        <x:is>
          <x:t xml:space="preserve"/>
        </x:is>
      </x:c>
    </x:row>
    <x:row r="17" ht="44" customHeight="1">
      <x:c r="A17" s="7" t="inlineStr">
        <x:is>
          <x:t xml:space="preserve"/>
        </x:is>
      </x:c>
      <x:c r="B17" s="21" t="inlineStr">
        <x:is>
          <x:t xml:space="preserve"/>
        </x:is>
      </x:c>
      <x:c r="C17" s="21" t="inlineStr">
        <x:is>
          <x:t xml:space="preserve"/>
        </x:is>
      </x:c>
      <x:c r="D17" s="21" t="inlineStr">
        <x:is>
          <x:t xml:space="preserve"/>
        </x:is>
      </x:c>
      <x:c r="E17" s="21" t="inlineStr">
        <x:is>
          <x:t xml:space="preserve"/>
        </x:is>
      </x:c>
      <x:c r="F17" s="21" t="inlineStr">
        <x:is>
          <x:t xml:space="preserve">Medium</x:t>
        </x:is>
      </x:c>
      <x:c r="G17" s="21" t="inlineStr">
        <x:is>
          <x:t xml:space="preserve"/>
        </x:is>
      </x:c>
      <x:c r="H17" s="21" t="inlineStr">
        <x:is>
          <x:t xml:space="preserve">Founder</x:t>
        </x:is>
      </x:c>
      <x:c r="I17" s="21" t="inlineStr">
        <x:is>
          <x:t xml:space="preserve"/>
        </x:is>
      </x:c>
      <x:c r="J17" s="21" t="inlineStr">
        <x:is>
          <x:t xml:space="preserve">Backlog</x:t>
        </x:is>
      </x:c>
      <x:c r="K17" s="21" t="inlineStr">
        <x:is>
          <x:t xml:space="preserve"/>
        </x:is>
      </x:c>
      <x:c r="L17" s="21" t="inlineStr">
        <x:is>
          <x:t xml:space="preserve"/>
        </x:is>
      </x:c>
    </x:row>
    <x:row r="18" ht="44" customHeight="1">
      <x:c r="A18" s="5" t="inlineStr">
        <x:is>
          <x:t xml:space="preserve"/>
        </x:is>
      </x:c>
      <x:c r="B18" s="21" t="inlineStr">
        <x:is>
          <x:t xml:space="preserve"/>
        </x:is>
      </x:c>
      <x:c r="C18" s="21" t="inlineStr">
        <x:is>
          <x:t xml:space="preserve"/>
        </x:is>
      </x:c>
      <x:c r="D18" s="21" t="inlineStr">
        <x:is>
          <x:t xml:space="preserve"/>
        </x:is>
      </x:c>
      <x:c r="E18" s="21" t="inlineStr">
        <x:is>
          <x:t xml:space="preserve"/>
        </x:is>
      </x:c>
      <x:c r="F18" s="21" t="inlineStr">
        <x:is>
          <x:t xml:space="preserve">Medium</x:t>
        </x:is>
      </x:c>
      <x:c r="G18" s="21" t="inlineStr">
        <x:is>
          <x:t xml:space="preserve"/>
        </x:is>
      </x:c>
      <x:c r="H18" s="21" t="inlineStr">
        <x:is>
          <x:t xml:space="preserve">Founder</x:t>
        </x:is>
      </x:c>
      <x:c r="I18" s="21" t="inlineStr">
        <x:is>
          <x:t xml:space="preserve"/>
        </x:is>
      </x:c>
      <x:c r="J18" s="21" t="inlineStr">
        <x:is>
          <x:t xml:space="preserve">Backlog</x:t>
        </x:is>
      </x:c>
      <x:c r="K18" s="21" t="inlineStr">
        <x:is>
          <x:t xml:space="preserve"/>
        </x:is>
      </x:c>
      <x:c r="L18" s="21" t="inlineStr">
        <x:is>
          <x:t xml:space="preserve"/>
        </x:is>
      </x:c>
    </x:row>
    <x:row r="19" ht="44" customHeight="1">
      <x:c r="A19" s="7" t="inlineStr">
        <x:is>
          <x:t xml:space="preserve"/>
        </x:is>
      </x:c>
      <x:c r="B19" s="21" t="inlineStr">
        <x:is>
          <x:t xml:space="preserve"/>
        </x:is>
      </x:c>
      <x:c r="C19" s="21" t="inlineStr">
        <x:is>
          <x:t xml:space="preserve"/>
        </x:is>
      </x:c>
      <x:c r="D19" s="21" t="inlineStr">
        <x:is>
          <x:t xml:space="preserve"/>
        </x:is>
      </x:c>
      <x:c r="E19" s="21" t="inlineStr">
        <x:is>
          <x:t xml:space="preserve"/>
        </x:is>
      </x:c>
      <x:c r="F19" s="21" t="inlineStr">
        <x:is>
          <x:t xml:space="preserve">Medium</x:t>
        </x:is>
      </x:c>
      <x:c r="G19" s="21" t="inlineStr">
        <x:is>
          <x:t xml:space="preserve"/>
        </x:is>
      </x:c>
      <x:c r="H19" s="21" t="inlineStr">
        <x:is>
          <x:t xml:space="preserve">Founder</x:t>
        </x:is>
      </x:c>
      <x:c r="I19" s="21" t="inlineStr">
        <x:is>
          <x:t xml:space="preserve"/>
        </x:is>
      </x:c>
      <x:c r="J19" s="21" t="inlineStr">
        <x:is>
          <x:t xml:space="preserve">Backlog</x:t>
        </x:is>
      </x:c>
      <x:c r="K19" s="21" t="inlineStr">
        <x:is>
          <x:t xml:space="preserve"/>
        </x:is>
      </x:c>
      <x:c r="L19" s="21" t="inlineStr">
        <x:is>
          <x:t xml:space="preserve"/>
        </x:is>
      </x:c>
    </x:row>
    <x:row r="20" ht="44" customHeight="1">
      <x:c r="A20" s="5" t="inlineStr">
        <x:is>
          <x:t xml:space="preserve"/>
        </x:is>
      </x:c>
      <x:c r="B20" s="21" t="inlineStr">
        <x:is>
          <x:t xml:space="preserve"/>
        </x:is>
      </x:c>
      <x:c r="C20" s="21" t="inlineStr">
        <x:is>
          <x:t xml:space="preserve"/>
        </x:is>
      </x:c>
      <x:c r="D20" s="21" t="inlineStr">
        <x:is>
          <x:t xml:space="preserve"/>
        </x:is>
      </x:c>
      <x:c r="E20" s="21" t="inlineStr">
        <x:is>
          <x:t xml:space="preserve"/>
        </x:is>
      </x:c>
      <x:c r="F20" s="21" t="inlineStr">
        <x:is>
          <x:t xml:space="preserve">Medium</x:t>
        </x:is>
      </x:c>
      <x:c r="G20" s="21" t="inlineStr">
        <x:is>
          <x:t xml:space="preserve"/>
        </x:is>
      </x:c>
      <x:c r="H20" s="21" t="inlineStr">
        <x:is>
          <x:t xml:space="preserve">Founder</x:t>
        </x:is>
      </x:c>
      <x:c r="I20" s="21" t="inlineStr">
        <x:is>
          <x:t xml:space="preserve"/>
        </x:is>
      </x:c>
      <x:c r="J20" s="21" t="inlineStr">
        <x:is>
          <x:t xml:space="preserve">Backlog</x:t>
        </x:is>
      </x:c>
      <x:c r="K20" s="21" t="inlineStr">
        <x:is>
          <x:t xml:space="preserve"/>
        </x:is>
      </x:c>
      <x:c r="L20" s="21" t="inlineStr">
        <x:is>
          <x:t xml:space="preserve"/>
        </x:is>
      </x:c>
    </x:row>
    <x:row r="21" ht="44" customHeight="1">
      <x:c r="A21" s="7" t="inlineStr">
        <x:is>
          <x:t xml:space="preserve"/>
        </x:is>
      </x:c>
      <x:c r="B21" s="21" t="inlineStr">
        <x:is>
          <x:t xml:space="preserve"/>
        </x:is>
      </x:c>
      <x:c r="C21" s="21" t="inlineStr">
        <x:is>
          <x:t xml:space="preserve"/>
        </x:is>
      </x:c>
      <x:c r="D21" s="21" t="inlineStr">
        <x:is>
          <x:t xml:space="preserve"/>
        </x:is>
      </x:c>
      <x:c r="E21" s="21" t="inlineStr">
        <x:is>
          <x:t xml:space="preserve"/>
        </x:is>
      </x:c>
      <x:c r="F21" s="21" t="inlineStr">
        <x:is>
          <x:t xml:space="preserve">Medium</x:t>
        </x:is>
      </x:c>
      <x:c r="G21" s="21" t="inlineStr">
        <x:is>
          <x:t xml:space="preserve"/>
        </x:is>
      </x:c>
      <x:c r="H21" s="21" t="inlineStr">
        <x:is>
          <x:t xml:space="preserve">Founder</x:t>
        </x:is>
      </x:c>
      <x:c r="I21" s="21" t="inlineStr">
        <x:is>
          <x:t xml:space="preserve"/>
        </x:is>
      </x:c>
      <x:c r="J21" s="21" t="inlineStr">
        <x:is>
          <x:t xml:space="preserve">Backlog</x:t>
        </x:is>
      </x:c>
      <x:c r="K21" s="21" t="inlineStr">
        <x:is>
          <x:t xml:space="preserve"/>
        </x:is>
      </x:c>
      <x:c r="L21" s="21" t="inlineStr">
        <x:is>
          <x:t xml:space="preserve"/>
        </x:is>
      </x:c>
    </x:row>
    <x:row r="22" ht="44" customHeight="1">
      <x:c r="A22" s="5" t="inlineStr">
        <x:is>
          <x:t xml:space="preserve"/>
        </x:is>
      </x:c>
      <x:c r="B22" s="21" t="inlineStr">
        <x:is>
          <x:t xml:space="preserve"/>
        </x:is>
      </x:c>
      <x:c r="C22" s="21" t="inlineStr">
        <x:is>
          <x:t xml:space="preserve"/>
        </x:is>
      </x:c>
      <x:c r="D22" s="21" t="inlineStr">
        <x:is>
          <x:t xml:space="preserve"/>
        </x:is>
      </x:c>
      <x:c r="E22" s="21" t="inlineStr">
        <x:is>
          <x:t xml:space="preserve"/>
        </x:is>
      </x:c>
      <x:c r="F22" s="21" t="inlineStr">
        <x:is>
          <x:t xml:space="preserve">Medium</x:t>
        </x:is>
      </x:c>
      <x:c r="G22" s="21" t="inlineStr">
        <x:is>
          <x:t xml:space="preserve"/>
        </x:is>
      </x:c>
      <x:c r="H22" s="21" t="inlineStr">
        <x:is>
          <x:t xml:space="preserve">Founder</x:t>
        </x:is>
      </x:c>
      <x:c r="I22" s="21" t="inlineStr">
        <x:is>
          <x:t xml:space="preserve"/>
        </x:is>
      </x:c>
      <x:c r="J22" s="21" t="inlineStr">
        <x:is>
          <x:t xml:space="preserve">Backlog</x:t>
        </x:is>
      </x:c>
      <x:c r="K22" s="21" t="inlineStr">
        <x:is>
          <x:t xml:space="preserve"/>
        </x:is>
      </x:c>
      <x:c r="L22" s="21" t="inlineStr">
        <x:is>
          <x:t xml:space="preserve"/>
        </x:is>
      </x:c>
    </x:row>
    <x:row r="23" ht="44" customHeight="1">
      <x:c r="A23" s="7" t="inlineStr">
        <x:is>
          <x:t xml:space="preserve"/>
        </x:is>
      </x:c>
      <x:c r="B23" s="21" t="inlineStr">
        <x:is>
          <x:t xml:space="preserve"/>
        </x:is>
      </x:c>
      <x:c r="C23" s="21" t="inlineStr">
        <x:is>
          <x:t xml:space="preserve"/>
        </x:is>
      </x:c>
      <x:c r="D23" s="21" t="inlineStr">
        <x:is>
          <x:t xml:space="preserve"/>
        </x:is>
      </x:c>
      <x:c r="E23" s="21" t="inlineStr">
        <x:is>
          <x:t xml:space="preserve"/>
        </x:is>
      </x:c>
      <x:c r="F23" s="21" t="inlineStr">
        <x:is>
          <x:t xml:space="preserve">Medium</x:t>
        </x:is>
      </x:c>
      <x:c r="G23" s="21" t="inlineStr">
        <x:is>
          <x:t xml:space="preserve"/>
        </x:is>
      </x:c>
      <x:c r="H23" s="21" t="inlineStr">
        <x:is>
          <x:t xml:space="preserve">Founder</x:t>
        </x:is>
      </x:c>
      <x:c r="I23" s="21" t="inlineStr">
        <x:is>
          <x:t xml:space="preserve"/>
        </x:is>
      </x:c>
      <x:c r="J23" s="21" t="inlineStr">
        <x:is>
          <x:t xml:space="preserve">Backlog</x:t>
        </x:is>
      </x:c>
      <x:c r="K23" s="21" t="inlineStr">
        <x:is>
          <x:t xml:space="preserve"/>
        </x:is>
      </x:c>
      <x:c r="L23" s="21" t="inlineStr">
        <x:is>
          <x:t xml:space="preserve"/>
        </x:is>
      </x:c>
    </x:row>
    <x:row r="24" ht="44" customHeight="1">
      <x:c r="A24" s="5" t="inlineStr">
        <x:is>
          <x:t xml:space="preserve"/>
        </x:is>
      </x:c>
      <x:c r="B24" s="21" t="inlineStr">
        <x:is>
          <x:t xml:space="preserve"/>
        </x:is>
      </x:c>
      <x:c r="C24" s="21" t="inlineStr">
        <x:is>
          <x:t xml:space="preserve"/>
        </x:is>
      </x:c>
      <x:c r="D24" s="21" t="inlineStr">
        <x:is>
          <x:t xml:space="preserve"/>
        </x:is>
      </x:c>
      <x:c r="E24" s="21" t="inlineStr">
        <x:is>
          <x:t xml:space="preserve"/>
        </x:is>
      </x:c>
      <x:c r="F24" s="21" t="inlineStr">
        <x:is>
          <x:t xml:space="preserve">Medium</x:t>
        </x:is>
      </x:c>
      <x:c r="G24" s="21" t="inlineStr">
        <x:is>
          <x:t xml:space="preserve"/>
        </x:is>
      </x:c>
      <x:c r="H24" s="21" t="inlineStr">
        <x:is>
          <x:t xml:space="preserve">Founder</x:t>
        </x:is>
      </x:c>
      <x:c r="I24" s="21" t="inlineStr">
        <x:is>
          <x:t xml:space="preserve"/>
        </x:is>
      </x:c>
      <x:c r="J24" s="21" t="inlineStr">
        <x:is>
          <x:t xml:space="preserve">Backlog</x:t>
        </x:is>
      </x:c>
      <x:c r="K24" s="21" t="inlineStr">
        <x:is>
          <x:t xml:space="preserve"/>
        </x:is>
      </x:c>
      <x:c r="L24" s="21" t="inlineStr">
        <x:is>
          <x:t xml:space="preserve"/>
        </x:is>
      </x:c>
    </x:row>
    <x:row r="25" ht="44" customHeight="1">
      <x:c r="A25" s="7" t="inlineStr">
        <x:is>
          <x:t xml:space="preserve"/>
        </x:is>
      </x:c>
      <x:c r="B25" s="21" t="inlineStr">
        <x:is>
          <x:t xml:space="preserve"/>
        </x:is>
      </x:c>
      <x:c r="C25" s="21" t="inlineStr">
        <x:is>
          <x:t xml:space="preserve"/>
        </x:is>
      </x:c>
      <x:c r="D25" s="21" t="inlineStr">
        <x:is>
          <x:t xml:space="preserve"/>
        </x:is>
      </x:c>
      <x:c r="E25" s="21" t="inlineStr">
        <x:is>
          <x:t xml:space="preserve"/>
        </x:is>
      </x:c>
      <x:c r="F25" s="21" t="inlineStr">
        <x:is>
          <x:t xml:space="preserve">Medium</x:t>
        </x:is>
      </x:c>
      <x:c r="G25" s="21" t="inlineStr">
        <x:is>
          <x:t xml:space="preserve"/>
        </x:is>
      </x:c>
      <x:c r="H25" s="21" t="inlineStr">
        <x:is>
          <x:t xml:space="preserve">Founder</x:t>
        </x:is>
      </x:c>
      <x:c r="I25" s="21" t="inlineStr">
        <x:is>
          <x:t xml:space="preserve"/>
        </x:is>
      </x:c>
      <x:c r="J25" s="21" t="inlineStr">
        <x:is>
          <x:t xml:space="preserve">Backlog</x:t>
        </x:is>
      </x:c>
      <x:c r="K25" s="21" t="inlineStr">
        <x:is>
          <x:t xml:space="preserve"/>
        </x:is>
      </x:c>
      <x:c r="L25" s="21" t="inlineStr">
        <x:is>
          <x:t xml:space="preserve"/>
        </x:is>
      </x:c>
    </x:row>
    <x:row r="26" ht="44" customHeight="1">
      <x:c r="A26" s="5" t="inlineStr">
        <x:is>
          <x:t xml:space="preserve"/>
        </x:is>
      </x:c>
      <x:c r="B26" s="21" t="inlineStr">
        <x:is>
          <x:t xml:space="preserve"/>
        </x:is>
      </x:c>
      <x:c r="C26" s="21" t="inlineStr">
        <x:is>
          <x:t xml:space="preserve"/>
        </x:is>
      </x:c>
      <x:c r="D26" s="21" t="inlineStr">
        <x:is>
          <x:t xml:space="preserve"/>
        </x:is>
      </x:c>
      <x:c r="E26" s="21" t="inlineStr">
        <x:is>
          <x:t xml:space="preserve"/>
        </x:is>
      </x:c>
      <x:c r="F26" s="21" t="inlineStr">
        <x:is>
          <x:t xml:space="preserve">Medium</x:t>
        </x:is>
      </x:c>
      <x:c r="G26" s="21" t="inlineStr">
        <x:is>
          <x:t xml:space="preserve"/>
        </x:is>
      </x:c>
      <x:c r="H26" s="21" t="inlineStr">
        <x:is>
          <x:t xml:space="preserve">Founder</x:t>
        </x:is>
      </x:c>
      <x:c r="I26" s="21" t="inlineStr">
        <x:is>
          <x:t xml:space="preserve"/>
        </x:is>
      </x:c>
      <x:c r="J26" s="21" t="inlineStr">
        <x:is>
          <x:t xml:space="preserve">Backlog</x:t>
        </x:is>
      </x:c>
      <x:c r="K26" s="21" t="inlineStr">
        <x:is>
          <x:t xml:space="preserve"/>
        </x:is>
      </x:c>
      <x:c r="L26" s="21" t="inlineStr">
        <x:is>
          <x:t xml:space="preserve"/>
        </x:is>
      </x:c>
    </x:row>
    <x:row r="27" ht="44" customHeight="1">
      <x:c r="A27" s="7" t="inlineStr">
        <x:is>
          <x:t xml:space="preserve"/>
        </x:is>
      </x:c>
      <x:c r="B27" s="21" t="inlineStr">
        <x:is>
          <x:t xml:space="preserve"/>
        </x:is>
      </x:c>
      <x:c r="C27" s="21" t="inlineStr">
        <x:is>
          <x:t xml:space="preserve"/>
        </x:is>
      </x:c>
      <x:c r="D27" s="21" t="inlineStr">
        <x:is>
          <x:t xml:space="preserve"/>
        </x:is>
      </x:c>
      <x:c r="E27" s="21" t="inlineStr">
        <x:is>
          <x:t xml:space="preserve"/>
        </x:is>
      </x:c>
      <x:c r="F27" s="21" t="inlineStr">
        <x:is>
          <x:t xml:space="preserve">Medium</x:t>
        </x:is>
      </x:c>
      <x:c r="G27" s="21" t="inlineStr">
        <x:is>
          <x:t xml:space="preserve"/>
        </x:is>
      </x:c>
      <x:c r="H27" s="21" t="inlineStr">
        <x:is>
          <x:t xml:space="preserve">Founder</x:t>
        </x:is>
      </x:c>
      <x:c r="I27" s="21" t="inlineStr">
        <x:is>
          <x:t xml:space="preserve"/>
        </x:is>
      </x:c>
      <x:c r="J27" s="21" t="inlineStr">
        <x:is>
          <x:t xml:space="preserve">Backlog</x:t>
        </x:is>
      </x:c>
      <x:c r="K27" s="21" t="inlineStr">
        <x:is>
          <x:t xml:space="preserve"/>
        </x:is>
      </x:c>
      <x:c r="L27" s="21" t="inlineStr">
        <x:is>
          <x:t xml:space="preserve"/>
        </x:is>
      </x:c>
    </x:row>
    <x:row r="28" ht="44" customHeight="1">
      <x:c r="A28" s="5" t="inlineStr">
        <x:is>
          <x:t xml:space="preserve"/>
        </x:is>
      </x:c>
      <x:c r="B28" s="21" t="inlineStr">
        <x:is>
          <x:t xml:space="preserve"/>
        </x:is>
      </x:c>
      <x:c r="C28" s="21" t="inlineStr">
        <x:is>
          <x:t xml:space="preserve"/>
        </x:is>
      </x:c>
      <x:c r="D28" s="21" t="inlineStr">
        <x:is>
          <x:t xml:space="preserve"/>
        </x:is>
      </x:c>
      <x:c r="E28" s="21" t="inlineStr">
        <x:is>
          <x:t xml:space="preserve"/>
        </x:is>
      </x:c>
      <x:c r="F28" s="21" t="inlineStr">
        <x:is>
          <x:t xml:space="preserve">Medium</x:t>
        </x:is>
      </x:c>
      <x:c r="G28" s="21" t="inlineStr">
        <x:is>
          <x:t xml:space="preserve"/>
        </x:is>
      </x:c>
      <x:c r="H28" s="21" t="inlineStr">
        <x:is>
          <x:t xml:space="preserve">Founder</x:t>
        </x:is>
      </x:c>
      <x:c r="I28" s="21" t="inlineStr">
        <x:is>
          <x:t xml:space="preserve"/>
        </x:is>
      </x:c>
      <x:c r="J28" s="21" t="inlineStr">
        <x:is>
          <x:t xml:space="preserve">Backlog</x:t>
        </x:is>
      </x:c>
      <x:c r="K28" s="21" t="inlineStr">
        <x:is>
          <x:t xml:space="preserve"/>
        </x:is>
      </x:c>
      <x:c r="L28" s="21" t="inlineStr">
        <x:is>
          <x:t xml:space="preserve"/>
        </x:is>
      </x:c>
    </x:row>
    <x:row r="29" ht="44" customHeight="1">
      <x:c r="A29" s="7" t="inlineStr">
        <x:is>
          <x:t xml:space="preserve"/>
        </x:is>
      </x:c>
      <x:c r="B29" s="21" t="inlineStr">
        <x:is>
          <x:t xml:space="preserve"/>
        </x:is>
      </x:c>
      <x:c r="C29" s="21" t="inlineStr">
        <x:is>
          <x:t xml:space="preserve"/>
        </x:is>
      </x:c>
      <x:c r="D29" s="21" t="inlineStr">
        <x:is>
          <x:t xml:space="preserve"/>
        </x:is>
      </x:c>
      <x:c r="E29" s="21" t="inlineStr">
        <x:is>
          <x:t xml:space="preserve"/>
        </x:is>
      </x:c>
      <x:c r="F29" s="21" t="inlineStr">
        <x:is>
          <x:t xml:space="preserve">Medium</x:t>
        </x:is>
      </x:c>
      <x:c r="G29" s="21" t="inlineStr">
        <x:is>
          <x:t xml:space="preserve"/>
        </x:is>
      </x:c>
      <x:c r="H29" s="21" t="inlineStr">
        <x:is>
          <x:t xml:space="preserve">Founder</x:t>
        </x:is>
      </x:c>
      <x:c r="I29" s="21" t="inlineStr">
        <x:is>
          <x:t xml:space="preserve"/>
        </x:is>
      </x:c>
      <x:c r="J29" s="21" t="inlineStr">
        <x:is>
          <x:t xml:space="preserve">Backlog</x:t>
        </x:is>
      </x:c>
      <x:c r="K29" s="21" t="inlineStr">
        <x:is>
          <x:t xml:space="preserve"/>
        </x:is>
      </x:c>
      <x:c r="L29" s="21" t="inlineStr">
        <x:is>
          <x:t xml:space="preserve"/>
        </x:is>
      </x:c>
    </x:row>
    <x:row r="30" ht="44" customHeight="1">
      <x:c r="A30" s="5" t="inlineStr">
        <x:is>
          <x:t xml:space="preserve"/>
        </x:is>
      </x:c>
      <x:c r="B30" s="21" t="inlineStr">
        <x:is>
          <x:t xml:space="preserve"/>
        </x:is>
      </x:c>
      <x:c r="C30" s="21" t="inlineStr">
        <x:is>
          <x:t xml:space="preserve"/>
        </x:is>
      </x:c>
      <x:c r="D30" s="21" t="inlineStr">
        <x:is>
          <x:t xml:space="preserve"/>
        </x:is>
      </x:c>
      <x:c r="E30" s="21" t="inlineStr">
        <x:is>
          <x:t xml:space="preserve"/>
        </x:is>
      </x:c>
      <x:c r="F30" s="21" t="inlineStr">
        <x:is>
          <x:t xml:space="preserve">Medium</x:t>
        </x:is>
      </x:c>
      <x:c r="G30" s="21" t="inlineStr">
        <x:is>
          <x:t xml:space="preserve"/>
        </x:is>
      </x:c>
      <x:c r="H30" s="21" t="inlineStr">
        <x:is>
          <x:t xml:space="preserve">Founder</x:t>
        </x:is>
      </x:c>
      <x:c r="I30" s="21" t="inlineStr">
        <x:is>
          <x:t xml:space="preserve"/>
        </x:is>
      </x:c>
      <x:c r="J30" s="21" t="inlineStr">
        <x:is>
          <x:t xml:space="preserve">Backlog</x:t>
        </x:is>
      </x:c>
      <x:c r="K30" s="21" t="inlineStr">
        <x:is>
          <x:t xml:space="preserve"/>
        </x:is>
      </x:c>
      <x:c r="L30" s="21" t="inlineStr">
        <x:is>
          <x:t xml:space="preserve"/>
        </x:is>
      </x:c>
    </x:row>
    <x:row r="31" ht="44" customHeight="1">
      <x:c r="A31" s="7" t="inlineStr">
        <x:is>
          <x:t xml:space="preserve"/>
        </x:is>
      </x:c>
      <x:c r="B31" s="21" t="inlineStr">
        <x:is>
          <x:t xml:space="preserve"/>
        </x:is>
      </x:c>
      <x:c r="C31" s="21" t="inlineStr">
        <x:is>
          <x:t xml:space="preserve"/>
        </x:is>
      </x:c>
      <x:c r="D31" s="21" t="inlineStr">
        <x:is>
          <x:t xml:space="preserve"/>
        </x:is>
      </x:c>
      <x:c r="E31" s="21" t="inlineStr">
        <x:is>
          <x:t xml:space="preserve"/>
        </x:is>
      </x:c>
      <x:c r="F31" s="21" t="inlineStr">
        <x:is>
          <x:t xml:space="preserve">Medium</x:t>
        </x:is>
      </x:c>
      <x:c r="G31" s="21" t="inlineStr">
        <x:is>
          <x:t xml:space="preserve"/>
        </x:is>
      </x:c>
      <x:c r="H31" s="21" t="inlineStr">
        <x:is>
          <x:t xml:space="preserve">Founder</x:t>
        </x:is>
      </x:c>
      <x:c r="I31" s="21" t="inlineStr">
        <x:is>
          <x:t xml:space="preserve"/>
        </x:is>
      </x:c>
      <x:c r="J31" s="21" t="inlineStr">
        <x:is>
          <x:t xml:space="preserve">Backlog</x:t>
        </x:is>
      </x:c>
      <x:c r="K31" s="21" t="inlineStr">
        <x:is>
          <x:t xml:space="preserve"/>
        </x:is>
      </x:c>
      <x:c r="L31" s="21" t="inlineStr">
        <x:is>
          <x:t xml:space="preserve"/>
        </x:is>
      </x:c>
    </x:row>
    <x:row r="32" ht="44" customHeight="1">
      <x:c r="A32" s="5" t="inlineStr">
        <x:is>
          <x:t xml:space="preserve"/>
        </x:is>
      </x:c>
      <x:c r="B32" s="21" t="inlineStr">
        <x:is>
          <x:t xml:space="preserve"/>
        </x:is>
      </x:c>
      <x:c r="C32" s="21" t="inlineStr">
        <x:is>
          <x:t xml:space="preserve"/>
        </x:is>
      </x:c>
      <x:c r="D32" s="21" t="inlineStr">
        <x:is>
          <x:t xml:space="preserve"/>
        </x:is>
      </x:c>
      <x:c r="E32" s="21" t="inlineStr">
        <x:is>
          <x:t xml:space="preserve"/>
        </x:is>
      </x:c>
      <x:c r="F32" s="21" t="inlineStr">
        <x:is>
          <x:t xml:space="preserve">Medium</x:t>
        </x:is>
      </x:c>
      <x:c r="G32" s="21" t="inlineStr">
        <x:is>
          <x:t xml:space="preserve"/>
        </x:is>
      </x:c>
      <x:c r="H32" s="21" t="inlineStr">
        <x:is>
          <x:t xml:space="preserve">Founder</x:t>
        </x:is>
      </x:c>
      <x:c r="I32" s="21" t="inlineStr">
        <x:is>
          <x:t xml:space="preserve"/>
        </x:is>
      </x:c>
      <x:c r="J32" s="21" t="inlineStr">
        <x:is>
          <x:t xml:space="preserve">Backlog</x:t>
        </x:is>
      </x:c>
      <x:c r="K32" s="21" t="inlineStr">
        <x:is>
          <x:t xml:space="preserve"/>
        </x:is>
      </x:c>
      <x:c r="L32" s="21" t="inlineStr">
        <x:is>
          <x:t xml:space="preserve"/>
        </x:is>
      </x:c>
    </x:row>
    <x:row r="33" ht="44" customHeight="1">
      <x:c r="A33" s="7" t="inlineStr">
        <x:is>
          <x:t xml:space="preserve"/>
        </x:is>
      </x:c>
      <x:c r="B33" s="21" t="inlineStr">
        <x:is>
          <x:t xml:space="preserve"/>
        </x:is>
      </x:c>
      <x:c r="C33" s="21" t="inlineStr">
        <x:is>
          <x:t xml:space="preserve"/>
        </x:is>
      </x:c>
      <x:c r="D33" s="21" t="inlineStr">
        <x:is>
          <x:t xml:space="preserve"/>
        </x:is>
      </x:c>
      <x:c r="E33" s="21" t="inlineStr">
        <x:is>
          <x:t xml:space="preserve"/>
        </x:is>
      </x:c>
      <x:c r="F33" s="21" t="inlineStr">
        <x:is>
          <x:t xml:space="preserve">Medium</x:t>
        </x:is>
      </x:c>
      <x:c r="G33" s="21" t="inlineStr">
        <x:is>
          <x:t xml:space="preserve"/>
        </x:is>
      </x:c>
      <x:c r="H33" s="21" t="inlineStr">
        <x:is>
          <x:t xml:space="preserve">Founder</x:t>
        </x:is>
      </x:c>
      <x:c r="I33" s="21" t="inlineStr">
        <x:is>
          <x:t xml:space="preserve"/>
        </x:is>
      </x:c>
      <x:c r="J33" s="21" t="inlineStr">
        <x:is>
          <x:t xml:space="preserve">Backlog</x:t>
        </x:is>
      </x:c>
      <x:c r="K33" s="21" t="inlineStr">
        <x:is>
          <x:t xml:space="preserve"/>
        </x:is>
      </x:c>
      <x:c r="L33" s="21" t="inlineStr">
        <x:is>
          <x:t xml:space="preserve"/>
        </x:is>
      </x:c>
    </x:row>
    <x:row r="34" ht="44" customHeight="1">
      <x:c r="A34" s="5" t="inlineStr">
        <x:is>
          <x:t xml:space="preserve"/>
        </x:is>
      </x:c>
      <x:c r="B34" s="21" t="inlineStr">
        <x:is>
          <x:t xml:space="preserve"/>
        </x:is>
      </x:c>
      <x:c r="C34" s="21" t="inlineStr">
        <x:is>
          <x:t xml:space="preserve"/>
        </x:is>
      </x:c>
      <x:c r="D34" s="21" t="inlineStr">
        <x:is>
          <x:t xml:space="preserve"/>
        </x:is>
      </x:c>
      <x:c r="E34" s="21" t="inlineStr">
        <x:is>
          <x:t xml:space="preserve"/>
        </x:is>
      </x:c>
      <x:c r="F34" s="21" t="inlineStr">
        <x:is>
          <x:t xml:space="preserve">Medium</x:t>
        </x:is>
      </x:c>
      <x:c r="G34" s="21" t="inlineStr">
        <x:is>
          <x:t xml:space="preserve"/>
        </x:is>
      </x:c>
      <x:c r="H34" s="21" t="inlineStr">
        <x:is>
          <x:t xml:space="preserve">Founder</x:t>
        </x:is>
      </x:c>
      <x:c r="I34" s="21" t="inlineStr">
        <x:is>
          <x:t xml:space="preserve"/>
        </x:is>
      </x:c>
      <x:c r="J34" s="21" t="inlineStr">
        <x:is>
          <x:t xml:space="preserve">Backlog</x:t>
        </x:is>
      </x:c>
      <x:c r="K34" s="21" t="inlineStr">
        <x:is>
          <x:t xml:space="preserve"/>
        </x:is>
      </x:c>
      <x:c r="L34" s="21" t="inlineStr">
        <x:is>
          <x:t xml:space="preserve"/>
        </x:is>
      </x:c>
    </x:row>
    <x:row r="35"/>
    <x:row r="36"/>
    <x:row r="37"/>
    <x:row r="38" ht="24" customHeight="1">
      <x:c r="A38" s="11" t="inlineStr">
        <x:is>
          <x:t xml:space="preserve">Moat checklist</x:t>
        </x:is>
      </x:c>
      <x:c r="B38" s="11" t="n"/>
      <x:c r="C38" s="11" t="n"/>
      <x:c r="D38" s="11" t="n"/>
      <x:c r="E38" s="11" t="n"/>
      <x:c r="F38" s="11" t="n"/>
      <x:c r="G38" s="11" t="n"/>
      <x:c r="H38" s="11" t="n"/>
      <x:c r="I38" s="11" t="n"/>
      <x:c r="J38" s="11" t="n"/>
      <x:c r="K38" s="11" t="n"/>
      <x:c r="L38" s="11" t="n"/>
    </x:row>
    <x:row r="39" ht="32" customHeight="1">
      <x:c r="A39" s="9" t="inlineStr">
        <x:is>
          <x:t xml:space="preserve">Moat</x:t>
        </x:is>
      </x:c>
      <x:c r="B39" s="9" t="inlineStr">
        <x:is>
          <x:t xml:space="preserve">Question</x:t>
        </x:is>
      </x:c>
    </x:row>
    <x:row r="40">
      <x:c r="A40" s="5" t="inlineStr">
        <x:is>
          <x:t xml:space="preserve">Verified Kenya data</x:t>
        </x:is>
      </x:c>
      <x:c r="B40" s="5" t="inlineStr">
        <x:is>
          <x:t xml:space="preserve">Can users trust what is shown and know the confidence level?</x:t>
        </x:is>
      </x:c>
    </x:row>
    <x:row r="41">
      <x:c r="A41" s="7" t="inlineStr">
        <x:is>
          <x:t xml:space="preserve">Community reports</x:t>
        </x:is>
      </x:c>
      <x:c r="B41" s="7" t="inlineStr">
        <x:is>
          <x:t xml:space="preserve">Can users help improve coverage in a structured, safe way?</x:t>
        </x:is>
      </x:c>
    </x:row>
    <x:row r="42">
      <x:c r="A42" s="5" t="inlineStr">
        <x:is>
          <x:t xml:space="preserve">Partnerships</x:t>
        </x:is>
      </x:c>
      <x:c r="B42" s="5" t="inlineStr">
        <x:is>
          <x:t xml:space="preserve">Are driving schools/fleets/garages/insurance voices involved?</x:t>
        </x:is>
      </x:c>
    </x:row>
    <x:row r="43">
      <x:c r="A43" s="7" t="inlineStr">
        <x:is>
          <x:t xml:space="preserve">Founder trust</x:t>
        </x:is>
      </x:c>
      <x:c r="B43" s="7" t="inlineStr">
        <x:is>
          <x:t xml:space="preserve">Do people know the human story and safety mission?</x:t>
        </x:is>
      </x:c>
    </x:row>
    <x:row r="44">
      <x:c r="A44" s="5" t="inlineStr">
        <x:is>
          <x:t xml:space="preserve">Operating discipline</x:t>
        </x:is>
      </x:c>
      <x:c r="B44" s="5" t="inlineStr">
        <x:is>
          <x:t xml:space="preserve">Are you moving weekly without wasting cash?</x:t>
        </x:is>
      </x:c>
    </x:row>
  </x:sheetData>
  <x:dataValidations count="2">
    <x:dataValidation type="list" allowBlank="1" showDropDown="0" showInputMessage="0" showErrorMessage="0" sqref="F5:F34">
      <x:formula1>"Low,Medium,High"</x:formula1>
    </x:dataValidation>
    <x:dataValidation type="list" allowBlank="1" showDropDown="0" showInputMessage="0" showErrorMessage="0" sqref="J5:J34">
      <x:formula1>=Lists!$A$5:$A$10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2c5c4ae9d14e61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30" customHeight="1">
      <x:c r="A1" s="26" t="inlineStr">
        <x:is>
          <x:t xml:space="preserve">MSAFIRI CONTENT OPERATING GUIDE — LIVE APP</x:t>
        </x:is>
      </x:c>
    </x:row>
    <x:row r="2" ht="34" customHeight="1">
      <x:c r="A2" s="27" t="inlineStr">
        <x:is>
          <x:t xml:space="preserve">The content system is now part of the Founder OS. Its job is to acquire the right users, improve trust and explain paid value without exhausting a solo founder.</x:t>
        </x:is>
      </x:c>
    </x:row>
    <x:row r="3"/>
    <x:row r="4" ht="38" customHeight="1">
      <x:c r="A4" s="33" t="inlineStr">
        <x:is>
          <x:t xml:space="preserve">Operating Question</x:t>
        </x:is>
      </x:c>
      <x:c r="B4" s="33" t="inlineStr">
        <x:is>
          <x:t xml:space="preserve">Decision / Rule</x:t>
        </x:is>
      </x:c>
    </x:row>
    <x:row r="5" ht="32" customHeight="1">
      <x:c r="A5" s="31" t="inlineStr">
        <x:is>
          <x:t xml:space="preserve">Current stage</x:t>
        </x:is>
      </x:c>
      <x:c r="B5" s="31" t="inlineStr">
        <x:is>
          <x:t xml:space="preserve">The app is live on Android and iOS, downloads have started, and some users are already paying. Content is not a “coming soon” exercise.</x:t>
        </x:is>
      </x:c>
      <x:c r="C5" s="31" t="n"/>
      <x:c r="D5" s="31" t="n"/>
      <x:c r="E5" s="31" t="n"/>
      <x:c r="F5" s="31" t="n"/>
      <x:c r="G5" s="31" t="n"/>
      <x:c r="H5" s="31" t="n"/>
    </x:row>
    <x:row r="6" ht="32" customHeight="1">
      <x:c r="A6" s="30" t="inlineStr">
        <x:is>
          <x:t xml:space="preserve">Primary objective</x:t>
        </x:is>
      </x:c>
      <x:c r="B6" s="30" t="inlineStr">
        <x:is>
          <x:t xml:space="preserve">Turn road relevance and product proof into store visits, installs, paid subscriptions, retained use and trusted community feedback.</x:t>
        </x:is>
      </x:c>
      <x:c r="C6" s="30" t="n"/>
      <x:c r="D6" s="30" t="n"/>
      <x:c r="E6" s="30" t="n"/>
      <x:c r="F6" s="30" t="n"/>
      <x:c r="G6" s="30" t="n"/>
      <x:c r="H6" s="30" t="n"/>
    </x:row>
    <x:row r="7" ht="32" customHeight="1">
      <x:c r="A7" s="31" t="inlineStr">
        <x:is>
          <x:t xml:space="preserve">Active channels</x:t>
        </x:is>
      </x:c>
      <x:c r="B7" s="31" t="inlineStr">
        <x:is>
          <x:t xml:space="preserve">TikTok and Instagram first. Repurpose the same vertical assets. Other channels are optional archives, not weekly obligations.</x:t>
        </x:is>
      </x:c>
      <x:c r="C7" s="31" t="n"/>
      <x:c r="D7" s="31" t="n"/>
      <x:c r="E7" s="31" t="n"/>
      <x:c r="F7" s="31" t="n"/>
      <x:c r="G7" s="31" t="n"/>
      <x:c r="H7" s="31" t="n"/>
    </x:row>
    <x:row r="8" ht="32" customHeight="1">
      <x:c r="A8" s="30" t="inlineStr">
        <x:is>
          <x:t xml:space="preserve">Core cadence</x:t>
        </x:is>
      </x:c>
      <x:c r="B8" s="30" t="inlineStr">
        <x:is>
          <x:t xml:space="preserve">Four core posts per week: Monday, Tuesday, Thursday and Saturday. Wednesday, Friday and Sunday are optional/repurpose/backlog.</x:t>
        </x:is>
      </x:c>
      <x:c r="C8" s="30" t="n"/>
      <x:c r="D8" s="30" t="n"/>
      <x:c r="E8" s="30" t="n"/>
      <x:c r="F8" s="30" t="n"/>
      <x:c r="G8" s="30" t="n"/>
      <x:c r="H8" s="30" t="n"/>
    </x:row>
    <x:row r="9" ht="32" customHeight="1">
      <x:c r="A9" s="31" t="inlineStr">
        <x:is>
          <x:t xml:space="preserve">Core content mix</x:t>
        </x:is>
      </x:c>
      <x:c r="B9" s="31" t="inlineStr">
        <x:is>
          <x:t xml:space="preserve">1 road/field proof, 1 product/paid-value demo, 1 founder/education piece, 1 community/conversion piece.</x:t>
        </x:is>
      </x:c>
      <x:c r="C9" s="31" t="n"/>
      <x:c r="D9" s="31" t="n"/>
      <x:c r="E9" s="31" t="n"/>
      <x:c r="F9" s="31" t="n"/>
      <x:c r="G9" s="31" t="n"/>
      <x:c r="H9" s="31" t="n"/>
    </x:row>
    <x:row r="10" ht="32" customHeight="1">
      <x:c r="A10" s="30" t="inlineStr">
        <x:is>
          <x:t xml:space="preserve">Field-content rule</x:t>
        </x:is>
      </x:c>
      <x:c r="B10" s="30" t="inlineStr">
        <x:is>
          <x:t xml:space="preserve">A fuel-funded trip should capture road evidence, app testing, multiple short clips, stills and a clear learning. Link it with a Field Trip ID.</x:t>
        </x:is>
      </x:c>
      <x:c r="C10" s="30" t="n"/>
      <x:c r="D10" s="30" t="n"/>
      <x:c r="E10" s="30" t="n"/>
      <x:c r="F10" s="30" t="n"/>
      <x:c r="G10" s="30" t="n"/>
      <x:c r="H10" s="30" t="n"/>
    </x:row>
    <x:row r="11" ht="32" customHeight="1">
      <x:c r="A11" s="31" t="inlineStr">
        <x:is>
          <x:t xml:space="preserve">Founder role</x:t>
        </x:is>
      </x:c>
      <x:c r="B11" s="31" t="inlineStr">
        <x:is>
          <x:t xml:space="preserve">Founder appears weekly. The brand should feel accountable, local and built from real Kenyan driving experience.</x:t>
        </x:is>
      </x:c>
      <x:c r="C11" s="31" t="n"/>
      <x:c r="D11" s="31" t="n"/>
      <x:c r="E11" s="31" t="n"/>
      <x:c r="F11" s="31" t="n"/>
      <x:c r="G11" s="31" t="n"/>
      <x:c r="H11" s="31" t="n"/>
    </x:row>
    <x:row r="12" ht="32" customHeight="1">
      <x:c r="A12" s="30" t="inlineStr">
        <x:is>
          <x:t xml:space="preserve">Conversion rule</x:t>
        </x:is>
      </x:c>
      <x:c r="B12" s="30" t="inlineStr">
        <x:is>
          <x:t xml:space="preserve">Explain why a user would pay, what the app does, what it does not promise, and how to try/cancel responsibly. Do not make every post an ad.</x:t>
        </x:is>
      </x:c>
      <x:c r="C12" s="30" t="n"/>
      <x:c r="D12" s="30" t="n"/>
      <x:c r="E12" s="30" t="n"/>
      <x:c r="F12" s="30" t="n"/>
      <x:c r="G12" s="30" t="n"/>
      <x:c r="H12" s="30" t="n"/>
    </x:row>
    <x:row r="13" ht="32" customHeight="1">
      <x:c r="A13" s="31" t="inlineStr">
        <x:is>
          <x:t xml:space="preserve">Experiment rule</x:t>
        </x:is>
      </x:c>
      <x:c r="B13" s="31" t="inlineStr">
        <x:is>
          <x:t xml:space="preserve">Test one variable at a time: hook, opening visual, proof format, CTA, length, founder vs voiceover, route-specific vs generic.</x:t>
        </x:is>
      </x:c>
      <x:c r="C13" s="31" t="n"/>
      <x:c r="D13" s="31" t="n"/>
      <x:c r="E13" s="31" t="n"/>
      <x:c r="F13" s="31" t="n"/>
      <x:c r="G13" s="31" t="n"/>
      <x:c r="H13" s="31" t="n"/>
    </x:row>
    <x:row r="14" ht="32" customHeight="1">
      <x:c r="A14" s="30" t="inlineStr">
        <x:is>
          <x:t xml:space="preserve">Measurement</x:t>
        </x:is>
      </x:c>
      <x:c r="B14" s="30" t="inlineStr">
        <x:is>
          <x:t xml:space="preserve">Judge by retention of attention, saves, shares, useful comments, store clicks, installs, paid subscriptions and attributed revenue—not views alone.</x:t>
        </x:is>
      </x:c>
      <x:c r="C14" s="30" t="n"/>
      <x:c r="D14" s="30" t="n"/>
      <x:c r="E14" s="30" t="n"/>
      <x:c r="F14" s="30" t="n"/>
      <x:c r="G14" s="30" t="n"/>
      <x:c r="H14" s="30" t="n"/>
    </x:row>
    <x:row r="15" ht="32" customHeight="1">
      <x:c r="A15" s="31" t="inlineStr">
        <x:is>
          <x:t xml:space="preserve">Safety guardrail</x:t>
        </x:is>
      </x:c>
      <x:c r="B15" s="31" t="inlineStr">
        <x:is>
          <x:t xml:space="preserve">Never frame Msafiri as helping users evade law enforcement. Do not publish live checkpoint/police locations; verify road/camera claims and use compliance-first language.</x:t>
        </x:is>
      </x:c>
      <x:c r="C15" s="31" t="n"/>
      <x:c r="D15" s="31" t="n"/>
      <x:c r="E15" s="31" t="n"/>
      <x:c r="F15" s="31" t="n"/>
      <x:c r="G15" s="31" t="n"/>
      <x:c r="H15" s="31" t="n"/>
    </x:row>
    <x:row r="16" ht="32" customHeight="1">
      <x:c r="A16" s="30" t="inlineStr">
        <x:is>
          <x:t xml:space="preserve">Solo-founder guardrail</x:t>
        </x:is>
      </x:c>
      <x:c r="B16" s="30" t="inlineStr">
        <x:is>
          <x:t xml:space="preserve">Product reliability, paying-user support and subscription reconciliation take priority over optional content. Four strong posts beat seven rushed posts.</x:t>
        </x:is>
      </x:c>
      <x:c r="C16" s="30" t="n"/>
      <x:c r="D16" s="30" t="n"/>
      <x:c r="E16" s="30" t="n"/>
      <x:c r="F16" s="30" t="n"/>
      <x:c r="G16" s="30" t="n"/>
      <x:c r="H16" s="30" t="n"/>
    </x:row>
    <x:row r="17" ht="32" customHeight="1">
      <x:c r="A17" s="31" t="inlineStr">
        <x:is>
          <x:t xml:space="preserve">Google Sheets use</x:t>
        </x:is>
      </x:c>
      <x:c r="B17" s="31" t="inlineStr">
        <x:is>
          <x:t xml:space="preserve">Open this XLSX in Google Sheets, preserve sheet names, update blue inputs/statuses, and complete the weekly review every Friday.</x:t>
        </x:is>
      </x:c>
      <x:c r="C17" s="31" t="n"/>
      <x:c r="D17" s="31" t="n"/>
      <x:c r="E17" s="31" t="n"/>
      <x:c r="F17" s="31" t="n"/>
      <x:c r="G17" s="31" t="n"/>
      <x:c r="H17" s="31" t="n"/>
    </x:row>
  </x:sheetData>
  <x:mergeCells>
    <x:mergeCell ref="B8:H8"/>
    <x:mergeCell ref="B14:H14"/>
    <x:mergeCell ref="B17:H17"/>
    <x:mergeCell ref="B9:H9"/>
    <x:mergeCell ref="B13:H13"/>
    <x:mergeCell ref="A2:H2"/>
    <x:mergeCell ref="B12:H12"/>
    <x:mergeCell ref="B6:H6"/>
    <x:mergeCell ref="B16:H16"/>
    <x:mergeCell ref="B15:H15"/>
    <x:mergeCell ref="B7:H7"/>
    <x:mergeCell ref="A1:H1"/>
    <x:mergeCell ref="B10:H10"/>
    <x:mergeCell ref="B11:H11"/>
    <x:mergeCell ref="B5:H5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5" customWidth="1"/>
    <x:col min="3" max="3" width="12" customWidth="1"/>
    <x:col min="4" max="4" width="12" customWidth="1"/>
    <x:col min="5" max="5" width="24" customWidth="1"/>
    <x:col min="6" max="6" width="15" customWidth="1"/>
    <x:col min="7" max="7" width="28" customWidth="1"/>
    <x:col min="8" max="8" width="13" customWidth="1"/>
    <x:col min="9" max="9" width="12" customWidth="1"/>
    <x:col min="10" max="10" width="18" customWidth="1"/>
    <x:col min="11" max="11" width="13" customWidth="1"/>
    <x:col min="12" max="12" width="18" customWidth="1"/>
  </x:cols>
  <x:sheetData>
    <x:row r="1" ht="30" customHeight="1">
      <x:c r="A1" s="26" t="inlineStr">
        <x:is>
          <x:t xml:space="preserve">CONTENT DASHBOARD — SOLO FOUNDER</x:t>
        </x:is>
      </x:c>
    </x:row>
    <x:row r="2" ht="34" customHeight="1">
      <x:c r="A2" s="27" t="inlineStr">
        <x:is>
          <x:t xml:space="preserve">Four core posts per week are the commitment; the full calendar and idea bank remain a library. Track installs, paid subscriptions and attributed revenue where evidence is credible.</x:t>
        </x:is>
      </x:c>
    </x:row>
    <x:row r="3"/>
    <x:row r="4" ht="23" customHeight="1">
      <x:c r="A4" s="34" t="inlineStr">
        <x:is>
          <x:t xml:space="preserve">Execution</x:t>
        </x:is>
      </x:c>
      <x:c r="E4" s="32" t="inlineStr">
        <x:is>
          <x:t xml:space="preserve">Business outcomes</x:t>
        </x:is>
      </x:c>
      <x:c r="I4" s="35" t="inlineStr">
        <x:is>
          <x:t xml:space="preserve">Founder efficiency</x:t>
        </x:is>
      </x:c>
    </x:row>
    <x:row r="5">
      <x:c r="A5" s="36" t="inlineStr">
        <x:is>
          <x:t xml:space="preserve">Core commitments</x:t>
        </x:is>
      </x:c>
      <x:c r="B5" s="101" t="n">
        <x:f>COUNTIF('Phase 1 Calendar'!$AF$5:$AF$300,"Core")</x:f>
        <x:v>79</x:v>
      </x:c>
      <x:c r="E5" s="36" t="inlineStr">
        <x:is>
          <x:t xml:space="preserve">App store clicks</x:t>
        </x:is>
      </x:c>
      <x:c r="F5" s="38" t="n">
        <x:f>SUM('Phase 1 Calendar'!$AC$5:$AC$300)</x:f>
        <x:v>0</x:v>
      </x:c>
      <x:c r="I5" s="36" t="inlineStr">
        <x:is>
          <x:t xml:space="preserve">Founder minutes planned</x:t>
        </x:is>
      </x:c>
      <x:c r="J5" s="102" t="n">
        <x:f>SUMIFS('Phase 1 Calendar'!$AH$5:$AH$300,'Phase 1 Calendar'!$AF$5:$AF$300,"Core")</x:f>
        <x:v>4440</x:v>
      </x:c>
    </x:row>
    <x:row r="6">
      <x:c r="A6" s="36" t="inlineStr">
        <x:is>
          <x:t xml:space="preserve">Optional library</x:t>
        </x:is>
      </x:c>
      <x:c r="B6" s="101" t="n">
        <x:f>COUNTIF('Phase 1 Calendar'!$AF$5:$AF$300,"Optional")</x:f>
        <x:v>58</x:v>
      </x:c>
      <x:c r="E6" s="36" t="inlineStr">
        <x:is>
          <x:t xml:space="preserve">Installs attributed</x:t>
        </x:is>
      </x:c>
      <x:c r="F6" s="38" t="n">
        <x:f>SUM('Phase 1 Calendar'!$AD$5:$AD$300)</x:f>
        <x:v>0</x:v>
      </x:c>
      <x:c r="I6" s="36" t="inlineStr">
        <x:is>
          <x:t xml:space="preserve">Direct content cost</x:t>
        </x:is>
      </x:c>
      <x:c r="J6" s="103" t="n">
        <x:f>SUM('Phase 1 Calendar'!$AI$5:$AI$300)</x:f>
        <x:v>0</x:v>
      </x:c>
    </x:row>
    <x:row r="7">
      <x:c r="A7" s="36" t="inlineStr">
        <x:is>
          <x:t xml:space="preserve">Core posted</x:t>
        </x:is>
      </x:c>
      <x:c r="B7" s="101" t="n">
        <x:f>COUNTIFS('Phase 1 Calendar'!$AF$5:$AF$300,"Core",'Phase 1 Calendar'!$W$5:$W$300,"Posted")</x:f>
        <x:v>0</x:v>
      </x:c>
      <x:c r="E7" s="36" t="inlineStr">
        <x:is>
          <x:t xml:space="preserve">Paid subs attributed</x:t>
        </x:is>
      </x:c>
      <x:c r="F7" s="38" t="n">
        <x:f>SUM('Phase 1 Calendar'!$AK$5:$AK$300)</x:f>
        <x:v>0</x:v>
      </x:c>
      <x:c r="I7" s="36" t="inlineStr">
        <x:is>
          <x:t xml:space="preserve">Cost / attributed paid</x:t>
        </x:is>
      </x:c>
      <x:c r="J7" s="103" t="n">
        <x:f>IF(F7=0,0,J6/F7)</x:f>
        <x:v>0</x:v>
      </x:c>
    </x:row>
    <x:row r="8">
      <x:c r="A8" s="36" t="inlineStr">
        <x:is>
          <x:t xml:space="preserve">Core completion</x:t>
        </x:is>
      </x:c>
      <x:c r="B8" s="104" t="n">
        <x:f>IF(B5=0,0,B7/B5)</x:f>
        <x:v>0</x:v>
      </x:c>
      <x:c r="E8" s="36" t="inlineStr">
        <x:is>
          <x:t xml:space="preserve">Net revenue attributed</x:t>
        </x:is>
      </x:c>
      <x:c r="F8" s="41" t="n">
        <x:f>SUM('Phase 1 Calendar'!$AL$5:$AL$300)</x:f>
        <x:v>0</x:v>
      </x:c>
      <x:c r="I8" s="36" t="inlineStr">
        <x:is>
          <x:t xml:space="preserve">Field-linked posts</x:t>
        </x:is>
      </x:c>
      <x:c r="J8" s="102" t="n">
        <x:f>COUNTIF('Phase 1 Calendar'!$AJ$5:$AJ$300,"&lt;&gt;")</x:f>
        <x:v>0</x:v>
      </x:c>
    </x:row>
    <x:row r="9">
      <x:c r="A9" s="36" t="inlineStr">
        <x:is>
          <x:t xml:space="preserve">Idea bank items</x:t>
        </x:is>
      </x:c>
      <x:c r="B9" s="101" t="n">
        <x:f>COUNTA('Content Idea Bank'!$A$5:$A$1000)</x:f>
        <x:v>252</x:v>
      </x:c>
      <x:c r="E9" s="36" t="inlineStr">
        <x:is>
          <x:t xml:space="preserve">Content paid conversion</x:t>
        </x:is>
      </x:c>
      <x:c r="F9" s="42" t="n">
        <x:f>IF(F6=0,0,F7/F6)</x:f>
        <x:v>0</x:v>
      </x:c>
      <x:c r="I9" s="36" t="inlineStr">
        <x:is>
          <x:t xml:space="preserve">Core posts / week</x:t>
        </x:is>
      </x:c>
      <x:c r="J9" s="102" t="n">
        <x:f>Assumptions!$B$49</x:f>
        <x:v>4</x:v>
      </x:c>
    </x:row>
    <x:row r="10">
      <x:c r="A10" s="36" t="inlineStr">
        <x:is>
          <x:t xml:space="preserve">Selected week core</x:t>
        </x:is>
      </x:c>
      <x:c r="B10" s="101" t="n">
        <x:f>COUNTIFS('Phase 1 Calendar'!$D$5:$D$300,Assumptions!$B$8,'Phase 1 Calendar'!$AF$5:$AF$300,"Core")</x:f>
        <x:v>4</x:v>
      </x:c>
      <x:c r="E10" s="36" t="inlineStr">
        <x:is>
          <x:t xml:space="preserve">Shares</x:t>
        </x:is>
      </x:c>
      <x:c r="F10" s="38" t="n">
        <x:f>SUM('Phase 1 Calendar'!$AA$5:$AA$300)</x:f>
        <x:v>0</x:v>
      </x:c>
      <x:c r="I10" s="36" t="inlineStr">
        <x:is>
          <x:t xml:space="preserve">Active channels</x:t>
        </x:is>
      </x:c>
      <x:c r="J10" s="102" t="inlineStr">
        <x:is>
          <x:t xml:space="preserve">2</x:t>
        </x:is>
      </x:c>
    </x:row>
    <x:row r="11">
      <x:c r="A11" s="36" t="inlineStr">
        <x:is>
          <x:t xml:space="preserve">Selected week posted</x:t>
        </x:is>
      </x:c>
      <x:c r="B11" s="101" t="n">
        <x:f>COUNTIFS('Phase 1 Calendar'!$D$5:$D$300,Assumptions!$B$8,'Phase 1 Calendar'!$AF$5:$AF$300,"Core",'Phase 1 Calendar'!$W$5:$W$300,"Posted")</x:f>
        <x:v>0</x:v>
      </x:c>
      <x:c r="E11" s="36" t="inlineStr">
        <x:is>
          <x:t xml:space="preserve">Comments</x:t>
        </x:is>
      </x:c>
      <x:c r="F11" s="38" t="n">
        <x:f>SUM('Phase 1 Calendar'!$AB$5:$AB$300)</x:f>
        <x:v>0</x:v>
      </x:c>
      <x:c r="I11" s="36" t="inlineStr">
        <x:is>
          <x:t xml:space="preserve">Rule</x:t>
        </x:is>
      </x:c>
      <x:c r="J11" s="105" t="inlineStr">
        <x:is>
          <x:t xml:space="preserve">Repurpose only after core work</x:t>
        </x:is>
      </x:c>
    </x:row>
    <x:row r="12"/>
    <x:row r="13"/>
    <x:row r="14" ht="23" customHeight="1">
      <x:c r="A14" s="28" t="inlineStr">
        <x:is>
          <x:t xml:space="preserve">Status Mix</x:t>
        </x:is>
      </x:c>
      <x:c r="G14" s="32" t="inlineStr">
        <x:is>
          <x:t xml:space="preserve">Pillar Mix</x:t>
        </x:is>
      </x:c>
    </x:row>
    <x:row r="15" ht="38" customHeight="1">
      <x:c r="A15" s="29" t="inlineStr">
        <x:is>
          <x:t xml:space="preserve">Status</x:t>
        </x:is>
      </x:c>
      <x:c r="B15" s="29" t="inlineStr">
        <x:is>
          <x:t xml:space="preserve">Count</x:t>
        </x:is>
      </x:c>
      <x:c r="G15" s="29" t="inlineStr">
        <x:is>
          <x:t xml:space="preserve">Pillar</x:t>
        </x:is>
      </x:c>
      <x:c r="H15" s="29" t="inlineStr">
        <x:is>
          <x:t xml:space="preserve">Count</x:t>
        </x:is>
      </x:c>
      <x:c r="I15" s="29" t="inlineStr">
        <x:is>
          <x:t xml:space="preserve">Share</x:t>
        </x:is>
      </x:c>
    </x:row>
    <x:row r="16">
      <x:c r="A16" s="30" t="inlineStr">
        <x:is>
          <x:t xml:space="preserve">Backlog</x:t>
        </x:is>
      </x:c>
      <x:c r="B16" s="30" t="n">
        <x:f>COUNTIF('Phase 1 Calendar'!$W$5:$W$300,A16)</x:f>
        <x:v>58</x:v>
      </x:c>
      <x:c r="C16" s="30" t="n"/>
      <x:c r="D16" s="30" t="n"/>
      <x:c r="E16" s="30" t="n"/>
      <x:c r="F16" s="30" t="n"/>
      <x:c r="G16" s="30" t="inlineStr">
        <x:is>
          <x:t xml:space="preserve">Kenyan Driving Reality</x:t>
        </x:is>
      </x:c>
      <x:c r="H16" s="30" t="n">
        <x:f>COUNTIF('Phase 1 Calendar'!$G$5:$G$300,G16)</x:f>
        <x:v>20</x:v>
      </x:c>
      <x:c r="I16" s="88" t="n">
        <x:f>IFERROR(H16/SUM($H$16:$H$24),0)</x:f>
        <x:v>0.145985401459854</x:v>
      </x:c>
    </x:row>
    <x:row r="17">
      <x:c r="A17" s="31" t="inlineStr">
        <x:is>
          <x:t xml:space="preserve">Draft</x:t>
        </x:is>
      </x:c>
      <x:c r="B17" s="31" t="n">
        <x:f>COUNTIF('Phase 1 Calendar'!$W$5:$W$300,A17)</x:f>
        <x:v>79</x:v>
      </x:c>
      <x:c r="C17" s="31" t="n"/>
      <x:c r="D17" s="31" t="n"/>
      <x:c r="E17" s="31" t="n"/>
      <x:c r="F17" s="31" t="n"/>
      <x:c r="G17" s="31" t="inlineStr">
        <x:is>
          <x:t xml:space="preserve">Road Intelligence</x:t>
        </x:is>
      </x:c>
      <x:c r="H17" s="31" t="n">
        <x:f>COUNTIF('Phase 1 Calendar'!$G$5:$G$300,G17)</x:f>
        <x:v>20</x:v>
      </x:c>
      <x:c r="I17" s="86" t="n">
        <x:f>IFERROR(H17/SUM($H$16:$H$24),0)</x:f>
        <x:v>0.145985401459854</x:v>
      </x:c>
    </x:row>
    <x:row r="18">
      <x:c r="A18" s="30" t="inlineStr">
        <x:is>
          <x:t xml:space="preserve">Scripted</x:t>
        </x:is>
      </x:c>
      <x:c r="B18" s="30" t="n">
        <x:f>COUNTIF('Phase 1 Calendar'!$W$5:$W$300,A18)</x:f>
        <x:v>0</x:v>
      </x:c>
      <x:c r="C18" s="30" t="n"/>
      <x:c r="D18" s="30" t="n"/>
      <x:c r="E18" s="30" t="n"/>
      <x:c r="F18" s="30" t="n"/>
      <x:c r="G18" s="30" t="inlineStr">
        <x:is>
          <x:t xml:space="preserve">Product / Feature Proof</x:t>
        </x:is>
      </x:c>
      <x:c r="H18" s="30" t="n">
        <x:f>COUNTIF('Phase 1 Calendar'!$G$5:$G$300,G18)</x:f>
        <x:v>19</x:v>
      </x:c>
      <x:c r="I18" s="88" t="n">
        <x:f>IFERROR(H18/SUM($H$16:$H$24),0)</x:f>
        <x:v>0.1386861313868613</x:v>
      </x:c>
    </x:row>
    <x:row r="19">
      <x:c r="A19" s="31" t="inlineStr">
        <x:is>
          <x:t xml:space="preserve">Shot</x:t>
        </x:is>
      </x:c>
      <x:c r="B19" s="31" t="n">
        <x:f>COUNTIF('Phase 1 Calendar'!$W$5:$W$300,A19)</x:f>
        <x:v>0</x:v>
      </x:c>
      <x:c r="C19" s="31" t="n"/>
      <x:c r="D19" s="31" t="n"/>
      <x:c r="E19" s="31" t="n"/>
      <x:c r="F19" s="31" t="n"/>
      <x:c r="G19" s="31" t="inlineStr">
        <x:is>
          <x:t xml:space="preserve">Accident Readiness</x:t>
        </x:is>
      </x:c>
      <x:c r="H19" s="31" t="n">
        <x:f>COUNTIF('Phase 1 Calendar'!$G$5:$G$300,G19)</x:f>
        <x:v>0</x:v>
      </x:c>
      <x:c r="I19" s="86" t="n">
        <x:f>IFERROR(H19/SUM($H$16:$H$24),0)</x:f>
        <x:v>0</x:v>
      </x:c>
    </x:row>
    <x:row r="20">
      <x:c r="A20" s="30" t="inlineStr">
        <x:is>
          <x:t xml:space="preserve">Edited</x:t>
        </x:is>
      </x:c>
      <x:c r="B20" s="30" t="n">
        <x:f>COUNTIF('Phase 1 Calendar'!$W$5:$W$300,A20)</x:f>
        <x:v>0</x:v>
      </x:c>
      <x:c r="C20" s="30" t="n"/>
      <x:c r="D20" s="30" t="n"/>
      <x:c r="E20" s="30" t="n"/>
      <x:c r="F20" s="30" t="n"/>
      <x:c r="G20" s="30" t="inlineStr">
        <x:is>
          <x:t xml:space="preserve">Founder / BTS</x:t>
        </x:is>
      </x:c>
      <x:c r="H20" s="30" t="n">
        <x:f>COUNTIF('Phase 1 Calendar'!$G$5:$G$300,G20)</x:f>
        <x:v>18</x:v>
      </x:c>
      <x:c r="I20" s="88" t="n">
        <x:f>IFERROR(H20/SUM($H$16:$H$24),0)</x:f>
        <x:v>0.13138686131386862</x:v>
      </x:c>
    </x:row>
    <x:row r="21">
      <x:c r="A21" s="31" t="inlineStr">
        <x:is>
          <x:t xml:space="preserve">Scheduled</x:t>
        </x:is>
      </x:c>
      <x:c r="B21" s="31" t="n">
        <x:f>COUNTIF('Phase 1 Calendar'!$W$5:$W$300,A21)</x:f>
        <x:v>0</x:v>
      </x:c>
      <x:c r="C21" s="31" t="n"/>
      <x:c r="D21" s="31" t="n"/>
      <x:c r="E21" s="31" t="n"/>
      <x:c r="F21" s="31" t="n"/>
      <x:c r="G21" s="31" t="inlineStr">
        <x:is>
          <x:t xml:space="preserve">Community / UGC</x:t>
        </x:is>
      </x:c>
      <x:c r="H21" s="31" t="n">
        <x:f>COUNTIF('Phase 1 Calendar'!$G$5:$G$300,G21)</x:f>
        <x:v>16</x:v>
      </x:c>
      <x:c r="I21" s="86" t="n">
        <x:f>IFERROR(H21/SUM($H$16:$H$24),0)</x:f>
        <x:v>0.11678832116788321</x:v>
      </x:c>
    </x:row>
    <x:row r="22">
      <x:c r="A22" s="30" t="inlineStr">
        <x:is>
          <x:t xml:space="preserve">Posted</x:t>
        </x:is>
      </x:c>
      <x:c r="B22" s="30" t="n">
        <x:f>COUNTIF('Phase 1 Calendar'!$W$5:$W$300,A22)</x:f>
        <x:v>0</x:v>
      </x:c>
      <x:c r="C22" s="30" t="n"/>
      <x:c r="D22" s="30" t="n"/>
      <x:c r="E22" s="30" t="n"/>
      <x:c r="F22" s="30" t="n"/>
      <x:c r="G22" s="30" t="inlineStr">
        <x:is>
          <x:t xml:space="preserve">Education / Safety</x:t>
        </x:is>
      </x:c>
      <x:c r="H22" s="30" t="n">
        <x:f>COUNTIF('Phase 1 Calendar'!$G$5:$G$300,G22)</x:f>
        <x:v>21</x:v>
      </x:c>
      <x:c r="I22" s="88" t="n">
        <x:f>IFERROR(H22/SUM($H$16:$H$24),0)</x:f>
        <x:v>0.15328467153284672</x:v>
      </x:c>
    </x:row>
    <x:row r="23">
      <x:c r="A23" s="31" t="inlineStr">
        <x:is>
          <x:t xml:space="preserve">Repurposed</x:t>
        </x:is>
      </x:c>
      <x:c r="B23" s="31" t="n">
        <x:f>COUNTIF('Phase 1 Calendar'!$W$5:$W$300,A23)</x:f>
        <x:v>0</x:v>
      </x:c>
      <x:c r="C23" s="31" t="n"/>
      <x:c r="D23" s="31" t="n"/>
      <x:c r="E23" s="31" t="n"/>
      <x:c r="F23" s="31" t="n"/>
      <x:c r="G23" s="31" t="inlineStr">
        <x:is>
          <x:t xml:space="preserve">Debate / Mythbusters</x:t>
        </x:is>
      </x:c>
      <x:c r="H23" s="31" t="n">
        <x:f>COUNTIF('Phase 1 Calendar'!$G$5:$G$300,G23)</x:f>
        <x:v>18</x:v>
      </x:c>
      <x:c r="I23" s="86" t="n">
        <x:f>IFERROR(H23/SUM($H$16:$H$24),0)</x:f>
        <x:v>0.13138686131386862</x:v>
      </x:c>
    </x:row>
    <x:row r="24">
      <x:c r="A24" s="30" t="inlineStr">
        <x:is>
          <x:t xml:space="preserve">Paused</x:t>
        </x:is>
      </x:c>
      <x:c r="B24" s="30" t="n">
        <x:f>COUNTIF('Phase 1 Calendar'!$W$5:$W$300,A24)</x:f>
        <x:v>0</x:v>
      </x:c>
      <x:c r="C24" s="30" t="n"/>
      <x:c r="D24" s="30" t="n"/>
      <x:c r="E24" s="30" t="n"/>
      <x:c r="F24" s="30" t="n"/>
      <x:c r="G24" s="30" t="inlineStr">
        <x:is>
          <x:t xml:space="preserve">Seasonal Campaign</x:t>
        </x:is>
      </x:c>
      <x:c r="H24" s="30" t="n">
        <x:f>COUNTIF('Phase 1 Calendar'!$G$5:$G$300,G24)</x:f>
        <x:v>5</x:v>
      </x:c>
      <x:c r="I24" s="88" t="n">
        <x:f>IFERROR(H24/SUM($H$16:$H$24),0)</x:f>
        <x:v>0.0364963503649635</x:v>
      </x:c>
    </x:row>
  </x:sheetData>
  <x:mergeCells>
    <x:mergeCell ref="B11:D11"/>
    <x:mergeCell ref="J6:L6"/>
    <x:mergeCell ref="F5:H5"/>
    <x:mergeCell ref="A4:D4"/>
    <x:mergeCell ref="B8:D8"/>
    <x:mergeCell ref="I4:L4"/>
    <x:mergeCell ref="F8:H8"/>
    <x:mergeCell ref="J11:L11"/>
    <x:mergeCell ref="B10:D10"/>
    <x:mergeCell ref="J7:L7"/>
    <x:mergeCell ref="A2:L2"/>
    <x:mergeCell ref="A14:F14"/>
    <x:mergeCell ref="G14:L14"/>
    <x:mergeCell ref="B9:D9"/>
    <x:mergeCell ref="F9:H9"/>
    <x:mergeCell ref="B6:D6"/>
    <x:mergeCell ref="B5:D5"/>
    <x:mergeCell ref="E4:H4"/>
    <x:mergeCell ref="J8:L8"/>
    <x:mergeCell ref="B7:D7"/>
    <x:mergeCell ref="F11:H11"/>
    <x:mergeCell ref="J5:L5"/>
    <x:mergeCell ref="F10:H10"/>
    <x:mergeCell ref="F6:H6"/>
    <x:mergeCell ref="J10:L10"/>
    <x:mergeCell ref="A1:L1"/>
    <x:mergeCell ref="F7:H7"/>
    <x:mergeCell ref="J9:L9"/>
  </x:mergeCells>
  <x:pageMargins left="0.7" right="0.7" top="0.75" bottom="0.75" header="0.3" footer="0.3"/>
  <x:drawing xmlns:r="http://schemas.openxmlformats.org/officeDocument/2006/relationships" r:id="Rf47af6470d59401a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2" customWidth="1"/>
    <x:col min="3" max="3" width="8" customWidth="1"/>
    <x:col min="4" max="4" width="8" customWidth="1"/>
    <x:col min="5" max="5" width="28" customWidth="1"/>
    <x:col min="6" max="6" width="28" customWidth="1"/>
    <x:col min="7" max="7" width="24" customWidth="1"/>
    <x:col min="8" max="8" width="24" customWidth="1"/>
    <x:col min="9" max="9" width="26" customWidth="1"/>
    <x:col min="10" max="10" width="22" customWidth="1"/>
    <x:col min="11" max="11" width="18" customWidth="1"/>
    <x:col min="12" max="12" width="18" customWidth="1"/>
    <x:col min="13" max="13" width="14" customWidth="1"/>
    <x:col min="14" max="14" width="18" customWidth="1"/>
    <x:col min="15" max="15" width="44" customWidth="1"/>
    <x:col min="16" max="16" width="48" customWidth="1"/>
    <x:col min="17" max="17" width="58" customWidth="1"/>
    <x:col min="18" max="18" width="62" customWidth="1"/>
    <x:col min="19" max="19" width="58" customWidth="1"/>
    <x:col min="20" max="20" width="44" customWidth="1"/>
    <x:col min="21" max="21" width="38" customWidth="1"/>
    <x:col min="22" max="22" width="16" customWidth="1"/>
    <x:col min="23" max="23" width="14" customWidth="1"/>
    <x:col min="24" max="24" width="18" customWidth="1"/>
    <x:col min="25" max="25" width="32" customWidth="1"/>
    <x:col min="26" max="26" width="12" customWidth="1"/>
    <x:col min="27" max="27" width="12" customWidth="1"/>
    <x:col min="28" max="28" width="12" customWidth="1"/>
    <x:col min="29" max="29" width="16" customWidth="1"/>
    <x:col min="30" max="30" width="12" customWidth="1"/>
    <x:col min="31" max="31" width="42" customWidth="1"/>
    <x:col min="32" max="32" width="13" customWidth="1"/>
    <x:col min="33" max="33" width="22" customWidth="1"/>
    <x:col min="34" max="34" width="14" customWidth="1"/>
    <x:col min="35" max="35" width="18" customWidth="1"/>
    <x:col min="36" max="36" width="14" customWidth="1"/>
    <x:col min="37" max="37" width="17" customWidth="1"/>
    <x:col min="38" max="38" width="22" customWidth="1"/>
  </x:cols>
  <x:sheetData>
    <x:row r="1" ht="28" customHeight="1">
      <x:c r="A1" s="106" t="inlineStr">
        <x:is>
          <x:t xml:space="preserve">PHASE 1 LIVE-APP CONTENT CALENDAR</x:t>
        </x:is>
      </x:c>
    </x:row>
    <x:row r="2" ht="34" customHeight="1">
      <x:c r="A2" s="107" t="inlineStr">
        <x:is>
          <x:t xml:space="preserve">Four core posts per week for a solo founder; remaining daily ideas are optional or repurposed. Tie field content to a Trip ID and track paid outcomes where attribution is credible.</x:t>
        </x:is>
      </x:c>
    </x:row>
    <x:row r="3"/>
    <x:row r="4" ht="36" customHeight="1">
      <x:c r="A4" s="108" t="inlineStr">
        <x:is>
          <x:t xml:space="preserve">Date</x:t>
        </x:is>
      </x:c>
      <x:c r="B4" s="108" t="inlineStr">
        <x:is>
          <x:t xml:space="preserve">Day</x:t>
        </x:is>
      </x:c>
      <x:c r="C4" s="108" t="inlineStr">
        <x:is>
          <x:t xml:space="preserve">Day #</x:t>
        </x:is>
      </x:c>
      <x:c r="D4" s="108" t="inlineStr">
        <x:is>
          <x:t xml:space="preserve">Week #</x:t>
        </x:is>
      </x:c>
      <x:c r="E4" s="108" t="inlineStr">
        <x:is>
          <x:t xml:space="preserve">Week Theme</x:t>
        </x:is>
      </x:c>
      <x:c r="F4" s="108" t="inlineStr">
        <x:is>
          <x:t xml:space="preserve">Campaign Moment</x:t>
        </x:is>
      </x:c>
      <x:c r="G4" s="108" t="inlineStr">
        <x:is>
          <x:t xml:space="preserve">Content Pillar</x:t>
        </x:is>
      </x:c>
      <x:c r="H4" s="108" t="inlineStr">
        <x:is>
          <x:t xml:space="preserve">Series</x:t>
        </x:is>
      </x:c>
      <x:c r="I4" s="108" t="inlineStr">
        <x:is>
          <x:t xml:space="preserve">Topic / Feature</x:t>
        </x:is>
      </x:c>
      <x:c r="J4" s="108" t="inlineStr">
        <x:is>
          <x:t xml:space="preserve">Audience Segment</x:t>
        </x:is>
      </x:c>
      <x:c r="K4" s="108" t="inlineStr">
        <x:is>
          <x:t xml:space="preserve">Funnel Stage</x:t>
        </x:is>
      </x:c>
      <x:c r="L4" s="108" t="inlineStr">
        <x:is>
          <x:t xml:space="preserve">Format</x:t>
        </x:is>
      </x:c>
      <x:c r="M4" s="108" t="inlineStr">
        <x:is>
          <x:t xml:space="preserve">Target Length</x:t>
        </x:is>
      </x:c>
      <x:c r="N4" s="108" t="inlineStr">
        <x:is>
          <x:t xml:space="preserve">Primary Platform</x:t>
        </x:is>
      </x:c>
      <x:c r="O4" s="108" t="inlineStr">
        <x:is>
          <x:t xml:space="preserve">Secondary Platforms</x:t>
        </x:is>
      </x:c>
      <x:c r="P4" s="108" t="inlineStr">
        <x:is>
          <x:t xml:space="preserve">Content Angle / Promise</x:t>
        </x:is>
      </x:c>
      <x:c r="Q4" s="108" t="inlineStr">
        <x:is>
          <x:t xml:space="preserve">Hook / Opening Line</x:t>
        </x:is>
      </x:c>
      <x:c r="R4" s="108" t="inlineStr">
        <x:is>
          <x:t xml:space="preserve">Shot List / Filming Direction</x:t>
        </x:is>
      </x:c>
      <x:c r="S4" s="108" t="inlineStr">
        <x:is>
          <x:t xml:space="preserve">Caption Seed</x:t>
        </x:is>
      </x:c>
      <x:c r="T4" s="108" t="inlineStr">
        <x:is>
          <x:t xml:space="preserve">CTA</x:t>
        </x:is>
      </x:c>
      <x:c r="U4" s="108" t="inlineStr">
        <x:is>
          <x:t xml:space="preserve">Asset Needs</x:t>
        </x:is>
      </x:c>
      <x:c r="V4" s="108" t="inlineStr">
        <x:is>
          <x:t xml:space="preserve">Owner</x:t>
        </x:is>
      </x:c>
      <x:c r="W4" s="108" t="inlineStr">
        <x:is>
          <x:t xml:space="preserve">Status</x:t>
        </x:is>
      </x:c>
      <x:c r="X4" s="108" t="inlineStr">
        <x:is>
          <x:t xml:space="preserve">Script Status</x:t>
        </x:is>
      </x:c>
      <x:c r="Y4" s="108" t="inlineStr">
        <x:is>
          <x:t xml:space="preserve">Posted Link</x:t>
        </x:is>
      </x:c>
      <x:c r="Z4" s="108" t="inlineStr">
        <x:is>
          <x:t xml:space="preserve">Views</x:t>
        </x:is>
      </x:c>
      <x:c r="AA4" s="108" t="inlineStr">
        <x:is>
          <x:t xml:space="preserve">Shares</x:t>
        </x:is>
      </x:c>
      <x:c r="AB4" s="108" t="inlineStr">
        <x:is>
          <x:t xml:space="preserve">Comments</x:t>
        </x:is>
      </x:c>
      <x:c r="AC4" s="108" t="inlineStr">
        <x:is>
          <x:t xml:space="preserve">App Store Clicks</x:t>
        </x:is>
      </x:c>
      <x:c r="AD4" s="108" t="inlineStr">
        <x:is>
          <x:t xml:space="preserve">Installs</x:t>
        </x:is>
      </x:c>
      <x:c r="AE4" s="108" t="inlineStr">
        <x:is>
          <x:t xml:space="preserve">Learning / Notes</x:t>
        </x:is>
      </x:c>
      <x:c r="AF4" s="108" t="inlineStr">
        <x:is>
          <x:t xml:space="preserve">Solo Priority</x:t>
        </x:is>
      </x:c>
      <x:c r="AG4" s="108" t="inlineStr">
        <x:is>
          <x:t xml:space="preserve">Production Mode</x:t>
        </x:is>
      </x:c>
      <x:c r="AH4" s="108" t="inlineStr">
        <x:is>
          <x:t xml:space="preserve">Founder Minutes</x:t>
        </x:is>
      </x:c>
      <x:c r="AI4" s="108" t="inlineStr">
        <x:is>
          <x:t xml:space="preserve">Direct Content Cost KES</x:t>
        </x:is>
      </x:c>
      <x:c r="AJ4" s="108" t="inlineStr">
        <x:is>
          <x:t xml:space="preserve">Field Trip ID</x:t>
        </x:is>
      </x:c>
      <x:c r="AK4" s="108" t="inlineStr">
        <x:is>
          <x:t xml:space="preserve">Paid Subs Attributed</x:t>
        </x:is>
      </x:c>
      <x:c r="AL4" s="108" t="inlineStr">
        <x:is>
          <x:t xml:space="preserve">Net Subscription Revenue Attributed</x:t>
        </x:is>
      </x:c>
    </x:row>
    <x:row r="5" ht="64" customHeight="1">
      <x:c r="A5" s="109" t="n">
        <x:v>46251</x:v>
      </x:c>
      <x:c r="B5" s="110" t="inlineStr">
        <x:is>
          <x:t xml:space="preserve">Monday</x:t>
        </x:is>
      </x:c>
      <x:c r="C5" s="110" t="n">
        <x:v>1</x:v>
      </x:c>
      <x:c r="D5" s="110" t="n">
        <x:v>1</x:v>
      </x:c>
      <x:c r="E5" s="110" t="inlineStr">
        <x:is>
          <x:t xml:space="preserve">Launch the road-intelligence promise</x:t>
        </x:is>
      </x:c>
      <x:c r="F5" s="110" t="inlineStr">
        <x:is>
          <x:t xml:space="preserve">Opening positioning week</x:t>
        </x:is>
      </x:c>
      <x:c r="G5" s="110" t="inlineStr">
        <x:is>
          <x:t xml:space="preserve">Road Intelligence</x:t>
        </x:is>
      </x:c>
      <x:c r="H5" s="110" t="inlineStr">
        <x:is>
          <x:t xml:space="preserve">Msafiri Road Check</x:t>
        </x:is>
      </x:c>
      <x:c r="I5" s="110" t="inlineStr">
        <x:is>
          <x:t xml:space="preserve">Speed camera alerts</x:t>
        </x:is>
      </x:c>
      <x:c r="J5" s="110" t="inlineStr">
        <x:is>
          <x:t xml:space="preserve">Daily Nairobi commuter</x:t>
        </x:is>
      </x:c>
      <x:c r="K5" s="110" t="inlineStr">
        <x:is>
          <x:t xml:space="preserve">Awareness</x:t>
        </x:is>
      </x:c>
      <x:c r="L5" s="110" t="inlineStr">
        <x:is>
          <x:t xml:space="preserve">Hero / Reel</x:t>
        </x:is>
      </x:c>
      <x:c r="M5" s="110" t="inlineStr">
        <x:is>
          <x:t xml:space="preserve">45–90 sec</x:t>
        </x:is>
      </x:c>
      <x:c r="N5" s="110" t="inlineStr">
        <x:is>
          <x:t xml:space="preserve">TikTok</x:t>
        </x:is>
      </x:c>
      <x:c r="O5" s="110" t="inlineStr">
        <x:is>
          <x:t xml:space="preserve">Instagram Reels | YouTube Shorts | Facebook Reels | YouTube</x:t>
        </x:is>
      </x:c>
      <x:c r="P5" s="110" t="inlineStr">
        <x:is>
          <x:t xml:space="preserve">Anchor episode that turns this week’s theme into a road story people can recognize.</x:t>
        </x:is>
      </x:c>
      <x:c r="Q5" s="110" t="inlineStr">
        <x:is>
          <x:t xml:space="preserve">We tested Mombasa Road / city commute: what should a daily nairobi commuter know before driving it this week?</x:t>
        </x:is>
      </x:c>
      <x:c r="R5" s="110" t="inlineStr">
        <x:is>
          <x:t xml:space="preserve">POV drive, 3 timestamped moments, map/context overlay, quick Msafiri screen, clear payoff.</x:t>
        </x:is>
      </x:c>
      <x:c r="S5" s="110" t="inlineStr">
        <x:is>
          <x:t xml:space="preserve">Road intelligence should feel practical, not complicated. Here is what stood out on Mombasa Road / city commute.</x:t>
        </x:is>
      </x:c>
      <x:c r="T5" s="110" t="inlineStr">
        <x:is>
          <x:t xml:space="preserve">Tell us which road we should check next.</x:t>
        </x:is>
      </x:c>
      <x:c r="U5" s="110" t="inlineStr">
        <x:is>
          <x:t xml:space="preserve">Phone mount; Msafiri screen-record; Mombasa Road / city commute B-roll; captions; branded end card</x:t>
        </x:is>
      </x:c>
      <x:c r="V5" s="110" t="inlineStr">
        <x:is>
          <x:t xml:space="preserve">Founder</x:t>
        </x:is>
      </x:c>
      <x:c r="W5" s="110" t="inlineStr">
        <x:is>
          <x:t xml:space="preserve">Draft</x:t>
        </x:is>
      </x:c>
      <x:c r="X5" s="110" t="inlineStr">
        <x:is>
          <x:t xml:space="preserve">Not Started</x:t>
        </x:is>
      </x:c>
      <x:c r="Y5" s="110" t="n"/>
      <x:c r="Z5" s="111" t="n"/>
      <x:c r="AA5" s="111" t="n"/>
      <x:c r="AB5" s="111" t="n"/>
      <x:c r="AC5" s="111" t="n"/>
      <x:c r="AD5" s="111" t="n"/>
      <x:c r="AE5" s="110" t="n"/>
      <x:c r="AF5" s="112" t="inlineStr">
        <x:is>
          <x:t xml:space="preserve">Core</x:t>
        </x:is>
      </x:c>
      <x:c r="AG5" s="110" t="inlineStr">
        <x:is>
          <x:t xml:space="preserve">Field / anchor</x:t>
        </x:is>
      </x:c>
      <x:c r="AH5" s="113" t="n">
        <x:v>75</x:v>
      </x:c>
      <x:c r="AI5" s="114" t="n">
        <x:v>0</x:v>
      </x:c>
      <x:c r="AJ5" s="115" t="inlineStr">
        <x:is>
          <x:t xml:space="preserve"/>
        </x:is>
      </x:c>
      <x:c r="AK5" s="113" t="n">
        <x:v>0</x:v>
      </x:c>
      <x:c r="AL5" s="114" t="n">
        <x:v>0</x:v>
      </x:c>
    </x:row>
    <x:row r="6" ht="64" customHeight="1">
      <x:c r="A6" s="116" t="n">
        <x:v>46252</x:v>
      </x:c>
      <x:c r="B6" s="117" t="inlineStr">
        <x:is>
          <x:t xml:space="preserve">Tuesday</x:t>
        </x:is>
      </x:c>
      <x:c r="C6" s="117" t="n">
        <x:v>2</x:v>
      </x:c>
      <x:c r="D6" s="117" t="n">
        <x:v>1</x:v>
      </x:c>
      <x:c r="E6" s="117" t="inlineStr">
        <x:is>
          <x:t xml:space="preserve">Launch the road-intelligence promise</x:t>
        </x:is>
      </x:c>
      <x:c r="F6" s="117" t="inlineStr">
        <x:is>
          <x:t xml:space="preserve">Opening positioning week</x:t>
        </x:is>
      </x:c>
      <x:c r="G6" s="117" t="inlineStr">
        <x:is>
          <x:t xml:space="preserve">Product / Feature Proof</x:t>
        </x:is>
      </x:c>
      <x:c r="H6" s="117" t="inlineStr">
        <x:is>
          <x:t xml:space="preserve">Feature in the Wild</x:t>
        </x:is>
      </x:c>
      <x:c r="I6" s="117" t="inlineStr">
        <x:is>
          <x:t xml:space="preserve">Speed camera alerts</x:t>
        </x:is>
      </x:c>
      <x:c r="J6" s="117" t="inlineStr">
        <x:is>
          <x:t xml:space="preserve">Daily Nairobi commuter</x:t>
        </x:is>
      </x:c>
      <x:c r="K6" s="117" t="inlineStr">
        <x:is>
          <x:t xml:space="preserve">Feature Discovery</x:t>
        </x:is>
      </x:c>
      <x:c r="L6" s="117" t="inlineStr">
        <x:is>
          <x:t xml:space="preserve">Short-form video</x:t>
        </x:is>
      </x:c>
      <x:c r="M6" s="117" t="inlineStr">
        <x:is>
          <x:t xml:space="preserve">20–45 sec</x:t>
        </x:is>
      </x:c>
      <x:c r="N6" s="117" t="inlineStr">
        <x:is>
          <x:t xml:space="preserve">Instagram Reels</x:t>
        </x:is>
      </x:c>
      <x:c r="O6" s="117" t="inlineStr">
        <x:is>
          <x:t xml:space="preserve">TikTok | YouTube Shorts | Facebook Reels</x:t>
        </x:is>
      </x:c>
      <x:c r="P6" s="117" t="inlineStr">
        <x:is>
          <x:t xml:space="preserve">Show the feature solving one real driving moment without turning the video into an ad.</x:t>
        </x:is>
      </x:c>
      <x:c r="Q6" s="117" t="inlineStr">
        <x:is>
          <x:t xml:space="preserve">Speed camera alerts only makes sense when you are rushing and forget the road still has limits; here is the 30-second version.</x:t>
        </x:is>
      </x:c>
      <x:c r="R6" s="117" t="inlineStr">
        <x:is>
          <x:t xml:space="preserve">Phone mount, screen-record, before/after comparison, one clean feature payoff.</x:t>
        </x:is>
      </x:c>
      <x:c r="S6" s="117" t="inlineStr">
        <x:is>
          <x:t xml:space="preserve">A feature is only useful if it helps in the exact moment a driver needs it.</x:t>
        </x:is>
      </x:c>
      <x:c r="T6" s="117" t="inlineStr">
        <x:is>
          <x:t xml:space="preserve">Try Msafiri on your next drive.</x:t>
        </x:is>
      </x:c>
      <x:c r="U6" s="117" t="inlineStr">
        <x:is>
          <x:t xml:space="preserve">Phone mount; Msafiri screen-record; Mombasa Road / city commute B-roll; captions; branded end card</x:t>
        </x:is>
      </x:c>
      <x:c r="V6" s="117" t="inlineStr">
        <x:is>
          <x:t xml:space="preserve">Founder</x:t>
        </x:is>
      </x:c>
      <x:c r="W6" s="117" t="inlineStr">
        <x:is>
          <x:t xml:space="preserve">Draft</x:t>
        </x:is>
      </x:c>
      <x:c r="X6" s="117" t="inlineStr">
        <x:is>
          <x:t xml:space="preserve">Not Started</x:t>
        </x:is>
      </x:c>
      <x:c r="Y6" s="117" t="n"/>
      <x:c r="Z6" s="118" t="n"/>
      <x:c r="AA6" s="118" t="n"/>
      <x:c r="AB6" s="118" t="n"/>
      <x:c r="AC6" s="118" t="n"/>
      <x:c r="AD6" s="118" t="n"/>
      <x:c r="AE6" s="117" t="n"/>
      <x:c r="AF6" s="119" t="inlineStr">
        <x:is>
          <x:t xml:space="preserve">Core</x:t>
        </x:is>
      </x:c>
      <x:c r="AG6" s="117" t="inlineStr">
        <x:is>
          <x:t xml:space="preserve">Screen demo</x:t>
        </x:is>
      </x:c>
      <x:c r="AH6" s="113" t="n">
        <x:v>45</x:v>
      </x:c>
      <x:c r="AI6" s="114" t="n">
        <x:v>0</x:v>
      </x:c>
      <x:c r="AJ6" s="120" t="inlineStr">
        <x:is>
          <x:t xml:space="preserve"/>
        </x:is>
      </x:c>
      <x:c r="AK6" s="113" t="n">
        <x:v>0</x:v>
      </x:c>
      <x:c r="AL6" s="114" t="n">
        <x:v>0</x:v>
      </x:c>
    </x:row>
    <x:row r="7" ht="64" customHeight="1">
      <x:c r="A7" s="109" t="n">
        <x:v>46253</x:v>
      </x:c>
      <x:c r="B7" s="110" t="inlineStr">
        <x:is>
          <x:t xml:space="preserve">Wednesday</x:t>
        </x:is>
      </x:c>
      <x:c r="C7" s="110" t="n">
        <x:v>3</x:v>
      </x:c>
      <x:c r="D7" s="110" t="n">
        <x:v>1</x:v>
      </x:c>
      <x:c r="E7" s="110" t="inlineStr">
        <x:is>
          <x:t xml:space="preserve">Launch the road-intelligence promise</x:t>
        </x:is>
      </x:c>
      <x:c r="F7" s="110" t="inlineStr">
        <x:is>
          <x:t xml:space="preserve">Opening positioning week</x:t>
        </x:is>
      </x:c>
      <x:c r="G7" s="110" t="inlineStr">
        <x:is>
          <x:t xml:space="preserve">Kenyan Driving Reality</x:t>
        </x:is>
      </x:c>
      <x:c r="H7" s="110" t="inlineStr">
        <x:is>
          <x:t xml:space="preserve">Kenyan Driver Problems</x:t>
        </x:is>
      </x:c>
      <x:c r="I7" s="110" t="inlineStr">
        <x:is>
          <x:t xml:space="preserve">Speed camera alerts</x:t>
        </x:is>
      </x:c>
      <x:c r="J7" s="110" t="inlineStr">
        <x:is>
          <x:t xml:space="preserve">Daily Nairobi commuter</x:t>
        </x:is>
      </x:c>
      <x:c r="K7" s="110" t="inlineStr">
        <x:is>
          <x:t xml:space="preserve">Engagement</x:t>
        </x:is>
      </x:c>
      <x:c r="L7" s="110" t="inlineStr">
        <x:is>
          <x:t xml:space="preserve">Skit</x:t>
        </x:is>
      </x:c>
      <x:c r="M7" s="110" t="inlineStr">
        <x:is>
          <x:t xml:space="preserve">15–35 sec</x:t>
        </x:is>
      </x:c>
      <x:c r="N7" s="110" t="inlineStr">
        <x:is>
          <x:t xml:space="preserve">TikTok</x:t>
        </x:is>
      </x:c>
      <x:c r="O7" s="110" t="inlineStr">
        <x:is>
          <x:t xml:space="preserve">Instagram Reels | Facebook Reels | YouTube Shorts</x:t>
        </x:is>
      </x:c>
      <x:c r="P7" s="110" t="inlineStr">
        <x:is>
          <x:t xml:space="preserve">Relatable driver tension; make people laugh, then attach a practical Msafiri angle.</x:t>
        </x:is>
      </x:c>
      <x:c r="Q7" s="110" t="inlineStr">
        <x:is>
          <x:t xml:space="preserve">POV: you are rushing and forget the road still has limits and everyone in the car suddenly becomes a driving expert.</x:t>
        </x:is>
      </x:c>
      <x:c r="R7" s="110" t="inlineStr">
        <x:is>
          <x:t xml:space="preserve">Driver/passenger skit, quick reaction cuts, exaggerated but familiar Kenyan driving moment.</x:t>
        </x:is>
      </x:c>
      <x:c r="S7" s="110" t="inlineStr">
        <x:is>
          <x:t xml:space="preserve">Every driver knows this argument. The smart move is having better information before the argument starts.</x:t>
        </x:is>
      </x:c>
      <x:c r="T7" s="110" t="inlineStr">
        <x:is>
          <x:t xml:space="preserve">Tag the driver who does this.</x:t>
        </x:is>
      </x:c>
      <x:c r="U7" s="110" t="inlineStr">
        <x:is>
          <x:t xml:space="preserve">Phone mount; Msafiri screen-record; Mombasa Road / city commute B-roll; captions; branded end card</x:t>
        </x:is>
      </x:c>
      <x:c r="V7" s="110" t="inlineStr">
        <x:is>
          <x:t xml:space="preserve">Founder</x:t>
        </x:is>
      </x:c>
      <x:c r="W7" s="110" t="inlineStr">
        <x:is>
          <x:t xml:space="preserve">Backlog</x:t>
        </x:is>
      </x:c>
      <x:c r="X7" s="110" t="inlineStr">
        <x:is>
          <x:t xml:space="preserve">Not Started</x:t>
        </x:is>
      </x:c>
      <x:c r="Y7" s="110" t="n"/>
      <x:c r="Z7" s="111" t="n"/>
      <x:c r="AA7" s="111" t="n"/>
      <x:c r="AB7" s="111" t="n"/>
      <x:c r="AC7" s="111" t="n"/>
      <x:c r="AD7" s="111" t="n"/>
      <x:c r="AE7" s="110" t="n"/>
      <x:c r="AF7" s="121" t="inlineStr">
        <x:is>
          <x:t xml:space="preserve">Optional</x:t>
        </x:is>
      </x:c>
      <x:c r="AG7" s="110" t="inlineStr">
        <x:is>
          <x:t xml:space="preserve">Repurpose / story</x:t>
        </x:is>
      </x:c>
      <x:c r="AH7" s="113" t="n">
        <x:v>25</x:v>
      </x:c>
      <x:c r="AI7" s="114" t="n">
        <x:v>0</x:v>
      </x:c>
      <x:c r="AJ7" s="115" t="inlineStr">
        <x:is>
          <x:t xml:space="preserve"/>
        </x:is>
      </x:c>
      <x:c r="AK7" s="113" t="n">
        <x:v>0</x:v>
      </x:c>
      <x:c r="AL7" s="114" t="n">
        <x:v>0</x:v>
      </x:c>
    </x:row>
    <x:row r="8" ht="64" customHeight="1">
      <x:c r="A8" s="116" t="n">
        <x:v>46254</x:v>
      </x:c>
      <x:c r="B8" s="117" t="inlineStr">
        <x:is>
          <x:t xml:space="preserve">Thursday</x:t>
        </x:is>
      </x:c>
      <x:c r="C8" s="117" t="n">
        <x:v>4</x:v>
      </x:c>
      <x:c r="D8" s="117" t="n">
        <x:v>1</x:v>
      </x:c>
      <x:c r="E8" s="117" t="inlineStr">
        <x:is>
          <x:t xml:space="preserve">Launch the road-intelligence promise</x:t>
        </x:is>
      </x:c>
      <x:c r="F8" s="117" t="inlineStr">
        <x:is>
          <x:t xml:space="preserve">Opening positioning week</x:t>
        </x:is>
      </x:c>
      <x:c r="G8" s="117" t="inlineStr">
        <x:is>
          <x:t xml:space="preserve">Founder / BTS</x:t>
        </x:is>
      </x:c>
      <x:c r="H8" s="117" t="inlineStr">
        <x:is>
          <x:t xml:space="preserve">Founder Files</x:t>
        </x:is>
      </x:c>
      <x:c r="I8" s="117" t="inlineStr">
        <x:is>
          <x:t xml:space="preserve">Speed camera alerts</x:t>
        </x:is>
      </x:c>
      <x:c r="J8" s="117" t="inlineStr">
        <x:is>
          <x:t xml:space="preserve">Daily Nairobi commuter</x:t>
        </x:is>
      </x:c>
      <x:c r="K8" s="117" t="inlineStr">
        <x:is>
          <x:t xml:space="preserve">Trust</x:t>
        </x:is>
      </x:c>
      <x:c r="L8" s="117" t="inlineStr">
        <x:is>
          <x:t xml:space="preserve">Founder-to-camera</x:t>
        </x:is>
      </x:c>
      <x:c r="M8" s="117" t="inlineStr">
        <x:is>
          <x:t xml:space="preserve">30–60 sec</x:t>
        </x:is>
      </x:c>
      <x:c r="N8" s="117" t="inlineStr">
        <x:is>
          <x:t xml:space="preserve">Instagram Reels</x:t>
        </x:is>
      </x:c>
      <x:c r="O8" s="117" t="inlineStr">
        <x:is>
          <x:t xml:space="preserve">TikTok | YouTube Shorts | LinkedIn</x:t>
        </x:is>
      </x:c>
      <x:c r="P8" s="117" t="inlineStr">
        <x:is>
          <x:t xml:space="preserve">Peter explains the product decision, tradeoff, or local insight behind the week’s feature.</x:t>
        </x:is>
      </x:c>
      <x:c r="Q8" s="117" t="inlineStr">
        <x:is>
          <x:t xml:space="preserve">Peter here — this is why we built Speed camera alerts for Kenyan drivers, not just generic drivers.</x:t>
        </x:is>
      </x:c>
      <x:c r="R8" s="117" t="inlineStr">
        <x:is>
          <x:t xml:space="preserve">Peter in car or office, quick cutaways to road test, product screen and handwritten notes.</x:t>
        </x:is>
      </x:c>
      <x:c r="S8" s="117" t="inlineStr">
        <x:is>
          <x:t xml:space="preserve">The goal is not another app on your phone. The goal is a calmer, more prepared drive.</x:t>
        </x:is>
      </x:c>
      <x:c r="T8" s="117" t="inlineStr">
        <x:is>
          <x:t xml:space="preserve">Follow Msafiri as we build for Kenyan roads.</x:t>
        </x:is>
      </x:c>
      <x:c r="U8" s="117" t="inlineStr">
        <x:is>
          <x:t xml:space="preserve">Peter on-camera setup; car/office B-roll; product screen; simple lower-third</x:t>
        </x:is>
      </x:c>
      <x:c r="V8" s="117" t="inlineStr">
        <x:is>
          <x:t xml:space="preserve">Founder</x:t>
        </x:is>
      </x:c>
      <x:c r="W8" s="117" t="inlineStr">
        <x:is>
          <x:t xml:space="preserve">Draft</x:t>
        </x:is>
      </x:c>
      <x:c r="X8" s="117" t="inlineStr">
        <x:is>
          <x:t xml:space="preserve">Not Started</x:t>
        </x:is>
      </x:c>
      <x:c r="Y8" s="117" t="n"/>
      <x:c r="Z8" s="118" t="n"/>
      <x:c r="AA8" s="118" t="n"/>
      <x:c r="AB8" s="118" t="n"/>
      <x:c r="AC8" s="118" t="n"/>
      <x:c r="AD8" s="118" t="n"/>
      <x:c r="AE8" s="117" t="n"/>
      <x:c r="AF8" s="119" t="inlineStr">
        <x:is>
          <x:t xml:space="preserve">Core</x:t>
        </x:is>
      </x:c>
      <x:c r="AG8" s="117" t="inlineStr">
        <x:is>
          <x:t xml:space="preserve">Founder / education</x:t>
        </x:is>
      </x:c>
      <x:c r="AH8" s="113" t="n">
        <x:v>45</x:v>
      </x:c>
      <x:c r="AI8" s="114" t="n">
        <x:v>0</x:v>
      </x:c>
      <x:c r="AJ8" s="120" t="inlineStr">
        <x:is>
          <x:t xml:space="preserve"/>
        </x:is>
      </x:c>
      <x:c r="AK8" s="113" t="n">
        <x:v>0</x:v>
      </x:c>
      <x:c r="AL8" s="114" t="n">
        <x:v>0</x:v>
      </x:c>
    </x:row>
    <x:row r="9" ht="64" customHeight="1">
      <x:c r="A9" s="109" t="n">
        <x:v>46255</x:v>
      </x:c>
      <x:c r="B9" s="110" t="inlineStr">
        <x:is>
          <x:t xml:space="preserve">Friday</x:t>
        </x:is>
      </x:c>
      <x:c r="C9" s="110" t="n">
        <x:v>5</x:v>
      </x:c>
      <x:c r="D9" s="110" t="n">
        <x:v>1</x:v>
      </x:c>
      <x:c r="E9" s="110" t="inlineStr">
        <x:is>
          <x:t xml:space="preserve">Launch the road-intelligence promise</x:t>
        </x:is>
      </x:c>
      <x:c r="F9" s="110" t="inlineStr">
        <x:is>
          <x:t xml:space="preserve">Opening positioning week</x:t>
        </x:is>
      </x:c>
      <x:c r="G9" s="110" t="inlineStr">
        <x:is>
          <x:t xml:space="preserve">Debate / Mythbusters</x:t>
        </x:is>
      </x:c>
      <x:c r="H9" s="110" t="inlineStr">
        <x:is>
          <x:t xml:space="preserve">Road Mythbusters</x:t>
        </x:is>
      </x:c>
      <x:c r="I9" s="110" t="inlineStr">
        <x:is>
          <x:t xml:space="preserve">Speed camera alerts</x:t>
        </x:is>
      </x:c>
      <x:c r="J9" s="110" t="inlineStr">
        <x:is>
          <x:t xml:space="preserve">Daily Nairobi commuter</x:t>
        </x:is>
      </x:c>
      <x:c r="K9" s="110" t="inlineStr">
        <x:is>
          <x:t xml:space="preserve">Engagement</x:t>
        </x:is>
      </x:c>
      <x:c r="L9" s="110" t="inlineStr">
        <x:is>
          <x:t xml:space="preserve">Short-form video</x:t>
        </x:is>
      </x:c>
      <x:c r="M9" s="110" t="inlineStr">
        <x:is>
          <x:t xml:space="preserve">20–45 sec</x:t>
        </x:is>
      </x:c>
      <x:c r="N9" s="110" t="inlineStr">
        <x:is>
          <x:t xml:space="preserve">TikTok</x:t>
        </x:is>
      </x:c>
      <x:c r="O9" s="110" t="inlineStr">
        <x:is>
          <x:t xml:space="preserve">Instagram Reels | YouTube Shorts | Facebook Reels</x:t>
        </x:is>
      </x:c>
      <x:c r="P9" s="110" t="inlineStr">
        <x:is>
          <x:t xml:space="preserve">Open a controlled debate while ending with responsible road-safety framing.</x:t>
        </x:is>
      </x:c>
      <x:c r="Q9" s="110" t="inlineStr">
        <x:is>
          <x:t xml:space="preserve">Hot take: speed alerts should make you calmer, not careless.</x:t>
        </x:is>
      </x:c>
      <x:c r="R9" s="110" t="inlineStr">
        <x:is>
          <x:t xml:space="preserve">Split screen: claim vs reality, quick poll sticker, Peter closing with safe takeaway.</x:t>
        </x:is>
      </x:c>
      <x:c r="S9" s="110" t="inlineStr">
        <x:is>
          <x:t xml:space="preserve">Debate is useful only if it makes us better drivers. What is your honest view?</x:t>
        </x:is>
      </x:c>
      <x:c r="T9" s="110" t="inlineStr">
        <x:is>
          <x:t xml:space="preserve">Agree or disagree? Give your reason.</x:t>
        </x:is>
      </x:c>
      <x:c r="U9" s="110" t="inlineStr">
        <x:is>
          <x:t xml:space="preserve">Phone mount; Msafiri screen-record; Mombasa Road / city commute B-roll; captions; branded end card</x:t>
        </x:is>
      </x:c>
      <x:c r="V9" s="110" t="inlineStr">
        <x:is>
          <x:t xml:space="preserve">Founder</x:t>
        </x:is>
      </x:c>
      <x:c r="W9" s="110" t="inlineStr">
        <x:is>
          <x:t xml:space="preserve">Backlog</x:t>
        </x:is>
      </x:c>
      <x:c r="X9" s="110" t="inlineStr">
        <x:is>
          <x:t xml:space="preserve">Not Started</x:t>
        </x:is>
      </x:c>
      <x:c r="Y9" s="110" t="n"/>
      <x:c r="Z9" s="111" t="n"/>
      <x:c r="AA9" s="111" t="n"/>
      <x:c r="AB9" s="111" t="n"/>
      <x:c r="AC9" s="111" t="n"/>
      <x:c r="AD9" s="111" t="n"/>
      <x:c r="AE9" s="110" t="n"/>
      <x:c r="AF9" s="121" t="inlineStr">
        <x:is>
          <x:t xml:space="preserve">Optional</x:t>
        </x:is>
      </x:c>
      <x:c r="AG9" s="110" t="inlineStr">
        <x:is>
          <x:t xml:space="preserve">Community reply</x:t>
        </x:is>
      </x:c>
      <x:c r="AH9" s="113" t="n">
        <x:v>25</x:v>
      </x:c>
      <x:c r="AI9" s="114" t="n">
        <x:v>0</x:v>
      </x:c>
      <x:c r="AJ9" s="115" t="inlineStr">
        <x:is>
          <x:t xml:space="preserve"/>
        </x:is>
      </x:c>
      <x:c r="AK9" s="113" t="n">
        <x:v>0</x:v>
      </x:c>
      <x:c r="AL9" s="114" t="n">
        <x:v>0</x:v>
      </x:c>
    </x:row>
    <x:row r="10" ht="64" customHeight="1">
      <x:c r="A10" s="116" t="n">
        <x:v>46256</x:v>
      </x:c>
      <x:c r="B10" s="117" t="inlineStr">
        <x:is>
          <x:t xml:space="preserve">Saturday</x:t>
        </x:is>
      </x:c>
      <x:c r="C10" s="117" t="n">
        <x:v>6</x:v>
      </x:c>
      <x:c r="D10" s="117" t="n">
        <x:v>1</x:v>
      </x:c>
      <x:c r="E10" s="117" t="inlineStr">
        <x:is>
          <x:t xml:space="preserve">Launch the road-intelligence promise</x:t>
        </x:is>
      </x:c>
      <x:c r="F10" s="117" t="inlineStr">
        <x:is>
          <x:t xml:space="preserve">Opening positioning week</x:t>
        </x:is>
      </x:c>
      <x:c r="G10" s="117" t="inlineStr">
        <x:is>
          <x:t xml:space="preserve">Community / UGC</x:t>
        </x:is>
      </x:c>
      <x:c r="H10" s="117" t="inlineStr">
        <x:is>
          <x:t xml:space="preserve">Ask a Kenyan Driver</x:t>
        </x:is>
      </x:c>
      <x:c r="I10" s="117" t="inlineStr">
        <x:is>
          <x:t xml:space="preserve">Speed camera alerts</x:t>
        </x:is>
      </x:c>
      <x:c r="J10" s="117" t="inlineStr">
        <x:is>
          <x:t xml:space="preserve">Daily Nairobi commuter</x:t>
        </x:is>
      </x:c>
      <x:c r="K10" s="117" t="inlineStr">
        <x:is>
          <x:t xml:space="preserve">Community</x:t>
        </x:is>
      </x:c>
      <x:c r="L10" s="117" t="inlineStr">
        <x:is>
          <x:t xml:space="preserve">Street Interview</x:t>
        </x:is>
      </x:c>
      <x:c r="M10" s="117" t="inlineStr">
        <x:is>
          <x:t xml:space="preserve">20–60 sec</x:t>
        </x:is>
      </x:c>
      <x:c r="N10" s="117" t="inlineStr">
        <x:is>
          <x:t xml:space="preserve">TikTok</x:t>
        </x:is>
      </x:c>
      <x:c r="O10" s="117" t="inlineStr">
        <x:is>
          <x:t xml:space="preserve">Instagram Reels | Facebook Reels | YouTube Shorts</x:t>
        </x:is>
      </x:c>
      <x:c r="P10" s="117" t="inlineStr">
        <x:is>
          <x:t xml:space="preserve">Let drivers speak; collect comments and stories that can become future episodes.</x:t>
        </x:is>
      </x:c>
      <x:c r="Q10" s="117" t="inlineStr">
        <x:is>
          <x:t xml:space="preserve">We asked drivers: which road makes you slow down even when you are not speeding?</x:t>
        </x:is>
      </x:c>
      <x:c r="R10" s="117" t="inlineStr">
        <x:is>
          <x:t xml:space="preserve">Street interview, 3 fast answers, one unexpected answer, branded closing card.</x:t>
        </x:is>
      </x:c>
      <x:c r="S10" s="117" t="inlineStr">
        <x:is>
          <x:t xml:space="preserve">Kenyan drivers have stories. Msafiri wants to turn those stories into smarter road intelligence.</x:t>
        </x:is>
      </x:c>
      <x:c r="T10" s="117" t="inlineStr">
        <x:is>
          <x:t xml:space="preserve">Tell us your answer in the comments.</x:t>
        </x:is>
      </x:c>
      <x:c r="U10" s="117" t="inlineStr">
        <x:is>
          <x:t xml:space="preserve">Lapel mic; consent line; 3–5 driver answers; branded question card; subtitle template</x:t>
        </x:is>
      </x:c>
      <x:c r="V10" s="117" t="inlineStr">
        <x:is>
          <x:t xml:space="preserve">Founder</x:t>
        </x:is>
      </x:c>
      <x:c r="W10" s="117" t="inlineStr">
        <x:is>
          <x:t xml:space="preserve">Draft</x:t>
        </x:is>
      </x:c>
      <x:c r="X10" s="117" t="inlineStr">
        <x:is>
          <x:t xml:space="preserve">Not Started</x:t>
        </x:is>
      </x:c>
      <x:c r="Y10" s="117" t="n"/>
      <x:c r="Z10" s="118" t="n"/>
      <x:c r="AA10" s="118" t="n"/>
      <x:c r="AB10" s="118" t="n"/>
      <x:c r="AC10" s="118" t="n"/>
      <x:c r="AD10" s="118" t="n"/>
      <x:c r="AE10" s="117" t="n"/>
      <x:c r="AF10" s="119" t="inlineStr">
        <x:is>
          <x:t xml:space="preserve">Core</x:t>
        </x:is>
      </x:c>
      <x:c r="AG10" s="117" t="inlineStr">
        <x:is>
          <x:t xml:space="preserve">Field / community</x:t>
        </x:is>
      </x:c>
      <x:c r="AH10" s="113" t="n">
        <x:v>60</x:v>
      </x:c>
      <x:c r="AI10" s="114" t="n">
        <x:v>0</x:v>
      </x:c>
      <x:c r="AJ10" s="120" t="inlineStr">
        <x:is>
          <x:t xml:space="preserve"/>
        </x:is>
      </x:c>
      <x:c r="AK10" s="113" t="n">
        <x:v>0</x:v>
      </x:c>
      <x:c r="AL10" s="114" t="n">
        <x:v>0</x:v>
      </x:c>
    </x:row>
    <x:row r="11" ht="64" customHeight="1">
      <x:c r="A11" s="109" t="n">
        <x:v>46257</x:v>
      </x:c>
      <x:c r="B11" s="110" t="inlineStr">
        <x:is>
          <x:t xml:space="preserve">Sunday</x:t>
        </x:is>
      </x:c>
      <x:c r="C11" s="110" t="n">
        <x:v>7</x:v>
      </x:c>
      <x:c r="D11" s="110" t="n">
        <x:v>1</x:v>
      </x:c>
      <x:c r="E11" s="110" t="inlineStr">
        <x:is>
          <x:t xml:space="preserve">Launch the road-intelligence promise</x:t>
        </x:is>
      </x:c>
      <x:c r="F11" s="110" t="inlineStr">
        <x:is>
          <x:t xml:space="preserve">Opening positioning week</x:t>
        </x:is>
      </x:c>
      <x:c r="G11" s="110" t="inlineStr">
        <x:is>
          <x:t xml:space="preserve">Education / Safety</x:t>
        </x:is>
      </x:c>
      <x:c r="H11" s="110" t="inlineStr">
        <x:is>
          <x:t xml:space="preserve">Before You Drive</x:t>
        </x:is>
      </x:c>
      <x:c r="I11" s="110" t="inlineStr">
        <x:is>
          <x:t xml:space="preserve">Speed camera alerts</x:t>
        </x:is>
      </x:c>
      <x:c r="J11" s="110" t="inlineStr">
        <x:is>
          <x:t xml:space="preserve">Daily Nairobi commuter</x:t>
        </x:is>
      </x:c>
      <x:c r="K11" s="110" t="inlineStr">
        <x:is>
          <x:t xml:space="preserve">Retention</x:t>
        </x:is>
      </x:c>
      <x:c r="L11" s="110" t="inlineStr">
        <x:is>
          <x:t xml:space="preserve">Checklist Reel</x:t>
        </x:is>
      </x:c>
      <x:c r="M11" s="110" t="inlineStr">
        <x:is>
          <x:t xml:space="preserve">20–45 sec</x:t>
        </x:is>
      </x:c>
      <x:c r="N11" s="110" t="inlineStr">
        <x:is>
          <x:t xml:space="preserve">Instagram Reels</x:t>
        </x:is>
      </x:c>
      <x:c r="O11" s="110" t="inlineStr">
        <x:is>
          <x:t xml:space="preserve">TikTok | YouTube Shorts | Facebook Reels | Instagram Stories</x:t>
        </x:is>
      </x:c>
      <x:c r="P11" s="110" t="inlineStr">
        <x:is>
          <x:t xml:space="preserve">A saveable checklist people can use before a real drive.</x:t>
        </x:is>
      </x:c>
      <x:c r="Q11" s="110" t="inlineStr">
        <x:is>
          <x:t xml:space="preserve">Save this launch the road-intelligence promise checklist before your next drive.</x:t>
        </x:is>
      </x:c>
      <x:c r="R11" s="110" t="inlineStr">
        <x:is>
          <x:t xml:space="preserve">Checklist overlay, hands-on car/phone shots, one item per beat, final saved-card frame.</x:t>
        </x:is>
      </x:c>
      <x:c r="S11" s="110" t="inlineStr">
        <x:is>
          <x:t xml:space="preserve">A good drive often starts before the engine starts. Keep this simple checklist close.</x:t>
        </x:is>
      </x:c>
      <x:c r="T11" s="110" t="inlineStr">
        <x:is>
          <x:t xml:space="preserve">Save this before your next drive.</x:t>
        </x:is>
      </x:c>
      <x:c r="U11" s="110" t="inlineStr">
        <x:is>
          <x:t xml:space="preserve">Phone mount; Msafiri screen-record; Mombasa Road / city commute B-roll; captions; branded end card</x:t>
        </x:is>
      </x:c>
      <x:c r="V11" s="110" t="inlineStr">
        <x:is>
          <x:t xml:space="preserve">Founder</x:t>
        </x:is>
      </x:c>
      <x:c r="W11" s="110" t="inlineStr">
        <x:is>
          <x:t xml:space="preserve">Backlog</x:t>
        </x:is>
      </x:c>
      <x:c r="X11" s="110" t="inlineStr">
        <x:is>
          <x:t xml:space="preserve">Not Started</x:t>
        </x:is>
      </x:c>
      <x:c r="Y11" s="110" t="n"/>
      <x:c r="Z11" s="111" t="n"/>
      <x:c r="AA11" s="111" t="n"/>
      <x:c r="AB11" s="111" t="n"/>
      <x:c r="AC11" s="111" t="n"/>
      <x:c r="AD11" s="111" t="n"/>
      <x:c r="AE11" s="110" t="n"/>
      <x:c r="AF11" s="121" t="inlineStr">
        <x:is>
          <x:t xml:space="preserve">Optional</x:t>
        </x:is>
      </x:c>
      <x:c r="AG11" s="110" t="inlineStr">
        <x:is>
          <x:t xml:space="preserve">Optional / planning</x:t>
        </x:is>
      </x:c>
      <x:c r="AH11" s="113" t="n">
        <x:v>20</x:v>
      </x:c>
      <x:c r="AI11" s="114" t="n">
        <x:v>0</x:v>
      </x:c>
      <x:c r="AJ11" s="115" t="inlineStr">
        <x:is>
          <x:t xml:space="preserve"/>
        </x:is>
      </x:c>
      <x:c r="AK11" s="113" t="n">
        <x:v>0</x:v>
      </x:c>
      <x:c r="AL11" s="114" t="n">
        <x:v>0</x:v>
      </x:c>
    </x:row>
    <x:row r="12" ht="64" customHeight="1">
      <x:c r="A12" s="116" t="n">
        <x:v>46258</x:v>
      </x:c>
      <x:c r="B12" s="117" t="inlineStr">
        <x:is>
          <x:t xml:space="preserve">Monday</x:t>
        </x:is>
      </x:c>
      <x:c r="C12" s="117" t="n">
        <x:v>8</x:v>
      </x:c>
      <x:c r="D12" s="117" t="n">
        <x:v>2</x:v>
      </x:c>
      <x:c r="E12" s="117" t="inlineStr">
        <x:is>
          <x:t xml:space="preserve">Proof when stories disagree</x:t>
        </x:is>
      </x:c>
      <x:c r="F12" s="117" t="inlineStr">
        <x:is>
          <x:t xml:space="preserve">Evidence beats arguments</x:t>
        </x:is>
      </x:c>
      <x:c r="G12" s="117" t="inlineStr">
        <x:is>
          <x:t xml:space="preserve">Road Intelligence</x:t>
        </x:is>
      </x:c>
      <x:c r="H12" s="117" t="inlineStr">
        <x:is>
          <x:t xml:space="preserve">Msafiri Road Check</x:t>
        </x:is>
      </x:c>
      <x:c r="I12" s="117" t="inlineStr">
        <x:is>
          <x:t xml:space="preserve">Built-in Dashcam</x:t>
        </x:is>
      </x:c>
      <x:c r="J12" s="117" t="inlineStr">
        <x:is>
          <x:t xml:space="preserve">Car owner</x:t>
        </x:is>
      </x:c>
      <x:c r="K12" s="117" t="inlineStr">
        <x:is>
          <x:t xml:space="preserve">Awareness</x:t>
        </x:is>
      </x:c>
      <x:c r="L12" s="117" t="inlineStr">
        <x:is>
          <x:t xml:space="preserve">Hero / Reel</x:t>
        </x:is>
      </x:c>
      <x:c r="M12" s="117" t="inlineStr">
        <x:is>
          <x:t xml:space="preserve">45–90 sec</x:t>
        </x:is>
      </x:c>
      <x:c r="N12" s="117" t="inlineStr">
        <x:is>
          <x:t xml:space="preserve">TikTok</x:t>
        </x:is>
      </x:c>
      <x:c r="O12" s="117" t="inlineStr">
        <x:is>
          <x:t xml:space="preserve">Instagram Reels | YouTube Shorts | Facebook Reels | YouTube</x:t>
        </x:is>
      </x:c>
      <x:c r="P12" s="117" t="inlineStr">
        <x:is>
          <x:t xml:space="preserve">Anchor episode that turns this week’s theme into a road story people can recognize.</x:t>
        </x:is>
      </x:c>
      <x:c r="Q12" s="117" t="inlineStr">
        <x:is>
          <x:t xml:space="preserve">We tested Waiyaki Way / Westlands run: what should a car owner know before driving it this week?</x:t>
        </x:is>
      </x:c>
      <x:c r="R12" s="117" t="inlineStr">
        <x:is>
          <x:t xml:space="preserve">POV drive, 3 timestamped moments, map/context overlay, quick Msafiri screen, clear payoff.</x:t>
        </x:is>
      </x:c>
      <x:c r="S12" s="117" t="inlineStr">
        <x:is>
          <x:t xml:space="preserve">Road intelligence should feel practical, not complicated. Here is what stood out on Waiyaki Way / Westlands run.</x:t>
        </x:is>
      </x:c>
      <x:c r="T12" s="117" t="inlineStr">
        <x:is>
          <x:t xml:space="preserve">Tell us which road we should check next.</x:t>
        </x:is>
      </x:c>
      <x:c r="U12" s="117" t="inlineStr">
        <x:is>
          <x:t xml:space="preserve">Phone mount; Msafiri screen-record; Waiyaki Way / Westlands run B-roll; captions; branded end card</x:t>
        </x:is>
      </x:c>
      <x:c r="V12" s="117" t="inlineStr">
        <x:is>
          <x:t xml:space="preserve">Founder</x:t>
        </x:is>
      </x:c>
      <x:c r="W12" s="117" t="inlineStr">
        <x:is>
          <x:t xml:space="preserve">Draft</x:t>
        </x:is>
      </x:c>
      <x:c r="X12" s="117" t="inlineStr">
        <x:is>
          <x:t xml:space="preserve">Not Started</x:t>
        </x:is>
      </x:c>
      <x:c r="Y12" s="117" t="n"/>
      <x:c r="Z12" s="118" t="n"/>
      <x:c r="AA12" s="118" t="n"/>
      <x:c r="AB12" s="118" t="n"/>
      <x:c r="AC12" s="118" t="n"/>
      <x:c r="AD12" s="118" t="n"/>
      <x:c r="AE12" s="117" t="n"/>
      <x:c r="AF12" s="119" t="inlineStr">
        <x:is>
          <x:t xml:space="preserve">Core</x:t>
        </x:is>
      </x:c>
      <x:c r="AG12" s="117" t="inlineStr">
        <x:is>
          <x:t xml:space="preserve">Field / anchor</x:t>
        </x:is>
      </x:c>
      <x:c r="AH12" s="113" t="n">
        <x:v>75</x:v>
      </x:c>
      <x:c r="AI12" s="114" t="n">
        <x:v>0</x:v>
      </x:c>
      <x:c r="AJ12" s="120" t="inlineStr">
        <x:is>
          <x:t xml:space="preserve"/>
        </x:is>
      </x:c>
      <x:c r="AK12" s="113" t="n">
        <x:v>0</x:v>
      </x:c>
      <x:c r="AL12" s="114" t="n">
        <x:v>0</x:v>
      </x:c>
    </x:row>
    <x:row r="13" ht="64" customHeight="1">
      <x:c r="A13" s="109" t="n">
        <x:v>46259</x:v>
      </x:c>
      <x:c r="B13" s="110" t="inlineStr">
        <x:is>
          <x:t xml:space="preserve">Tuesday</x:t>
        </x:is>
      </x:c>
      <x:c r="C13" s="110" t="n">
        <x:v>9</x:v>
      </x:c>
      <x:c r="D13" s="110" t="n">
        <x:v>2</x:v>
      </x:c>
      <x:c r="E13" s="110" t="inlineStr">
        <x:is>
          <x:t xml:space="preserve">Proof when stories disagree</x:t>
        </x:is>
      </x:c>
      <x:c r="F13" s="110" t="inlineStr">
        <x:is>
          <x:t xml:space="preserve">Evidence beats arguments</x:t>
        </x:is>
      </x:c>
      <x:c r="G13" s="110" t="inlineStr">
        <x:is>
          <x:t xml:space="preserve">Product / Feature Proof</x:t>
        </x:is>
      </x:c>
      <x:c r="H13" s="110" t="inlineStr">
        <x:is>
          <x:t xml:space="preserve">Feature in the Wild</x:t>
        </x:is>
      </x:c>
      <x:c r="I13" s="110" t="inlineStr">
        <x:is>
          <x:t xml:space="preserve">Built-in Dashcam</x:t>
        </x:is>
      </x:c>
      <x:c r="J13" s="110" t="inlineStr">
        <x:is>
          <x:t xml:space="preserve">Car owner</x:t>
        </x:is>
      </x:c>
      <x:c r="K13" s="110" t="inlineStr">
        <x:is>
          <x:t xml:space="preserve">Feature Discovery</x:t>
        </x:is>
      </x:c>
      <x:c r="L13" s="110" t="inlineStr">
        <x:is>
          <x:t xml:space="preserve">Short-form video</x:t>
        </x:is>
      </x:c>
      <x:c r="M13" s="110" t="inlineStr">
        <x:is>
          <x:t xml:space="preserve">20–45 sec</x:t>
        </x:is>
      </x:c>
      <x:c r="N13" s="110" t="inlineStr">
        <x:is>
          <x:t xml:space="preserve">Instagram Reels</x:t>
        </x:is>
      </x:c>
      <x:c r="O13" s="110" t="inlineStr">
        <x:is>
          <x:t xml:space="preserve">TikTok | YouTube Shorts | Facebook Reels</x:t>
        </x:is>
      </x:c>
      <x:c r="P13" s="110" t="inlineStr">
        <x:is>
          <x:t xml:space="preserve">Show the feature solving one real driving moment without turning the video into an ad.</x:t>
        </x:is>
      </x:c>
      <x:c r="Q13" s="110" t="inlineStr">
        <x:is>
          <x:t xml:space="preserve">Built-in Dashcam only makes sense when another driver tells a different story; here is the 30-second version.</x:t>
        </x:is>
      </x:c>
      <x:c r="R13" s="110" t="inlineStr">
        <x:is>
          <x:t xml:space="preserve">Phone mount, screen-record, before/after comparison, one clean feature payoff.</x:t>
        </x:is>
      </x:c>
      <x:c r="S13" s="110" t="inlineStr">
        <x:is>
          <x:t xml:space="preserve">A feature is only useful if it helps in the exact moment a driver needs it.</x:t>
        </x:is>
      </x:c>
      <x:c r="T13" s="110" t="inlineStr">
        <x:is>
          <x:t xml:space="preserve">Try Msafiri on your next drive.</x:t>
        </x:is>
      </x:c>
      <x:c r="U13" s="110" t="inlineStr">
        <x:is>
          <x:t xml:space="preserve">Phone mount; Msafiri screen-record; Waiyaki Way / Westlands run B-roll; captions; branded end card</x:t>
        </x:is>
      </x:c>
      <x:c r="V13" s="110" t="inlineStr">
        <x:is>
          <x:t xml:space="preserve">Founder</x:t>
        </x:is>
      </x:c>
      <x:c r="W13" s="110" t="inlineStr">
        <x:is>
          <x:t xml:space="preserve">Draft</x:t>
        </x:is>
      </x:c>
      <x:c r="X13" s="110" t="inlineStr">
        <x:is>
          <x:t xml:space="preserve">Not Started</x:t>
        </x:is>
      </x:c>
      <x:c r="Y13" s="110" t="n"/>
      <x:c r="Z13" s="111" t="n"/>
      <x:c r="AA13" s="111" t="n"/>
      <x:c r="AB13" s="111" t="n"/>
      <x:c r="AC13" s="111" t="n"/>
      <x:c r="AD13" s="111" t="n"/>
      <x:c r="AE13" s="110" t="n"/>
      <x:c r="AF13" s="112" t="inlineStr">
        <x:is>
          <x:t xml:space="preserve">Core</x:t>
        </x:is>
      </x:c>
      <x:c r="AG13" s="110" t="inlineStr">
        <x:is>
          <x:t xml:space="preserve">Screen demo</x:t>
        </x:is>
      </x:c>
      <x:c r="AH13" s="113" t="n">
        <x:v>45</x:v>
      </x:c>
      <x:c r="AI13" s="114" t="n">
        <x:v>0</x:v>
      </x:c>
      <x:c r="AJ13" s="115" t="inlineStr">
        <x:is>
          <x:t xml:space="preserve"/>
        </x:is>
      </x:c>
      <x:c r="AK13" s="113" t="n">
        <x:v>0</x:v>
      </x:c>
      <x:c r="AL13" s="114" t="n">
        <x:v>0</x:v>
      </x:c>
    </x:row>
    <x:row r="14" ht="64" customHeight="1">
      <x:c r="A14" s="116" t="n">
        <x:v>46260</x:v>
      </x:c>
      <x:c r="B14" s="117" t="inlineStr">
        <x:is>
          <x:t xml:space="preserve">Wednesday</x:t>
        </x:is>
      </x:c>
      <x:c r="C14" s="117" t="n">
        <x:v>10</x:v>
      </x:c>
      <x:c r="D14" s="117" t="n">
        <x:v>2</x:v>
      </x:c>
      <x:c r="E14" s="117" t="inlineStr">
        <x:is>
          <x:t xml:space="preserve">Proof when stories disagree</x:t>
        </x:is>
      </x:c>
      <x:c r="F14" s="117" t="inlineStr">
        <x:is>
          <x:t xml:space="preserve">Evidence beats arguments</x:t>
        </x:is>
      </x:c>
      <x:c r="G14" s="117" t="inlineStr">
        <x:is>
          <x:t xml:space="preserve">Kenyan Driving Reality</x:t>
        </x:is>
      </x:c>
      <x:c r="H14" s="117" t="inlineStr">
        <x:is>
          <x:t xml:space="preserve">Kenyan Driver Problems</x:t>
        </x:is>
      </x:c>
      <x:c r="I14" s="117" t="inlineStr">
        <x:is>
          <x:t xml:space="preserve">Built-in Dashcam</x:t>
        </x:is>
      </x:c>
      <x:c r="J14" s="117" t="inlineStr">
        <x:is>
          <x:t xml:space="preserve">Car owner</x:t>
        </x:is>
      </x:c>
      <x:c r="K14" s="117" t="inlineStr">
        <x:is>
          <x:t xml:space="preserve">Engagement</x:t>
        </x:is>
      </x:c>
      <x:c r="L14" s="117" t="inlineStr">
        <x:is>
          <x:t xml:space="preserve">Skit</x:t>
        </x:is>
      </x:c>
      <x:c r="M14" s="117" t="inlineStr">
        <x:is>
          <x:t xml:space="preserve">15–35 sec</x:t>
        </x:is>
      </x:c>
      <x:c r="N14" s="117" t="inlineStr">
        <x:is>
          <x:t xml:space="preserve">TikTok</x:t>
        </x:is>
      </x:c>
      <x:c r="O14" s="117" t="inlineStr">
        <x:is>
          <x:t xml:space="preserve">Instagram Reels | Facebook Reels | YouTube Shorts</x:t>
        </x:is>
      </x:c>
      <x:c r="P14" s="117" t="inlineStr">
        <x:is>
          <x:t xml:space="preserve">Relatable driver tension; make people laugh, then attach a practical Msafiri angle.</x:t>
        </x:is>
      </x:c>
      <x:c r="Q14" s="117" t="inlineStr">
        <x:is>
          <x:t xml:space="preserve">POV: another driver tells a different story and everyone in the car suddenly becomes a driving expert.</x:t>
        </x:is>
      </x:c>
      <x:c r="R14" s="117" t="inlineStr">
        <x:is>
          <x:t xml:space="preserve">Driver/passenger skit, quick reaction cuts, exaggerated but familiar Kenyan driving moment.</x:t>
        </x:is>
      </x:c>
      <x:c r="S14" s="117" t="inlineStr">
        <x:is>
          <x:t xml:space="preserve">Every driver knows this argument. The smart move is having better information before the argument starts.</x:t>
        </x:is>
      </x:c>
      <x:c r="T14" s="117" t="inlineStr">
        <x:is>
          <x:t xml:space="preserve">Tag the driver who does this.</x:t>
        </x:is>
      </x:c>
      <x:c r="U14" s="117" t="inlineStr">
        <x:is>
          <x:t xml:space="preserve">Phone mount; Msafiri screen-record; Waiyaki Way / Westlands run B-roll; captions; branded end card</x:t>
        </x:is>
      </x:c>
      <x:c r="V14" s="117" t="inlineStr">
        <x:is>
          <x:t xml:space="preserve">Founder</x:t>
        </x:is>
      </x:c>
      <x:c r="W14" s="117" t="inlineStr">
        <x:is>
          <x:t xml:space="preserve">Backlog</x:t>
        </x:is>
      </x:c>
      <x:c r="X14" s="117" t="inlineStr">
        <x:is>
          <x:t xml:space="preserve">Not Started</x:t>
        </x:is>
      </x:c>
      <x:c r="Y14" s="117" t="n"/>
      <x:c r="Z14" s="118" t="n"/>
      <x:c r="AA14" s="118" t="n"/>
      <x:c r="AB14" s="118" t="n"/>
      <x:c r="AC14" s="118" t="n"/>
      <x:c r="AD14" s="118" t="n"/>
      <x:c r="AE14" s="117" t="n"/>
      <x:c r="AF14" s="122" t="inlineStr">
        <x:is>
          <x:t xml:space="preserve">Optional</x:t>
        </x:is>
      </x:c>
      <x:c r="AG14" s="117" t="inlineStr">
        <x:is>
          <x:t xml:space="preserve">Repurpose / story</x:t>
        </x:is>
      </x:c>
      <x:c r="AH14" s="113" t="n">
        <x:v>25</x:v>
      </x:c>
      <x:c r="AI14" s="114" t="n">
        <x:v>0</x:v>
      </x:c>
      <x:c r="AJ14" s="120" t="inlineStr">
        <x:is>
          <x:t xml:space="preserve"/>
        </x:is>
      </x:c>
      <x:c r="AK14" s="113" t="n">
        <x:v>0</x:v>
      </x:c>
      <x:c r="AL14" s="114" t="n">
        <x:v>0</x:v>
      </x:c>
    </x:row>
    <x:row r="15" ht="64" customHeight="1">
      <x:c r="A15" s="109" t="n">
        <x:v>46261</x:v>
      </x:c>
      <x:c r="B15" s="110" t="inlineStr">
        <x:is>
          <x:t xml:space="preserve">Thursday</x:t>
        </x:is>
      </x:c>
      <x:c r="C15" s="110" t="n">
        <x:v>11</x:v>
      </x:c>
      <x:c r="D15" s="110" t="n">
        <x:v>2</x:v>
      </x:c>
      <x:c r="E15" s="110" t="inlineStr">
        <x:is>
          <x:t xml:space="preserve">Proof when stories disagree</x:t>
        </x:is>
      </x:c>
      <x:c r="F15" s="110" t="inlineStr">
        <x:is>
          <x:t xml:space="preserve">Evidence beats arguments</x:t>
        </x:is>
      </x:c>
      <x:c r="G15" s="110" t="inlineStr">
        <x:is>
          <x:t xml:space="preserve">Founder / BTS</x:t>
        </x:is>
      </x:c>
      <x:c r="H15" s="110" t="inlineStr">
        <x:is>
          <x:t xml:space="preserve">Founder Files</x:t>
        </x:is>
      </x:c>
      <x:c r="I15" s="110" t="inlineStr">
        <x:is>
          <x:t xml:space="preserve">Built-in Dashcam</x:t>
        </x:is>
      </x:c>
      <x:c r="J15" s="110" t="inlineStr">
        <x:is>
          <x:t xml:space="preserve">Car owner</x:t>
        </x:is>
      </x:c>
      <x:c r="K15" s="110" t="inlineStr">
        <x:is>
          <x:t xml:space="preserve">Trust</x:t>
        </x:is>
      </x:c>
      <x:c r="L15" s="110" t="inlineStr">
        <x:is>
          <x:t xml:space="preserve">Founder-to-camera</x:t>
        </x:is>
      </x:c>
      <x:c r="M15" s="110" t="inlineStr">
        <x:is>
          <x:t xml:space="preserve">30–60 sec</x:t>
        </x:is>
      </x:c>
      <x:c r="N15" s="110" t="inlineStr">
        <x:is>
          <x:t xml:space="preserve">Instagram Reels</x:t>
        </x:is>
      </x:c>
      <x:c r="O15" s="110" t="inlineStr">
        <x:is>
          <x:t xml:space="preserve">TikTok | YouTube Shorts | LinkedIn</x:t>
        </x:is>
      </x:c>
      <x:c r="P15" s="110" t="inlineStr">
        <x:is>
          <x:t xml:space="preserve">Peter explains the product decision, tradeoff, or local insight behind the week’s feature.</x:t>
        </x:is>
      </x:c>
      <x:c r="Q15" s="110" t="inlineStr">
        <x:is>
          <x:t xml:space="preserve">Peter here — this is why we built Built-in Dashcam for Kenyan drivers, not just generic drivers.</x:t>
        </x:is>
      </x:c>
      <x:c r="R15" s="110" t="inlineStr">
        <x:is>
          <x:t xml:space="preserve">Peter in car or office, quick cutaways to road test, product screen and handwritten notes.</x:t>
        </x:is>
      </x:c>
      <x:c r="S15" s="110" t="inlineStr">
        <x:is>
          <x:t xml:space="preserve">The goal is not another app on your phone. The goal is a calmer, more prepared drive.</x:t>
        </x:is>
      </x:c>
      <x:c r="T15" s="110" t="inlineStr">
        <x:is>
          <x:t xml:space="preserve">Follow Msafiri as we build for Kenyan roads.</x:t>
        </x:is>
      </x:c>
      <x:c r="U15" s="110" t="inlineStr">
        <x:is>
          <x:t xml:space="preserve">Peter on-camera setup; car/office B-roll; product screen; simple lower-third</x:t>
        </x:is>
      </x:c>
      <x:c r="V15" s="110" t="inlineStr">
        <x:is>
          <x:t xml:space="preserve">Founder</x:t>
        </x:is>
      </x:c>
      <x:c r="W15" s="110" t="inlineStr">
        <x:is>
          <x:t xml:space="preserve">Draft</x:t>
        </x:is>
      </x:c>
      <x:c r="X15" s="110" t="inlineStr">
        <x:is>
          <x:t xml:space="preserve">Not Started</x:t>
        </x:is>
      </x:c>
      <x:c r="Y15" s="110" t="n"/>
      <x:c r="Z15" s="111" t="n"/>
      <x:c r="AA15" s="111" t="n"/>
      <x:c r="AB15" s="111" t="n"/>
      <x:c r="AC15" s="111" t="n"/>
      <x:c r="AD15" s="111" t="n"/>
      <x:c r="AE15" s="110" t="n"/>
      <x:c r="AF15" s="112" t="inlineStr">
        <x:is>
          <x:t xml:space="preserve">Core</x:t>
        </x:is>
      </x:c>
      <x:c r="AG15" s="110" t="inlineStr">
        <x:is>
          <x:t xml:space="preserve">Founder / education</x:t>
        </x:is>
      </x:c>
      <x:c r="AH15" s="113" t="n">
        <x:v>45</x:v>
      </x:c>
      <x:c r="AI15" s="114" t="n">
        <x:v>0</x:v>
      </x:c>
      <x:c r="AJ15" s="115" t="inlineStr">
        <x:is>
          <x:t xml:space="preserve"/>
        </x:is>
      </x:c>
      <x:c r="AK15" s="113" t="n">
        <x:v>0</x:v>
      </x:c>
      <x:c r="AL15" s="114" t="n">
        <x:v>0</x:v>
      </x:c>
    </x:row>
    <x:row r="16" ht="64" customHeight="1">
      <x:c r="A16" s="116" t="n">
        <x:v>46262</x:v>
      </x:c>
      <x:c r="B16" s="117" t="inlineStr">
        <x:is>
          <x:t xml:space="preserve">Friday</x:t>
        </x:is>
      </x:c>
      <x:c r="C16" s="117" t="n">
        <x:v>12</x:v>
      </x:c>
      <x:c r="D16" s="117" t="n">
        <x:v>2</x:v>
      </x:c>
      <x:c r="E16" s="117" t="inlineStr">
        <x:is>
          <x:t xml:space="preserve">Proof when stories disagree</x:t>
        </x:is>
      </x:c>
      <x:c r="F16" s="117" t="inlineStr">
        <x:is>
          <x:t xml:space="preserve">Evidence beats arguments</x:t>
        </x:is>
      </x:c>
      <x:c r="G16" s="117" t="inlineStr">
        <x:is>
          <x:t xml:space="preserve">Debate / Mythbusters</x:t>
        </x:is>
      </x:c>
      <x:c r="H16" s="117" t="inlineStr">
        <x:is>
          <x:t xml:space="preserve">Road Mythbusters</x:t>
        </x:is>
      </x:c>
      <x:c r="I16" s="117" t="inlineStr">
        <x:is>
          <x:t xml:space="preserve">Built-in Dashcam</x:t>
        </x:is>
      </x:c>
      <x:c r="J16" s="117" t="inlineStr">
        <x:is>
          <x:t xml:space="preserve">Car owner</x:t>
        </x:is>
      </x:c>
      <x:c r="K16" s="117" t="inlineStr">
        <x:is>
          <x:t xml:space="preserve">Engagement</x:t>
        </x:is>
      </x:c>
      <x:c r="L16" s="117" t="inlineStr">
        <x:is>
          <x:t xml:space="preserve">Short-form video</x:t>
        </x:is>
      </x:c>
      <x:c r="M16" s="117" t="inlineStr">
        <x:is>
          <x:t xml:space="preserve">20–45 sec</x:t>
        </x:is>
      </x:c>
      <x:c r="N16" s="117" t="inlineStr">
        <x:is>
          <x:t xml:space="preserve">TikTok</x:t>
        </x:is>
      </x:c>
      <x:c r="O16" s="117" t="inlineStr">
        <x:is>
          <x:t xml:space="preserve">Instagram Reels | YouTube Shorts | Facebook Reels</x:t>
        </x:is>
      </x:c>
      <x:c r="P16" s="117" t="inlineStr">
        <x:is>
          <x:t xml:space="preserve">Open a controlled debate while ending with responsible road-safety framing.</x:t>
        </x:is>
      </x:c>
      <x:c r="Q16" s="117" t="inlineStr">
        <x:is>
          <x:t xml:space="preserve">Hot take: every daily driver should have video evidence, even for short trips.</x:t>
        </x:is>
      </x:c>
      <x:c r="R16" s="117" t="inlineStr">
        <x:is>
          <x:t xml:space="preserve">Split screen: claim vs reality, quick poll sticker, Peter closing with safe takeaway.</x:t>
        </x:is>
      </x:c>
      <x:c r="S16" s="117" t="inlineStr">
        <x:is>
          <x:t xml:space="preserve">Debate is useful only if it makes us better drivers. What is your honest view?</x:t>
        </x:is>
      </x:c>
      <x:c r="T16" s="117" t="inlineStr">
        <x:is>
          <x:t xml:space="preserve">Agree or disagree? Give your reason.</x:t>
        </x:is>
      </x:c>
      <x:c r="U16" s="117" t="inlineStr">
        <x:is>
          <x:t xml:space="preserve">Phone mount; Msafiri screen-record; Waiyaki Way / Westlands run B-roll; captions; branded end card</x:t>
        </x:is>
      </x:c>
      <x:c r="V16" s="117" t="inlineStr">
        <x:is>
          <x:t xml:space="preserve">Founder</x:t>
        </x:is>
      </x:c>
      <x:c r="W16" s="117" t="inlineStr">
        <x:is>
          <x:t xml:space="preserve">Backlog</x:t>
        </x:is>
      </x:c>
      <x:c r="X16" s="117" t="inlineStr">
        <x:is>
          <x:t xml:space="preserve">Not Started</x:t>
        </x:is>
      </x:c>
      <x:c r="Y16" s="117" t="n"/>
      <x:c r="Z16" s="118" t="n"/>
      <x:c r="AA16" s="118" t="n"/>
      <x:c r="AB16" s="118" t="n"/>
      <x:c r="AC16" s="118" t="n"/>
      <x:c r="AD16" s="118" t="n"/>
      <x:c r="AE16" s="117" t="n"/>
      <x:c r="AF16" s="122" t="inlineStr">
        <x:is>
          <x:t xml:space="preserve">Optional</x:t>
        </x:is>
      </x:c>
      <x:c r="AG16" s="117" t="inlineStr">
        <x:is>
          <x:t xml:space="preserve">Community reply</x:t>
        </x:is>
      </x:c>
      <x:c r="AH16" s="113" t="n">
        <x:v>25</x:v>
      </x:c>
      <x:c r="AI16" s="114" t="n">
        <x:v>0</x:v>
      </x:c>
      <x:c r="AJ16" s="120" t="inlineStr">
        <x:is>
          <x:t xml:space="preserve"/>
        </x:is>
      </x:c>
      <x:c r="AK16" s="113" t="n">
        <x:v>0</x:v>
      </x:c>
      <x:c r="AL16" s="114" t="n">
        <x:v>0</x:v>
      </x:c>
    </x:row>
    <x:row r="17" ht="64" customHeight="1">
      <x:c r="A17" s="109" t="n">
        <x:v>46263</x:v>
      </x:c>
      <x:c r="B17" s="110" t="inlineStr">
        <x:is>
          <x:t xml:space="preserve">Saturday</x:t>
        </x:is>
      </x:c>
      <x:c r="C17" s="110" t="n">
        <x:v>13</x:v>
      </x:c>
      <x:c r="D17" s="110" t="n">
        <x:v>2</x:v>
      </x:c>
      <x:c r="E17" s="110" t="inlineStr">
        <x:is>
          <x:t xml:space="preserve">Proof when stories disagree</x:t>
        </x:is>
      </x:c>
      <x:c r="F17" s="110" t="inlineStr">
        <x:is>
          <x:t xml:space="preserve">Evidence beats arguments</x:t>
        </x:is>
      </x:c>
      <x:c r="G17" s="110" t="inlineStr">
        <x:is>
          <x:t xml:space="preserve">Community / UGC</x:t>
        </x:is>
      </x:c>
      <x:c r="H17" s="110" t="inlineStr">
        <x:is>
          <x:t xml:space="preserve">Ask a Kenyan Driver</x:t>
        </x:is>
      </x:c>
      <x:c r="I17" s="110" t="inlineStr">
        <x:is>
          <x:t xml:space="preserve">Built-in Dashcam</x:t>
        </x:is>
      </x:c>
      <x:c r="J17" s="110" t="inlineStr">
        <x:is>
          <x:t xml:space="preserve">Car owner</x:t>
        </x:is>
      </x:c>
      <x:c r="K17" s="110" t="inlineStr">
        <x:is>
          <x:t xml:space="preserve">Community</x:t>
        </x:is>
      </x:c>
      <x:c r="L17" s="110" t="inlineStr">
        <x:is>
          <x:t xml:space="preserve">Street Interview</x:t>
        </x:is>
      </x:c>
      <x:c r="M17" s="110" t="inlineStr">
        <x:is>
          <x:t xml:space="preserve">20–60 sec</x:t>
        </x:is>
      </x:c>
      <x:c r="N17" s="110" t="inlineStr">
        <x:is>
          <x:t xml:space="preserve">TikTok</x:t>
        </x:is>
      </x:c>
      <x:c r="O17" s="110" t="inlineStr">
        <x:is>
          <x:t xml:space="preserve">Instagram Reels | Facebook Reels | YouTube Shorts</x:t>
        </x:is>
      </x:c>
      <x:c r="P17" s="110" t="inlineStr">
        <x:is>
          <x:t xml:space="preserve">Let drivers speak; collect comments and stories that can become future episodes.</x:t>
        </x:is>
      </x:c>
      <x:c r="Q17" s="110" t="inlineStr">
        <x:is>
          <x:t xml:space="preserve">We asked drivers: have you ever wished you had recorded what happened?</x:t>
        </x:is>
      </x:c>
      <x:c r="R17" s="110" t="inlineStr">
        <x:is>
          <x:t xml:space="preserve">Street interview, 3 fast answers, one unexpected answer, branded closing card.</x:t>
        </x:is>
      </x:c>
      <x:c r="S17" s="110" t="inlineStr">
        <x:is>
          <x:t xml:space="preserve">Kenyan drivers have stories. Msafiri wants to turn those stories into smarter road intelligence.</x:t>
        </x:is>
      </x:c>
      <x:c r="T17" s="110" t="inlineStr">
        <x:is>
          <x:t xml:space="preserve">Tell us your answer in the comments.</x:t>
        </x:is>
      </x:c>
      <x:c r="U17" s="110" t="inlineStr">
        <x:is>
          <x:t xml:space="preserve">Lapel mic; consent line; 3–5 driver answers; branded question card; subtitle template</x:t>
        </x:is>
      </x:c>
      <x:c r="V17" s="110" t="inlineStr">
        <x:is>
          <x:t xml:space="preserve">Founder</x:t>
        </x:is>
      </x:c>
      <x:c r="W17" s="110" t="inlineStr">
        <x:is>
          <x:t xml:space="preserve">Draft</x:t>
        </x:is>
      </x:c>
      <x:c r="X17" s="110" t="inlineStr">
        <x:is>
          <x:t xml:space="preserve">Not Started</x:t>
        </x:is>
      </x:c>
      <x:c r="Y17" s="110" t="n"/>
      <x:c r="Z17" s="111" t="n"/>
      <x:c r="AA17" s="111" t="n"/>
      <x:c r="AB17" s="111" t="n"/>
      <x:c r="AC17" s="111" t="n"/>
      <x:c r="AD17" s="111" t="n"/>
      <x:c r="AE17" s="110" t="n"/>
      <x:c r="AF17" s="112" t="inlineStr">
        <x:is>
          <x:t xml:space="preserve">Core</x:t>
        </x:is>
      </x:c>
      <x:c r="AG17" s="110" t="inlineStr">
        <x:is>
          <x:t xml:space="preserve">Field / community</x:t>
        </x:is>
      </x:c>
      <x:c r="AH17" s="113" t="n">
        <x:v>60</x:v>
      </x:c>
      <x:c r="AI17" s="114" t="n">
        <x:v>0</x:v>
      </x:c>
      <x:c r="AJ17" s="115" t="inlineStr">
        <x:is>
          <x:t xml:space="preserve"/>
        </x:is>
      </x:c>
      <x:c r="AK17" s="113" t="n">
        <x:v>0</x:v>
      </x:c>
      <x:c r="AL17" s="114" t="n">
        <x:v>0</x:v>
      </x:c>
    </x:row>
    <x:row r="18" ht="64" customHeight="1">
      <x:c r="A18" s="116" t="n">
        <x:v>46264</x:v>
      </x:c>
      <x:c r="B18" s="117" t="inlineStr">
        <x:is>
          <x:t xml:space="preserve">Sunday</x:t>
        </x:is>
      </x:c>
      <x:c r="C18" s="117" t="n">
        <x:v>14</x:v>
      </x:c>
      <x:c r="D18" s="117" t="n">
        <x:v>2</x:v>
      </x:c>
      <x:c r="E18" s="117" t="inlineStr">
        <x:is>
          <x:t xml:space="preserve">Proof when stories disagree</x:t>
        </x:is>
      </x:c>
      <x:c r="F18" s="117" t="inlineStr">
        <x:is>
          <x:t xml:space="preserve">Evidence beats arguments</x:t>
        </x:is>
      </x:c>
      <x:c r="G18" s="117" t="inlineStr">
        <x:is>
          <x:t xml:space="preserve">Education / Safety</x:t>
        </x:is>
      </x:c>
      <x:c r="H18" s="117" t="inlineStr">
        <x:is>
          <x:t xml:space="preserve">Before You Drive</x:t>
        </x:is>
      </x:c>
      <x:c r="I18" s="117" t="inlineStr">
        <x:is>
          <x:t xml:space="preserve">Built-in Dashcam</x:t>
        </x:is>
      </x:c>
      <x:c r="J18" s="117" t="inlineStr">
        <x:is>
          <x:t xml:space="preserve">Car owner</x:t>
        </x:is>
      </x:c>
      <x:c r="K18" s="117" t="inlineStr">
        <x:is>
          <x:t xml:space="preserve">Retention</x:t>
        </x:is>
      </x:c>
      <x:c r="L18" s="117" t="inlineStr">
        <x:is>
          <x:t xml:space="preserve">Checklist Reel</x:t>
        </x:is>
      </x:c>
      <x:c r="M18" s="117" t="inlineStr">
        <x:is>
          <x:t xml:space="preserve">20–45 sec</x:t>
        </x:is>
      </x:c>
      <x:c r="N18" s="117" t="inlineStr">
        <x:is>
          <x:t xml:space="preserve">Instagram Reels</x:t>
        </x:is>
      </x:c>
      <x:c r="O18" s="117" t="inlineStr">
        <x:is>
          <x:t xml:space="preserve">TikTok | YouTube Shorts | Facebook Reels | Instagram Stories</x:t>
        </x:is>
      </x:c>
      <x:c r="P18" s="117" t="inlineStr">
        <x:is>
          <x:t xml:space="preserve">A saveable checklist people can use before a real drive.</x:t>
        </x:is>
      </x:c>
      <x:c r="Q18" s="117" t="inlineStr">
        <x:is>
          <x:t xml:space="preserve">Save this proof when stories disagree checklist before your next drive.</x:t>
        </x:is>
      </x:c>
      <x:c r="R18" s="117" t="inlineStr">
        <x:is>
          <x:t xml:space="preserve">Checklist overlay, hands-on car/phone shots, one item per beat, final saved-card frame.</x:t>
        </x:is>
      </x:c>
      <x:c r="S18" s="117" t="inlineStr">
        <x:is>
          <x:t xml:space="preserve">A good drive often starts before the engine starts. Keep this simple checklist close.</x:t>
        </x:is>
      </x:c>
      <x:c r="T18" s="117" t="inlineStr">
        <x:is>
          <x:t xml:space="preserve">Save this before your next drive.</x:t>
        </x:is>
      </x:c>
      <x:c r="U18" s="117" t="inlineStr">
        <x:is>
          <x:t xml:space="preserve">Phone mount; Msafiri screen-record; Waiyaki Way / Westlands run B-roll; captions; branded end card</x:t>
        </x:is>
      </x:c>
      <x:c r="V18" s="117" t="inlineStr">
        <x:is>
          <x:t xml:space="preserve">Founder</x:t>
        </x:is>
      </x:c>
      <x:c r="W18" s="117" t="inlineStr">
        <x:is>
          <x:t xml:space="preserve">Backlog</x:t>
        </x:is>
      </x:c>
      <x:c r="X18" s="117" t="inlineStr">
        <x:is>
          <x:t xml:space="preserve">Not Started</x:t>
        </x:is>
      </x:c>
      <x:c r="Y18" s="117" t="n"/>
      <x:c r="Z18" s="118" t="n"/>
      <x:c r="AA18" s="118" t="n"/>
      <x:c r="AB18" s="118" t="n"/>
      <x:c r="AC18" s="118" t="n"/>
      <x:c r="AD18" s="118" t="n"/>
      <x:c r="AE18" s="117" t="n"/>
      <x:c r="AF18" s="122" t="inlineStr">
        <x:is>
          <x:t xml:space="preserve">Optional</x:t>
        </x:is>
      </x:c>
      <x:c r="AG18" s="117" t="inlineStr">
        <x:is>
          <x:t xml:space="preserve">Optional / planning</x:t>
        </x:is>
      </x:c>
      <x:c r="AH18" s="113" t="n">
        <x:v>20</x:v>
      </x:c>
      <x:c r="AI18" s="114" t="n">
        <x:v>0</x:v>
      </x:c>
      <x:c r="AJ18" s="120" t="inlineStr">
        <x:is>
          <x:t xml:space="preserve"/>
        </x:is>
      </x:c>
      <x:c r="AK18" s="113" t="n">
        <x:v>0</x:v>
      </x:c>
      <x:c r="AL18" s="114" t="n">
        <x:v>0</x:v>
      </x:c>
    </x:row>
    <x:row r="19" ht="64" customHeight="1">
      <x:c r="A19" s="109" t="n">
        <x:v>46265</x:v>
      </x:c>
      <x:c r="B19" s="110" t="inlineStr">
        <x:is>
          <x:t xml:space="preserve">Monday</x:t>
        </x:is>
      </x:c>
      <x:c r="C19" s="110" t="n">
        <x:v>15</x:v>
      </x:c>
      <x:c r="D19" s="110" t="n">
        <x:v>3</x:v>
      </x:c>
      <x:c r="E19" s="110" t="inlineStr">
        <x:is>
          <x:t xml:space="preserve">First 10 minutes after an accident</x:t>
        </x:is>
      </x:c>
      <x:c r="F19" s="110" t="inlineStr">
        <x:is>
          <x:t xml:space="preserve">Would you know what to do?</x:t>
        </x:is>
      </x:c>
      <x:c r="G19" s="110" t="inlineStr">
        <x:is>
          <x:t xml:space="preserve">Road Intelligence</x:t>
        </x:is>
      </x:c>
      <x:c r="H19" s="110" t="inlineStr">
        <x:is>
          <x:t xml:space="preserve">Msafiri Road Check</x:t>
        </x:is>
      </x:c>
      <x:c r="I19" s="110" t="inlineStr">
        <x:is>
          <x:t xml:space="preserve">Accident Assistant</x:t>
        </x:is>
      </x:c>
      <x:c r="J19" s="110" t="inlineStr">
        <x:is>
          <x:t xml:space="preserve">Family driver</x:t>
        </x:is>
      </x:c>
      <x:c r="K19" s="110" t="inlineStr">
        <x:is>
          <x:t xml:space="preserve">Awareness</x:t>
        </x:is>
      </x:c>
      <x:c r="L19" s="110" t="inlineStr">
        <x:is>
          <x:t xml:space="preserve">Hero / Reel</x:t>
        </x:is>
      </x:c>
      <x:c r="M19" s="110" t="inlineStr">
        <x:is>
          <x:t xml:space="preserve">45–90 sec</x:t>
        </x:is>
      </x:c>
      <x:c r="N19" s="110" t="inlineStr">
        <x:is>
          <x:t xml:space="preserve">TikTok</x:t>
        </x:is>
      </x:c>
      <x:c r="O19" s="110" t="inlineStr">
        <x:is>
          <x:t xml:space="preserve">Instagram Reels | YouTube Shorts | Facebook Reels | YouTube</x:t>
        </x:is>
      </x:c>
      <x:c r="P19" s="110" t="inlineStr">
        <x:is>
          <x:t xml:space="preserve">Anchor episode that turns this week’s theme into a road story people can recognize.</x:t>
        </x:is>
      </x:c>
      <x:c r="Q19" s="110" t="inlineStr">
        <x:is>
          <x:t xml:space="preserve">We tested Thika Road / busy junctions: what should a family driver know before driving it this week?</x:t>
        </x:is>
      </x:c>
      <x:c r="R19" s="110" t="inlineStr">
        <x:is>
          <x:t xml:space="preserve">POV drive, 3 timestamped moments, map/context overlay, quick Msafiri screen, clear payoff.</x:t>
        </x:is>
      </x:c>
      <x:c r="S19" s="110" t="inlineStr">
        <x:is>
          <x:t xml:space="preserve">Road intelligence should feel practical, not complicated. Here is what stood out on Thika Road / busy junctions.</x:t>
        </x:is>
      </x:c>
      <x:c r="T19" s="110" t="inlineStr">
        <x:is>
          <x:t xml:space="preserve">Tell us which road we should check next.</x:t>
        </x:is>
      </x:c>
      <x:c r="U19" s="110" t="inlineStr">
        <x:is>
          <x:t xml:space="preserve">Phone mount; Msafiri screen-record; Thika Road / busy junctions B-roll; captions; branded end card</x:t>
        </x:is>
      </x:c>
      <x:c r="V19" s="110" t="inlineStr">
        <x:is>
          <x:t xml:space="preserve">Founder</x:t>
        </x:is>
      </x:c>
      <x:c r="W19" s="110" t="inlineStr">
        <x:is>
          <x:t xml:space="preserve">Draft</x:t>
        </x:is>
      </x:c>
      <x:c r="X19" s="110" t="inlineStr">
        <x:is>
          <x:t xml:space="preserve">Not Started</x:t>
        </x:is>
      </x:c>
      <x:c r="Y19" s="110" t="n"/>
      <x:c r="Z19" s="111" t="n"/>
      <x:c r="AA19" s="111" t="n"/>
      <x:c r="AB19" s="111" t="n"/>
      <x:c r="AC19" s="111" t="n"/>
      <x:c r="AD19" s="111" t="n"/>
      <x:c r="AE19" s="110" t="n"/>
      <x:c r="AF19" s="112" t="inlineStr">
        <x:is>
          <x:t xml:space="preserve">Core</x:t>
        </x:is>
      </x:c>
      <x:c r="AG19" s="110" t="inlineStr">
        <x:is>
          <x:t xml:space="preserve">Field / anchor</x:t>
        </x:is>
      </x:c>
      <x:c r="AH19" s="113" t="n">
        <x:v>75</x:v>
      </x:c>
      <x:c r="AI19" s="114" t="n">
        <x:v>0</x:v>
      </x:c>
      <x:c r="AJ19" s="115" t="inlineStr">
        <x:is>
          <x:t xml:space="preserve"/>
        </x:is>
      </x:c>
      <x:c r="AK19" s="113" t="n">
        <x:v>0</x:v>
      </x:c>
      <x:c r="AL19" s="114" t="n">
        <x:v>0</x:v>
      </x:c>
    </x:row>
    <x:row r="20" ht="64" customHeight="1">
      <x:c r="A20" s="116" t="n">
        <x:v>46266</x:v>
      </x:c>
      <x:c r="B20" s="117" t="inlineStr">
        <x:is>
          <x:t xml:space="preserve">Tuesday</x:t>
        </x:is>
      </x:c>
      <x:c r="C20" s="117" t="n">
        <x:v>16</x:v>
      </x:c>
      <x:c r="D20" s="117" t="n">
        <x:v>3</x:v>
      </x:c>
      <x:c r="E20" s="117" t="inlineStr">
        <x:is>
          <x:t xml:space="preserve">First 10 minutes after an accident</x:t>
        </x:is>
      </x:c>
      <x:c r="F20" s="117" t="inlineStr">
        <x:is>
          <x:t xml:space="preserve">Would you know what to do?</x:t>
        </x:is>
      </x:c>
      <x:c r="G20" s="117" t="inlineStr">
        <x:is>
          <x:t xml:space="preserve">Product / Feature Proof</x:t>
        </x:is>
      </x:c>
      <x:c r="H20" s="117" t="inlineStr">
        <x:is>
          <x:t xml:space="preserve">Feature in the Wild</x:t>
        </x:is>
      </x:c>
      <x:c r="I20" s="117" t="inlineStr">
        <x:is>
          <x:t xml:space="preserve">Accident Assistant</x:t>
        </x:is>
      </x:c>
      <x:c r="J20" s="117" t="inlineStr">
        <x:is>
          <x:t xml:space="preserve">Family driver</x:t>
        </x:is>
      </x:c>
      <x:c r="K20" s="117" t="inlineStr">
        <x:is>
          <x:t xml:space="preserve">Feature Discovery</x:t>
        </x:is>
      </x:c>
      <x:c r="L20" s="117" t="inlineStr">
        <x:is>
          <x:t xml:space="preserve">Short-form video</x:t>
        </x:is>
      </x:c>
      <x:c r="M20" s="117" t="inlineStr">
        <x:is>
          <x:t xml:space="preserve">20–45 sec</x:t>
        </x:is>
      </x:c>
      <x:c r="N20" s="117" t="inlineStr">
        <x:is>
          <x:t xml:space="preserve">Instagram Reels</x:t>
        </x:is>
      </x:c>
      <x:c r="O20" s="117" t="inlineStr">
        <x:is>
          <x:t xml:space="preserve">TikTok | YouTube Shorts | Facebook Reels</x:t>
        </x:is>
      </x:c>
      <x:c r="P20" s="117" t="inlineStr">
        <x:is>
          <x:t xml:space="preserve">Show the feature solving one real driving moment without turning the video into an ad.</x:t>
        </x:is>
      </x:c>
      <x:c r="Q20" s="117" t="inlineStr">
        <x:is>
          <x:t xml:space="preserve">Accident Assistant only makes sense when everyone is shaken and nobody knows what to collect first; here is the 30-second version.</x:t>
        </x:is>
      </x:c>
      <x:c r="R20" s="117" t="inlineStr">
        <x:is>
          <x:t xml:space="preserve">Phone mount, screen-record, before/after comparison, one clean feature payoff.</x:t>
        </x:is>
      </x:c>
      <x:c r="S20" s="117" t="inlineStr">
        <x:is>
          <x:t xml:space="preserve">A feature is only useful if it helps in the exact moment a driver needs it.</x:t>
        </x:is>
      </x:c>
      <x:c r="T20" s="117" t="inlineStr">
        <x:is>
          <x:t xml:space="preserve">Try Msafiri on your next drive.</x:t>
        </x:is>
      </x:c>
      <x:c r="U20" s="117" t="inlineStr">
        <x:is>
          <x:t xml:space="preserve">Phone mount; Msafiri screen-record; Thika Road / busy junctions B-roll; captions; branded end card</x:t>
        </x:is>
      </x:c>
      <x:c r="V20" s="117" t="inlineStr">
        <x:is>
          <x:t xml:space="preserve">Founder</x:t>
        </x:is>
      </x:c>
      <x:c r="W20" s="117" t="inlineStr">
        <x:is>
          <x:t xml:space="preserve">Draft</x:t>
        </x:is>
      </x:c>
      <x:c r="X20" s="117" t="inlineStr">
        <x:is>
          <x:t xml:space="preserve">Not Started</x:t>
        </x:is>
      </x:c>
      <x:c r="Y20" s="117" t="n"/>
      <x:c r="Z20" s="118" t="n"/>
      <x:c r="AA20" s="118" t="n"/>
      <x:c r="AB20" s="118" t="n"/>
      <x:c r="AC20" s="118" t="n"/>
      <x:c r="AD20" s="118" t="n"/>
      <x:c r="AE20" s="117" t="n"/>
      <x:c r="AF20" s="119" t="inlineStr">
        <x:is>
          <x:t xml:space="preserve">Core</x:t>
        </x:is>
      </x:c>
      <x:c r="AG20" s="117" t="inlineStr">
        <x:is>
          <x:t xml:space="preserve">Screen demo</x:t>
        </x:is>
      </x:c>
      <x:c r="AH20" s="113" t="n">
        <x:v>45</x:v>
      </x:c>
      <x:c r="AI20" s="114" t="n">
        <x:v>0</x:v>
      </x:c>
      <x:c r="AJ20" s="120" t="inlineStr">
        <x:is>
          <x:t xml:space="preserve"/>
        </x:is>
      </x:c>
      <x:c r="AK20" s="113" t="n">
        <x:v>0</x:v>
      </x:c>
      <x:c r="AL20" s="114" t="n">
        <x:v>0</x:v>
      </x:c>
    </x:row>
    <x:row r="21" ht="64" customHeight="1">
      <x:c r="A21" s="109" t="n">
        <x:v>46267</x:v>
      </x:c>
      <x:c r="B21" s="110" t="inlineStr">
        <x:is>
          <x:t xml:space="preserve">Wednesday</x:t>
        </x:is>
      </x:c>
      <x:c r="C21" s="110" t="n">
        <x:v>17</x:v>
      </x:c>
      <x:c r="D21" s="110" t="n">
        <x:v>3</x:v>
      </x:c>
      <x:c r="E21" s="110" t="inlineStr">
        <x:is>
          <x:t xml:space="preserve">First 10 minutes after an accident</x:t>
        </x:is>
      </x:c>
      <x:c r="F21" s="110" t="inlineStr">
        <x:is>
          <x:t xml:space="preserve">Would you know what to do?</x:t>
        </x:is>
      </x:c>
      <x:c r="G21" s="110" t="inlineStr">
        <x:is>
          <x:t xml:space="preserve">Kenyan Driving Reality</x:t>
        </x:is>
      </x:c>
      <x:c r="H21" s="110" t="inlineStr">
        <x:is>
          <x:t xml:space="preserve">Kenyan Driver Problems</x:t>
        </x:is>
      </x:c>
      <x:c r="I21" s="110" t="inlineStr">
        <x:is>
          <x:t xml:space="preserve">Accident Assistant</x:t>
        </x:is>
      </x:c>
      <x:c r="J21" s="110" t="inlineStr">
        <x:is>
          <x:t xml:space="preserve">Family driver</x:t>
        </x:is>
      </x:c>
      <x:c r="K21" s="110" t="inlineStr">
        <x:is>
          <x:t xml:space="preserve">Engagement</x:t>
        </x:is>
      </x:c>
      <x:c r="L21" s="110" t="inlineStr">
        <x:is>
          <x:t xml:space="preserve">Skit</x:t>
        </x:is>
      </x:c>
      <x:c r="M21" s="110" t="inlineStr">
        <x:is>
          <x:t xml:space="preserve">15–35 sec</x:t>
        </x:is>
      </x:c>
      <x:c r="N21" s="110" t="inlineStr">
        <x:is>
          <x:t xml:space="preserve">TikTok</x:t>
        </x:is>
      </x:c>
      <x:c r="O21" s="110" t="inlineStr">
        <x:is>
          <x:t xml:space="preserve">Instagram Reels | Facebook Reels | YouTube Shorts</x:t>
        </x:is>
      </x:c>
      <x:c r="P21" s="110" t="inlineStr">
        <x:is>
          <x:t xml:space="preserve">Relatable driver tension; make people laugh, then attach a practical Msafiri angle.</x:t>
        </x:is>
      </x:c>
      <x:c r="Q21" s="110" t="inlineStr">
        <x:is>
          <x:t xml:space="preserve">POV: everyone is shaken and nobody knows what to collect first and everyone in the car suddenly becomes a driving expert.</x:t>
        </x:is>
      </x:c>
      <x:c r="R21" s="110" t="inlineStr">
        <x:is>
          <x:t xml:space="preserve">Driver/passenger skit, quick reaction cuts, exaggerated but familiar Kenyan driving moment.</x:t>
        </x:is>
      </x:c>
      <x:c r="S21" s="110" t="inlineStr">
        <x:is>
          <x:t xml:space="preserve">Every driver knows this argument. The smart move is having better information before the argument starts.</x:t>
        </x:is>
      </x:c>
      <x:c r="T21" s="110" t="inlineStr">
        <x:is>
          <x:t xml:space="preserve">Tag the driver who does this.</x:t>
        </x:is>
      </x:c>
      <x:c r="U21" s="110" t="inlineStr">
        <x:is>
          <x:t xml:space="preserve">Phone mount; Msafiri screen-record; Thika Road / busy junctions B-roll; captions; branded end card</x:t>
        </x:is>
      </x:c>
      <x:c r="V21" s="110" t="inlineStr">
        <x:is>
          <x:t xml:space="preserve">Founder</x:t>
        </x:is>
      </x:c>
      <x:c r="W21" s="110" t="inlineStr">
        <x:is>
          <x:t xml:space="preserve">Backlog</x:t>
        </x:is>
      </x:c>
      <x:c r="X21" s="110" t="inlineStr">
        <x:is>
          <x:t xml:space="preserve">Not Started</x:t>
        </x:is>
      </x:c>
      <x:c r="Y21" s="110" t="n"/>
      <x:c r="Z21" s="111" t="n"/>
      <x:c r="AA21" s="111" t="n"/>
      <x:c r="AB21" s="111" t="n"/>
      <x:c r="AC21" s="111" t="n"/>
      <x:c r="AD21" s="111" t="n"/>
      <x:c r="AE21" s="110" t="n"/>
      <x:c r="AF21" s="121" t="inlineStr">
        <x:is>
          <x:t xml:space="preserve">Optional</x:t>
        </x:is>
      </x:c>
      <x:c r="AG21" s="110" t="inlineStr">
        <x:is>
          <x:t xml:space="preserve">Repurpose / story</x:t>
        </x:is>
      </x:c>
      <x:c r="AH21" s="113" t="n">
        <x:v>25</x:v>
      </x:c>
      <x:c r="AI21" s="114" t="n">
        <x:v>0</x:v>
      </x:c>
      <x:c r="AJ21" s="115" t="inlineStr">
        <x:is>
          <x:t xml:space="preserve"/>
        </x:is>
      </x:c>
      <x:c r="AK21" s="113" t="n">
        <x:v>0</x:v>
      </x:c>
      <x:c r="AL21" s="114" t="n">
        <x:v>0</x:v>
      </x:c>
    </x:row>
    <x:row r="22" ht="64" customHeight="1">
      <x:c r="A22" s="116" t="n">
        <x:v>46268</x:v>
      </x:c>
      <x:c r="B22" s="117" t="inlineStr">
        <x:is>
          <x:t xml:space="preserve">Thursday</x:t>
        </x:is>
      </x:c>
      <x:c r="C22" s="117" t="n">
        <x:v>18</x:v>
      </x:c>
      <x:c r="D22" s="117" t="n">
        <x:v>3</x:v>
      </x:c>
      <x:c r="E22" s="117" t="inlineStr">
        <x:is>
          <x:t xml:space="preserve">First 10 minutes after an accident</x:t>
        </x:is>
      </x:c>
      <x:c r="F22" s="117" t="inlineStr">
        <x:is>
          <x:t xml:space="preserve">Would you know what to do?</x:t>
        </x:is>
      </x:c>
      <x:c r="G22" s="117" t="inlineStr">
        <x:is>
          <x:t xml:space="preserve">Founder / BTS</x:t>
        </x:is>
      </x:c>
      <x:c r="H22" s="117" t="inlineStr">
        <x:is>
          <x:t xml:space="preserve">Founder Files</x:t>
        </x:is>
      </x:c>
      <x:c r="I22" s="117" t="inlineStr">
        <x:is>
          <x:t xml:space="preserve">Accident Assistant</x:t>
        </x:is>
      </x:c>
      <x:c r="J22" s="117" t="inlineStr">
        <x:is>
          <x:t xml:space="preserve">Family driver</x:t>
        </x:is>
      </x:c>
      <x:c r="K22" s="117" t="inlineStr">
        <x:is>
          <x:t xml:space="preserve">Trust</x:t>
        </x:is>
      </x:c>
      <x:c r="L22" s="117" t="inlineStr">
        <x:is>
          <x:t xml:space="preserve">Founder-to-camera</x:t>
        </x:is>
      </x:c>
      <x:c r="M22" s="117" t="inlineStr">
        <x:is>
          <x:t xml:space="preserve">30–60 sec</x:t>
        </x:is>
      </x:c>
      <x:c r="N22" s="117" t="inlineStr">
        <x:is>
          <x:t xml:space="preserve">Instagram Reels</x:t>
        </x:is>
      </x:c>
      <x:c r="O22" s="117" t="inlineStr">
        <x:is>
          <x:t xml:space="preserve">TikTok | YouTube Shorts | LinkedIn</x:t>
        </x:is>
      </x:c>
      <x:c r="P22" s="117" t="inlineStr">
        <x:is>
          <x:t xml:space="preserve">Peter explains the product decision, tradeoff, or local insight behind the week’s feature.</x:t>
        </x:is>
      </x:c>
      <x:c r="Q22" s="117" t="inlineStr">
        <x:is>
          <x:t xml:space="preserve">Peter here — this is why we built Accident Assistant for Kenyan drivers, not just generic drivers.</x:t>
        </x:is>
      </x:c>
      <x:c r="R22" s="117" t="inlineStr">
        <x:is>
          <x:t xml:space="preserve">Peter in car or office, quick cutaways to road test, product screen and handwritten notes.</x:t>
        </x:is>
      </x:c>
      <x:c r="S22" s="117" t="inlineStr">
        <x:is>
          <x:t xml:space="preserve">The goal is not another app on your phone. The goal is a calmer, more prepared drive.</x:t>
        </x:is>
      </x:c>
      <x:c r="T22" s="117" t="inlineStr">
        <x:is>
          <x:t xml:space="preserve">Follow Msafiri as we build for Kenyan roads.</x:t>
        </x:is>
      </x:c>
      <x:c r="U22" s="117" t="inlineStr">
        <x:is>
          <x:t xml:space="preserve">Peter on-camera setup; car/office B-roll; product screen; simple lower-third</x:t>
        </x:is>
      </x:c>
      <x:c r="V22" s="117" t="inlineStr">
        <x:is>
          <x:t xml:space="preserve">Founder</x:t>
        </x:is>
      </x:c>
      <x:c r="W22" s="117" t="inlineStr">
        <x:is>
          <x:t xml:space="preserve">Draft</x:t>
        </x:is>
      </x:c>
      <x:c r="X22" s="117" t="inlineStr">
        <x:is>
          <x:t xml:space="preserve">Not Started</x:t>
        </x:is>
      </x:c>
      <x:c r="Y22" s="117" t="n"/>
      <x:c r="Z22" s="118" t="n"/>
      <x:c r="AA22" s="118" t="n"/>
      <x:c r="AB22" s="118" t="n"/>
      <x:c r="AC22" s="118" t="n"/>
      <x:c r="AD22" s="118" t="n"/>
      <x:c r="AE22" s="117" t="n"/>
      <x:c r="AF22" s="119" t="inlineStr">
        <x:is>
          <x:t xml:space="preserve">Core</x:t>
        </x:is>
      </x:c>
      <x:c r="AG22" s="117" t="inlineStr">
        <x:is>
          <x:t xml:space="preserve">Founder / education</x:t>
        </x:is>
      </x:c>
      <x:c r="AH22" s="113" t="n">
        <x:v>45</x:v>
      </x:c>
      <x:c r="AI22" s="114" t="n">
        <x:v>0</x:v>
      </x:c>
      <x:c r="AJ22" s="120" t="inlineStr">
        <x:is>
          <x:t xml:space="preserve"/>
        </x:is>
      </x:c>
      <x:c r="AK22" s="113" t="n">
        <x:v>0</x:v>
      </x:c>
      <x:c r="AL22" s="114" t="n">
        <x:v>0</x:v>
      </x:c>
    </x:row>
    <x:row r="23" ht="64" customHeight="1">
      <x:c r="A23" s="109" t="n">
        <x:v>46269</x:v>
      </x:c>
      <x:c r="B23" s="110" t="inlineStr">
        <x:is>
          <x:t xml:space="preserve">Friday</x:t>
        </x:is>
      </x:c>
      <x:c r="C23" s="110" t="n">
        <x:v>19</x:v>
      </x:c>
      <x:c r="D23" s="110" t="n">
        <x:v>3</x:v>
      </x:c>
      <x:c r="E23" s="110" t="inlineStr">
        <x:is>
          <x:t xml:space="preserve">First 10 minutes after an accident</x:t>
        </x:is>
      </x:c>
      <x:c r="F23" s="110" t="inlineStr">
        <x:is>
          <x:t xml:space="preserve">Would you know what to do?</x:t>
        </x:is>
      </x:c>
      <x:c r="G23" s="110" t="inlineStr">
        <x:is>
          <x:t xml:space="preserve">Debate / Mythbusters</x:t>
        </x:is>
      </x:c>
      <x:c r="H23" s="110" t="inlineStr">
        <x:is>
          <x:t xml:space="preserve">Road Mythbusters</x:t>
        </x:is>
      </x:c>
      <x:c r="I23" s="110" t="inlineStr">
        <x:is>
          <x:t xml:space="preserve">Accident Assistant</x:t>
        </x:is>
      </x:c>
      <x:c r="J23" s="110" t="inlineStr">
        <x:is>
          <x:t xml:space="preserve">Family driver</x:t>
        </x:is>
      </x:c>
      <x:c r="K23" s="110" t="inlineStr">
        <x:is>
          <x:t xml:space="preserve">Engagement</x:t>
        </x:is>
      </x:c>
      <x:c r="L23" s="110" t="inlineStr">
        <x:is>
          <x:t xml:space="preserve">Short-form video</x:t>
        </x:is>
      </x:c>
      <x:c r="M23" s="110" t="inlineStr">
        <x:is>
          <x:t xml:space="preserve">20–45 sec</x:t>
        </x:is>
      </x:c>
      <x:c r="N23" s="110" t="inlineStr">
        <x:is>
          <x:t xml:space="preserve">TikTok</x:t>
        </x:is>
      </x:c>
      <x:c r="O23" s="110" t="inlineStr">
        <x:is>
          <x:t xml:space="preserve">Instagram Reels | YouTube Shorts | Facebook Reels</x:t>
        </x:is>
      </x:c>
      <x:c r="P23" s="110" t="inlineStr">
        <x:is>
          <x:t xml:space="preserve">Open a controlled debate while ending with responsible road-safety framing.</x:t>
        </x:is>
      </x:c>
      <x:c r="Q23" s="110" t="inlineStr">
        <x:is>
          <x:t xml:space="preserve">Hot take: most drivers think they know what to do after a crash until it happens.</x:t>
        </x:is>
      </x:c>
      <x:c r="R23" s="110" t="inlineStr">
        <x:is>
          <x:t xml:space="preserve">Split screen: claim vs reality, quick poll sticker, Peter closing with safe takeaway.</x:t>
        </x:is>
      </x:c>
      <x:c r="S23" s="110" t="inlineStr">
        <x:is>
          <x:t xml:space="preserve">Debate is useful only if it makes us better drivers. What is your honest view?</x:t>
        </x:is>
      </x:c>
      <x:c r="T23" s="110" t="inlineStr">
        <x:is>
          <x:t xml:space="preserve">Agree or disagree? Give your reason.</x:t>
        </x:is>
      </x:c>
      <x:c r="U23" s="110" t="inlineStr">
        <x:is>
          <x:t xml:space="preserve">Phone mount; Msafiri screen-record; Thika Road / busy junctions B-roll; captions; branded end card</x:t>
        </x:is>
      </x:c>
      <x:c r="V23" s="110" t="inlineStr">
        <x:is>
          <x:t xml:space="preserve">Founder</x:t>
        </x:is>
      </x:c>
      <x:c r="W23" s="110" t="inlineStr">
        <x:is>
          <x:t xml:space="preserve">Backlog</x:t>
        </x:is>
      </x:c>
      <x:c r="X23" s="110" t="inlineStr">
        <x:is>
          <x:t xml:space="preserve">Not Started</x:t>
        </x:is>
      </x:c>
      <x:c r="Y23" s="110" t="n"/>
      <x:c r="Z23" s="111" t="n"/>
      <x:c r="AA23" s="111" t="n"/>
      <x:c r="AB23" s="111" t="n"/>
      <x:c r="AC23" s="111" t="n"/>
      <x:c r="AD23" s="111" t="n"/>
      <x:c r="AE23" s="110" t="n"/>
      <x:c r="AF23" s="121" t="inlineStr">
        <x:is>
          <x:t xml:space="preserve">Optional</x:t>
        </x:is>
      </x:c>
      <x:c r="AG23" s="110" t="inlineStr">
        <x:is>
          <x:t xml:space="preserve">Community reply</x:t>
        </x:is>
      </x:c>
      <x:c r="AH23" s="113" t="n">
        <x:v>25</x:v>
      </x:c>
      <x:c r="AI23" s="114" t="n">
        <x:v>0</x:v>
      </x:c>
      <x:c r="AJ23" s="115" t="inlineStr">
        <x:is>
          <x:t xml:space="preserve"/>
        </x:is>
      </x:c>
      <x:c r="AK23" s="113" t="n">
        <x:v>0</x:v>
      </x:c>
      <x:c r="AL23" s="114" t="n">
        <x:v>0</x:v>
      </x:c>
    </x:row>
    <x:row r="24" ht="64" customHeight="1">
      <x:c r="A24" s="116" t="n">
        <x:v>46270</x:v>
      </x:c>
      <x:c r="B24" s="117" t="inlineStr">
        <x:is>
          <x:t xml:space="preserve">Saturday</x:t>
        </x:is>
      </x:c>
      <x:c r="C24" s="117" t="n">
        <x:v>20</x:v>
      </x:c>
      <x:c r="D24" s="117" t="n">
        <x:v>3</x:v>
      </x:c>
      <x:c r="E24" s="117" t="inlineStr">
        <x:is>
          <x:t xml:space="preserve">First 10 minutes after an accident</x:t>
        </x:is>
      </x:c>
      <x:c r="F24" s="117" t="inlineStr">
        <x:is>
          <x:t xml:space="preserve">Would you know what to do?</x:t>
        </x:is>
      </x:c>
      <x:c r="G24" s="117" t="inlineStr">
        <x:is>
          <x:t xml:space="preserve">Community / UGC</x:t>
        </x:is>
      </x:c>
      <x:c r="H24" s="117" t="inlineStr">
        <x:is>
          <x:t xml:space="preserve">Ask a Kenyan Driver</x:t>
        </x:is>
      </x:c>
      <x:c r="I24" s="117" t="inlineStr">
        <x:is>
          <x:t xml:space="preserve">Accident Assistant</x:t>
        </x:is>
      </x:c>
      <x:c r="J24" s="117" t="inlineStr">
        <x:is>
          <x:t xml:space="preserve">Family driver</x:t>
        </x:is>
      </x:c>
      <x:c r="K24" s="117" t="inlineStr">
        <x:is>
          <x:t xml:space="preserve">Community</x:t>
        </x:is>
      </x:c>
      <x:c r="L24" s="117" t="inlineStr">
        <x:is>
          <x:t xml:space="preserve">Street Interview</x:t>
        </x:is>
      </x:c>
      <x:c r="M24" s="117" t="inlineStr">
        <x:is>
          <x:t xml:space="preserve">20–60 sec</x:t>
        </x:is>
      </x:c>
      <x:c r="N24" s="117" t="inlineStr">
        <x:is>
          <x:t xml:space="preserve">TikTok</x:t>
        </x:is>
      </x:c>
      <x:c r="O24" s="117" t="inlineStr">
        <x:is>
          <x:t xml:space="preserve">Instagram Reels | Facebook Reels | YouTube Shorts</x:t>
        </x:is>
      </x:c>
      <x:c r="P24" s="117" t="inlineStr">
        <x:is>
          <x:t xml:space="preserve">Let drivers speak; collect comments and stories that can become future episodes.</x:t>
        </x:is>
      </x:c>
      <x:c r="Q24" s="117" t="inlineStr">
        <x:is>
          <x:t xml:space="preserve">We asked drivers: what would you do first after a minor crash?</x:t>
        </x:is>
      </x:c>
      <x:c r="R24" s="117" t="inlineStr">
        <x:is>
          <x:t xml:space="preserve">Street interview, 3 fast answers, one unexpected answer, branded closing card.</x:t>
        </x:is>
      </x:c>
      <x:c r="S24" s="117" t="inlineStr">
        <x:is>
          <x:t xml:space="preserve">Kenyan drivers have stories. Msafiri wants to turn those stories into smarter road intelligence.</x:t>
        </x:is>
      </x:c>
      <x:c r="T24" s="117" t="inlineStr">
        <x:is>
          <x:t xml:space="preserve">Tell us your answer in the comments.</x:t>
        </x:is>
      </x:c>
      <x:c r="U24" s="117" t="inlineStr">
        <x:is>
          <x:t xml:space="preserve">Lapel mic; consent line; 3–5 driver answers; branded question card; subtitle template</x:t>
        </x:is>
      </x:c>
      <x:c r="V24" s="117" t="inlineStr">
        <x:is>
          <x:t xml:space="preserve">Founder</x:t>
        </x:is>
      </x:c>
      <x:c r="W24" s="117" t="inlineStr">
        <x:is>
          <x:t xml:space="preserve">Draft</x:t>
        </x:is>
      </x:c>
      <x:c r="X24" s="117" t="inlineStr">
        <x:is>
          <x:t xml:space="preserve">Not Started</x:t>
        </x:is>
      </x:c>
      <x:c r="Y24" s="117" t="n"/>
      <x:c r="Z24" s="118" t="n"/>
      <x:c r="AA24" s="118" t="n"/>
      <x:c r="AB24" s="118" t="n"/>
      <x:c r="AC24" s="118" t="n"/>
      <x:c r="AD24" s="118" t="n"/>
      <x:c r="AE24" s="117" t="n"/>
      <x:c r="AF24" s="119" t="inlineStr">
        <x:is>
          <x:t xml:space="preserve">Core</x:t>
        </x:is>
      </x:c>
      <x:c r="AG24" s="117" t="inlineStr">
        <x:is>
          <x:t xml:space="preserve">Field / community</x:t>
        </x:is>
      </x:c>
      <x:c r="AH24" s="113" t="n">
        <x:v>60</x:v>
      </x:c>
      <x:c r="AI24" s="114" t="n">
        <x:v>0</x:v>
      </x:c>
      <x:c r="AJ24" s="120" t="inlineStr">
        <x:is>
          <x:t xml:space="preserve"/>
        </x:is>
      </x:c>
      <x:c r="AK24" s="113" t="n">
        <x:v>0</x:v>
      </x:c>
      <x:c r="AL24" s="114" t="n">
        <x:v>0</x:v>
      </x:c>
    </x:row>
    <x:row r="25" ht="64" customHeight="1">
      <x:c r="A25" s="109" t="n">
        <x:v>46271</x:v>
      </x:c>
      <x:c r="B25" s="110" t="inlineStr">
        <x:is>
          <x:t xml:space="preserve">Sunday</x:t>
        </x:is>
      </x:c>
      <x:c r="C25" s="110" t="n">
        <x:v>21</x:v>
      </x:c>
      <x:c r="D25" s="110" t="n">
        <x:v>3</x:v>
      </x:c>
      <x:c r="E25" s="110" t="inlineStr">
        <x:is>
          <x:t xml:space="preserve">First 10 minutes after an accident</x:t>
        </x:is>
      </x:c>
      <x:c r="F25" s="110" t="inlineStr">
        <x:is>
          <x:t xml:space="preserve">Would you know what to do?</x:t>
        </x:is>
      </x:c>
      <x:c r="G25" s="110" t="inlineStr">
        <x:is>
          <x:t xml:space="preserve">Education / Safety</x:t>
        </x:is>
      </x:c>
      <x:c r="H25" s="110" t="inlineStr">
        <x:is>
          <x:t xml:space="preserve">Before You Drive</x:t>
        </x:is>
      </x:c>
      <x:c r="I25" s="110" t="inlineStr">
        <x:is>
          <x:t xml:space="preserve">Accident Assistant</x:t>
        </x:is>
      </x:c>
      <x:c r="J25" s="110" t="inlineStr">
        <x:is>
          <x:t xml:space="preserve">Family driver</x:t>
        </x:is>
      </x:c>
      <x:c r="K25" s="110" t="inlineStr">
        <x:is>
          <x:t xml:space="preserve">Retention</x:t>
        </x:is>
      </x:c>
      <x:c r="L25" s="110" t="inlineStr">
        <x:is>
          <x:t xml:space="preserve">Checklist Reel</x:t>
        </x:is>
      </x:c>
      <x:c r="M25" s="110" t="inlineStr">
        <x:is>
          <x:t xml:space="preserve">20–45 sec</x:t>
        </x:is>
      </x:c>
      <x:c r="N25" s="110" t="inlineStr">
        <x:is>
          <x:t xml:space="preserve">Instagram Reels</x:t>
        </x:is>
      </x:c>
      <x:c r="O25" s="110" t="inlineStr">
        <x:is>
          <x:t xml:space="preserve">TikTok | YouTube Shorts | Facebook Reels | Instagram Stories</x:t>
        </x:is>
      </x:c>
      <x:c r="P25" s="110" t="inlineStr">
        <x:is>
          <x:t xml:space="preserve">A saveable checklist people can use before a real drive.</x:t>
        </x:is>
      </x:c>
      <x:c r="Q25" s="110" t="inlineStr">
        <x:is>
          <x:t xml:space="preserve">Save this first 10 minutes after an accident checklist before your next drive.</x:t>
        </x:is>
      </x:c>
      <x:c r="R25" s="110" t="inlineStr">
        <x:is>
          <x:t xml:space="preserve">Checklist overlay, hands-on car/phone shots, one item per beat, final saved-card frame.</x:t>
        </x:is>
      </x:c>
      <x:c r="S25" s="110" t="inlineStr">
        <x:is>
          <x:t xml:space="preserve">A good drive often starts before the engine starts. Keep this simple checklist close.</x:t>
        </x:is>
      </x:c>
      <x:c r="T25" s="110" t="inlineStr">
        <x:is>
          <x:t xml:space="preserve">Save this before your next drive.</x:t>
        </x:is>
      </x:c>
      <x:c r="U25" s="110" t="inlineStr">
        <x:is>
          <x:t xml:space="preserve">Phone mount; Msafiri screen-record; Thika Road / busy junctions B-roll; captions; branded end card</x:t>
        </x:is>
      </x:c>
      <x:c r="V25" s="110" t="inlineStr">
        <x:is>
          <x:t xml:space="preserve">Founder</x:t>
        </x:is>
      </x:c>
      <x:c r="W25" s="110" t="inlineStr">
        <x:is>
          <x:t xml:space="preserve">Backlog</x:t>
        </x:is>
      </x:c>
      <x:c r="X25" s="110" t="inlineStr">
        <x:is>
          <x:t xml:space="preserve">Not Started</x:t>
        </x:is>
      </x:c>
      <x:c r="Y25" s="110" t="n"/>
      <x:c r="Z25" s="111" t="n"/>
      <x:c r="AA25" s="111" t="n"/>
      <x:c r="AB25" s="111" t="n"/>
      <x:c r="AC25" s="111" t="n"/>
      <x:c r="AD25" s="111" t="n"/>
      <x:c r="AE25" s="110" t="n"/>
      <x:c r="AF25" s="121" t="inlineStr">
        <x:is>
          <x:t xml:space="preserve">Optional</x:t>
        </x:is>
      </x:c>
      <x:c r="AG25" s="110" t="inlineStr">
        <x:is>
          <x:t xml:space="preserve">Optional / planning</x:t>
        </x:is>
      </x:c>
      <x:c r="AH25" s="113" t="n">
        <x:v>20</x:v>
      </x:c>
      <x:c r="AI25" s="114" t="n">
        <x:v>0</x:v>
      </x:c>
      <x:c r="AJ25" s="115" t="inlineStr">
        <x:is>
          <x:t xml:space="preserve"/>
        </x:is>
      </x:c>
      <x:c r="AK25" s="113" t="n">
        <x:v>0</x:v>
      </x:c>
      <x:c r="AL25" s="114" t="n">
        <x:v>0</x:v>
      </x:c>
    </x:row>
    <x:row r="26" ht="64" customHeight="1">
      <x:c r="A26" s="116" t="n">
        <x:v>46272</x:v>
      </x:c>
      <x:c r="B26" s="117" t="inlineStr">
        <x:is>
          <x:t xml:space="preserve">Monday</x:t>
        </x:is>
      </x:c>
      <x:c r="C26" s="117" t="n">
        <x:v>22</x:v>
      </x:c>
      <x:c r="D26" s="117" t="n">
        <x:v>4</x:v>
      </x:c>
      <x:c r="E26" s="117" t="inlineStr">
        <x:is>
          <x:t xml:space="preserve">Nairobi commute survival</x:t>
        </x:is>
      </x:c>
      <x:c r="F26" s="117" t="inlineStr">
        <x:is>
          <x:t xml:space="preserve">Your drive before it surprises you</x:t>
        </x:is>
      </x:c>
      <x:c r="G26" s="117" t="inlineStr">
        <x:is>
          <x:t xml:space="preserve">Road Intelligence</x:t>
        </x:is>
      </x:c>
      <x:c r="H26" s="117" t="inlineStr">
        <x:is>
          <x:t xml:space="preserve">Msafiri Road Check</x:t>
        </x:is>
      </x:c>
      <x:c r="I26" s="117" t="inlineStr">
        <x:is>
          <x:t xml:space="preserve">Road alerts</x:t>
        </x:is>
      </x:c>
      <x:c r="J26" s="117" t="inlineStr">
        <x:is>
          <x:t xml:space="preserve">Daily Nairobi commuter</x:t>
        </x:is>
      </x:c>
      <x:c r="K26" s="117" t="inlineStr">
        <x:is>
          <x:t xml:space="preserve">Awareness</x:t>
        </x:is>
      </x:c>
      <x:c r="L26" s="117" t="inlineStr">
        <x:is>
          <x:t xml:space="preserve">Hero / Reel</x:t>
        </x:is>
      </x:c>
      <x:c r="M26" s="117" t="inlineStr">
        <x:is>
          <x:t xml:space="preserve">45–90 sec</x:t>
        </x:is>
      </x:c>
      <x:c r="N26" s="117" t="inlineStr">
        <x:is>
          <x:t xml:space="preserve">TikTok</x:t>
        </x:is>
      </x:c>
      <x:c r="O26" s="117" t="inlineStr">
        <x:is>
          <x:t xml:space="preserve">Instagram Reels | YouTube Shorts | Facebook Reels | YouTube</x:t>
        </x:is>
      </x:c>
      <x:c r="P26" s="117" t="inlineStr">
        <x:is>
          <x:t xml:space="preserve">Anchor episode that turns this week’s theme into a road story people can recognize.</x:t>
        </x:is>
      </x:c>
      <x:c r="Q26" s="117" t="inlineStr">
        <x:is>
          <x:t xml:space="preserve">We tested Ngong Road / Langata Road: what should a daily nairobi commuter know before driving it this week?</x:t>
        </x:is>
      </x:c>
      <x:c r="R26" s="117" t="inlineStr">
        <x:is>
          <x:t xml:space="preserve">POV drive, 3 timestamped moments, map/context overlay, quick Msafiri screen, clear payoff.</x:t>
        </x:is>
      </x:c>
      <x:c r="S26" s="117" t="inlineStr">
        <x:is>
          <x:t xml:space="preserve">Road intelligence should feel practical, not complicated. Here is what stood out on Ngong Road / Langata Road.</x:t>
        </x:is>
      </x:c>
      <x:c r="T26" s="117" t="inlineStr">
        <x:is>
          <x:t xml:space="preserve">Tell us which road we should check next.</x:t>
        </x:is>
      </x:c>
      <x:c r="U26" s="117" t="inlineStr">
        <x:is>
          <x:t xml:space="preserve">Phone mount; Msafiri screen-record; Ngong Road / Langata Road B-roll; captions; branded end card</x:t>
        </x:is>
      </x:c>
      <x:c r="V26" s="117" t="inlineStr">
        <x:is>
          <x:t xml:space="preserve">Founder</x:t>
        </x:is>
      </x:c>
      <x:c r="W26" s="117" t="inlineStr">
        <x:is>
          <x:t xml:space="preserve">Draft</x:t>
        </x:is>
      </x:c>
      <x:c r="X26" s="117" t="inlineStr">
        <x:is>
          <x:t xml:space="preserve">Not Started</x:t>
        </x:is>
      </x:c>
      <x:c r="Y26" s="117" t="n"/>
      <x:c r="Z26" s="118" t="n"/>
      <x:c r="AA26" s="118" t="n"/>
      <x:c r="AB26" s="118" t="n"/>
      <x:c r="AC26" s="118" t="n"/>
      <x:c r="AD26" s="118" t="n"/>
      <x:c r="AE26" s="117" t="n"/>
      <x:c r="AF26" s="119" t="inlineStr">
        <x:is>
          <x:t xml:space="preserve">Core</x:t>
        </x:is>
      </x:c>
      <x:c r="AG26" s="117" t="inlineStr">
        <x:is>
          <x:t xml:space="preserve">Field / anchor</x:t>
        </x:is>
      </x:c>
      <x:c r="AH26" s="113" t="n">
        <x:v>75</x:v>
      </x:c>
      <x:c r="AI26" s="114" t="n">
        <x:v>0</x:v>
      </x:c>
      <x:c r="AJ26" s="120" t="inlineStr">
        <x:is>
          <x:t xml:space="preserve"/>
        </x:is>
      </x:c>
      <x:c r="AK26" s="113" t="n">
        <x:v>0</x:v>
      </x:c>
      <x:c r="AL26" s="114" t="n">
        <x:v>0</x:v>
      </x:c>
    </x:row>
    <x:row r="27" ht="64" customHeight="1">
      <x:c r="A27" s="109" t="n">
        <x:v>46273</x:v>
      </x:c>
      <x:c r="B27" s="110" t="inlineStr">
        <x:is>
          <x:t xml:space="preserve">Tuesday</x:t>
        </x:is>
      </x:c>
      <x:c r="C27" s="110" t="n">
        <x:v>23</x:v>
      </x:c>
      <x:c r="D27" s="110" t="n">
        <x:v>4</x:v>
      </x:c>
      <x:c r="E27" s="110" t="inlineStr">
        <x:is>
          <x:t xml:space="preserve">Nairobi commute survival</x:t>
        </x:is>
      </x:c>
      <x:c r="F27" s="110" t="inlineStr">
        <x:is>
          <x:t xml:space="preserve">Your drive before it surprises you</x:t>
        </x:is>
      </x:c>
      <x:c r="G27" s="110" t="inlineStr">
        <x:is>
          <x:t xml:space="preserve">Product / Feature Proof</x:t>
        </x:is>
      </x:c>
      <x:c r="H27" s="110" t="inlineStr">
        <x:is>
          <x:t xml:space="preserve">Feature in the Wild</x:t>
        </x:is>
      </x:c>
      <x:c r="I27" s="110" t="inlineStr">
        <x:is>
          <x:t xml:space="preserve">Road alerts</x:t>
        </x:is>
      </x:c>
      <x:c r="J27" s="110" t="inlineStr">
        <x:is>
          <x:t xml:space="preserve">Daily Nairobi commuter</x:t>
        </x:is>
      </x:c>
      <x:c r="K27" s="110" t="inlineStr">
        <x:is>
          <x:t xml:space="preserve">Feature Discovery</x:t>
        </x:is>
      </x:c>
      <x:c r="L27" s="110" t="inlineStr">
        <x:is>
          <x:t xml:space="preserve">Short-form video</x:t>
        </x:is>
      </x:c>
      <x:c r="M27" s="110" t="inlineStr">
        <x:is>
          <x:t xml:space="preserve">20–45 sec</x:t>
        </x:is>
      </x:c>
      <x:c r="N27" s="110" t="inlineStr">
        <x:is>
          <x:t xml:space="preserve">Instagram Reels</x:t>
        </x:is>
      </x:c>
      <x:c r="O27" s="110" t="inlineStr">
        <x:is>
          <x:t xml:space="preserve">TikTok | YouTube Shorts | Facebook Reels</x:t>
        </x:is>
      </x:c>
      <x:c r="P27" s="110" t="inlineStr">
        <x:is>
          <x:t xml:space="preserve">Show the feature solving one real driving moment without turning the video into an ad.</x:t>
        </x:is>
      </x:c>
      <x:c r="Q27" s="110" t="inlineStr">
        <x:is>
          <x:t xml:space="preserve">Road alerts only makes sense when a familiar route suddenly changes; here is the 30-second version.</x:t>
        </x:is>
      </x:c>
      <x:c r="R27" s="110" t="inlineStr">
        <x:is>
          <x:t xml:space="preserve">Phone mount, screen-record, before/after comparison, one clean feature payoff.</x:t>
        </x:is>
      </x:c>
      <x:c r="S27" s="110" t="inlineStr">
        <x:is>
          <x:t xml:space="preserve">A feature is only useful if it helps in the exact moment a driver needs it.</x:t>
        </x:is>
      </x:c>
      <x:c r="T27" s="110" t="inlineStr">
        <x:is>
          <x:t xml:space="preserve">Try Msafiri on your next drive.</x:t>
        </x:is>
      </x:c>
      <x:c r="U27" s="110" t="inlineStr">
        <x:is>
          <x:t xml:space="preserve">Phone mount; Msafiri screen-record; Ngong Road / Langata Road B-roll; captions; branded end card</x:t>
        </x:is>
      </x:c>
      <x:c r="V27" s="110" t="inlineStr">
        <x:is>
          <x:t xml:space="preserve">Founder</x:t>
        </x:is>
      </x:c>
      <x:c r="W27" s="110" t="inlineStr">
        <x:is>
          <x:t xml:space="preserve">Draft</x:t>
        </x:is>
      </x:c>
      <x:c r="X27" s="110" t="inlineStr">
        <x:is>
          <x:t xml:space="preserve">Not Started</x:t>
        </x:is>
      </x:c>
      <x:c r="Y27" s="110" t="n"/>
      <x:c r="Z27" s="111" t="n"/>
      <x:c r="AA27" s="111" t="n"/>
      <x:c r="AB27" s="111" t="n"/>
      <x:c r="AC27" s="111" t="n"/>
      <x:c r="AD27" s="111" t="n"/>
      <x:c r="AE27" s="110" t="n"/>
      <x:c r="AF27" s="112" t="inlineStr">
        <x:is>
          <x:t xml:space="preserve">Core</x:t>
        </x:is>
      </x:c>
      <x:c r="AG27" s="110" t="inlineStr">
        <x:is>
          <x:t xml:space="preserve">Screen demo</x:t>
        </x:is>
      </x:c>
      <x:c r="AH27" s="113" t="n">
        <x:v>45</x:v>
      </x:c>
      <x:c r="AI27" s="114" t="n">
        <x:v>0</x:v>
      </x:c>
      <x:c r="AJ27" s="115" t="inlineStr">
        <x:is>
          <x:t xml:space="preserve"/>
        </x:is>
      </x:c>
      <x:c r="AK27" s="113" t="n">
        <x:v>0</x:v>
      </x:c>
      <x:c r="AL27" s="114" t="n">
        <x:v>0</x:v>
      </x:c>
    </x:row>
    <x:row r="28" ht="64" customHeight="1">
      <x:c r="A28" s="116" t="n">
        <x:v>46274</x:v>
      </x:c>
      <x:c r="B28" s="117" t="inlineStr">
        <x:is>
          <x:t xml:space="preserve">Wednesday</x:t>
        </x:is>
      </x:c>
      <x:c r="C28" s="117" t="n">
        <x:v>24</x:v>
      </x:c>
      <x:c r="D28" s="117" t="n">
        <x:v>4</x:v>
      </x:c>
      <x:c r="E28" s="117" t="inlineStr">
        <x:is>
          <x:t xml:space="preserve">Nairobi commute survival</x:t>
        </x:is>
      </x:c>
      <x:c r="F28" s="117" t="inlineStr">
        <x:is>
          <x:t xml:space="preserve">Your drive before it surprises you</x:t>
        </x:is>
      </x:c>
      <x:c r="G28" s="117" t="inlineStr">
        <x:is>
          <x:t xml:space="preserve">Kenyan Driving Reality</x:t>
        </x:is>
      </x:c>
      <x:c r="H28" s="117" t="inlineStr">
        <x:is>
          <x:t xml:space="preserve">Kenyan Driver Problems</x:t>
        </x:is>
      </x:c>
      <x:c r="I28" s="117" t="inlineStr">
        <x:is>
          <x:t xml:space="preserve">Road alerts</x:t>
        </x:is>
      </x:c>
      <x:c r="J28" s="117" t="inlineStr">
        <x:is>
          <x:t xml:space="preserve">Daily Nairobi commuter</x:t>
        </x:is>
      </x:c>
      <x:c r="K28" s="117" t="inlineStr">
        <x:is>
          <x:t xml:space="preserve">Engagement</x:t>
        </x:is>
      </x:c>
      <x:c r="L28" s="117" t="inlineStr">
        <x:is>
          <x:t xml:space="preserve">Skit</x:t>
        </x:is>
      </x:c>
      <x:c r="M28" s="117" t="inlineStr">
        <x:is>
          <x:t xml:space="preserve">15–35 sec</x:t>
        </x:is>
      </x:c>
      <x:c r="N28" s="117" t="inlineStr">
        <x:is>
          <x:t xml:space="preserve">TikTok</x:t>
        </x:is>
      </x:c>
      <x:c r="O28" s="117" t="inlineStr">
        <x:is>
          <x:t xml:space="preserve">Instagram Reels | Facebook Reels | YouTube Shorts</x:t>
        </x:is>
      </x:c>
      <x:c r="P28" s="117" t="inlineStr">
        <x:is>
          <x:t xml:space="preserve">Relatable driver tension; make people laugh, then attach a practical Msafiri angle.</x:t>
        </x:is>
      </x:c>
      <x:c r="Q28" s="117" t="inlineStr">
        <x:is>
          <x:t xml:space="preserve">POV: a familiar route suddenly changes and everyone in the car suddenly becomes a driving expert.</x:t>
        </x:is>
      </x:c>
      <x:c r="R28" s="117" t="inlineStr">
        <x:is>
          <x:t xml:space="preserve">Driver/passenger skit, quick reaction cuts, exaggerated but familiar Kenyan driving moment.</x:t>
        </x:is>
      </x:c>
      <x:c r="S28" s="117" t="inlineStr">
        <x:is>
          <x:t xml:space="preserve">Every driver knows this argument. The smart move is having better information before the argument starts.</x:t>
        </x:is>
      </x:c>
      <x:c r="T28" s="117" t="inlineStr">
        <x:is>
          <x:t xml:space="preserve">Tag the driver who does this.</x:t>
        </x:is>
      </x:c>
      <x:c r="U28" s="117" t="inlineStr">
        <x:is>
          <x:t xml:space="preserve">Phone mount; Msafiri screen-record; Ngong Road / Langata Road B-roll; captions; branded end card</x:t>
        </x:is>
      </x:c>
      <x:c r="V28" s="117" t="inlineStr">
        <x:is>
          <x:t xml:space="preserve">Founder</x:t>
        </x:is>
      </x:c>
      <x:c r="W28" s="117" t="inlineStr">
        <x:is>
          <x:t xml:space="preserve">Backlog</x:t>
        </x:is>
      </x:c>
      <x:c r="X28" s="117" t="inlineStr">
        <x:is>
          <x:t xml:space="preserve">Not Started</x:t>
        </x:is>
      </x:c>
      <x:c r="Y28" s="117" t="n"/>
      <x:c r="Z28" s="118" t="n"/>
      <x:c r="AA28" s="118" t="n"/>
      <x:c r="AB28" s="118" t="n"/>
      <x:c r="AC28" s="118" t="n"/>
      <x:c r="AD28" s="118" t="n"/>
      <x:c r="AE28" s="117" t="n"/>
      <x:c r="AF28" s="122" t="inlineStr">
        <x:is>
          <x:t xml:space="preserve">Optional</x:t>
        </x:is>
      </x:c>
      <x:c r="AG28" s="117" t="inlineStr">
        <x:is>
          <x:t xml:space="preserve">Repurpose / story</x:t>
        </x:is>
      </x:c>
      <x:c r="AH28" s="113" t="n">
        <x:v>25</x:v>
      </x:c>
      <x:c r="AI28" s="114" t="n">
        <x:v>0</x:v>
      </x:c>
      <x:c r="AJ28" s="120" t="inlineStr">
        <x:is>
          <x:t xml:space="preserve"/>
        </x:is>
      </x:c>
      <x:c r="AK28" s="113" t="n">
        <x:v>0</x:v>
      </x:c>
      <x:c r="AL28" s="114" t="n">
        <x:v>0</x:v>
      </x:c>
    </x:row>
    <x:row r="29" ht="64" customHeight="1">
      <x:c r="A29" s="109" t="n">
        <x:v>46275</x:v>
      </x:c>
      <x:c r="B29" s="110" t="inlineStr">
        <x:is>
          <x:t xml:space="preserve">Thursday</x:t>
        </x:is>
      </x:c>
      <x:c r="C29" s="110" t="n">
        <x:v>25</x:v>
      </x:c>
      <x:c r="D29" s="110" t="n">
        <x:v>4</x:v>
      </x:c>
      <x:c r="E29" s="110" t="inlineStr">
        <x:is>
          <x:t xml:space="preserve">Nairobi commute survival</x:t>
        </x:is>
      </x:c>
      <x:c r="F29" s="110" t="inlineStr">
        <x:is>
          <x:t xml:space="preserve">Your drive before it surprises you</x:t>
        </x:is>
      </x:c>
      <x:c r="G29" s="110" t="inlineStr">
        <x:is>
          <x:t xml:space="preserve">Founder / BTS</x:t>
        </x:is>
      </x:c>
      <x:c r="H29" s="110" t="inlineStr">
        <x:is>
          <x:t xml:space="preserve">Founder Files</x:t>
        </x:is>
      </x:c>
      <x:c r="I29" s="110" t="inlineStr">
        <x:is>
          <x:t xml:space="preserve">Road alerts</x:t>
        </x:is>
      </x:c>
      <x:c r="J29" s="110" t="inlineStr">
        <x:is>
          <x:t xml:space="preserve">Daily Nairobi commuter</x:t>
        </x:is>
      </x:c>
      <x:c r="K29" s="110" t="inlineStr">
        <x:is>
          <x:t xml:space="preserve">Trust</x:t>
        </x:is>
      </x:c>
      <x:c r="L29" s="110" t="inlineStr">
        <x:is>
          <x:t xml:space="preserve">Founder-to-camera</x:t>
        </x:is>
      </x:c>
      <x:c r="M29" s="110" t="inlineStr">
        <x:is>
          <x:t xml:space="preserve">30–60 sec</x:t>
        </x:is>
      </x:c>
      <x:c r="N29" s="110" t="inlineStr">
        <x:is>
          <x:t xml:space="preserve">Instagram Reels</x:t>
        </x:is>
      </x:c>
      <x:c r="O29" s="110" t="inlineStr">
        <x:is>
          <x:t xml:space="preserve">TikTok | YouTube Shorts | LinkedIn</x:t>
        </x:is>
      </x:c>
      <x:c r="P29" s="110" t="inlineStr">
        <x:is>
          <x:t xml:space="preserve">Peter explains the product decision, tradeoff, or local insight behind the week’s feature.</x:t>
        </x:is>
      </x:c>
      <x:c r="Q29" s="110" t="inlineStr">
        <x:is>
          <x:t xml:space="preserve">Peter here — this is why we built Road alerts for Kenyan drivers, not just generic drivers.</x:t>
        </x:is>
      </x:c>
      <x:c r="R29" s="110" t="inlineStr">
        <x:is>
          <x:t xml:space="preserve">Peter in car or office, quick cutaways to road test, product screen and handwritten notes.</x:t>
        </x:is>
      </x:c>
      <x:c r="S29" s="110" t="inlineStr">
        <x:is>
          <x:t xml:space="preserve">The goal is not another app on your phone. The goal is a calmer, more prepared drive.</x:t>
        </x:is>
      </x:c>
      <x:c r="T29" s="110" t="inlineStr">
        <x:is>
          <x:t xml:space="preserve">Follow Msafiri as we build for Kenyan roads.</x:t>
        </x:is>
      </x:c>
      <x:c r="U29" s="110" t="inlineStr">
        <x:is>
          <x:t xml:space="preserve">Peter on-camera setup; car/office B-roll; product screen; simple lower-third</x:t>
        </x:is>
      </x:c>
      <x:c r="V29" s="110" t="inlineStr">
        <x:is>
          <x:t xml:space="preserve">Founder</x:t>
        </x:is>
      </x:c>
      <x:c r="W29" s="110" t="inlineStr">
        <x:is>
          <x:t xml:space="preserve">Draft</x:t>
        </x:is>
      </x:c>
      <x:c r="X29" s="110" t="inlineStr">
        <x:is>
          <x:t xml:space="preserve">Not Started</x:t>
        </x:is>
      </x:c>
      <x:c r="Y29" s="110" t="n"/>
      <x:c r="Z29" s="111" t="n"/>
      <x:c r="AA29" s="111" t="n"/>
      <x:c r="AB29" s="111" t="n"/>
      <x:c r="AC29" s="111" t="n"/>
      <x:c r="AD29" s="111" t="n"/>
      <x:c r="AE29" s="110" t="n"/>
      <x:c r="AF29" s="112" t="inlineStr">
        <x:is>
          <x:t xml:space="preserve">Core</x:t>
        </x:is>
      </x:c>
      <x:c r="AG29" s="110" t="inlineStr">
        <x:is>
          <x:t xml:space="preserve">Founder / education</x:t>
        </x:is>
      </x:c>
      <x:c r="AH29" s="113" t="n">
        <x:v>45</x:v>
      </x:c>
      <x:c r="AI29" s="114" t="n">
        <x:v>0</x:v>
      </x:c>
      <x:c r="AJ29" s="115" t="inlineStr">
        <x:is>
          <x:t xml:space="preserve"/>
        </x:is>
      </x:c>
      <x:c r="AK29" s="113" t="n">
        <x:v>0</x:v>
      </x:c>
      <x:c r="AL29" s="114" t="n">
        <x:v>0</x:v>
      </x:c>
    </x:row>
    <x:row r="30" ht="64" customHeight="1">
      <x:c r="A30" s="116" t="n">
        <x:v>46276</x:v>
      </x:c>
      <x:c r="B30" s="117" t="inlineStr">
        <x:is>
          <x:t xml:space="preserve">Friday</x:t>
        </x:is>
      </x:c>
      <x:c r="C30" s="117" t="n">
        <x:v>26</x:v>
      </x:c>
      <x:c r="D30" s="117" t="n">
        <x:v>4</x:v>
      </x:c>
      <x:c r="E30" s="117" t="inlineStr">
        <x:is>
          <x:t xml:space="preserve">Nairobi commute survival</x:t>
        </x:is>
      </x:c>
      <x:c r="F30" s="117" t="inlineStr">
        <x:is>
          <x:t xml:space="preserve">Your drive before it surprises you</x:t>
        </x:is>
      </x:c>
      <x:c r="G30" s="117" t="inlineStr">
        <x:is>
          <x:t xml:space="preserve">Debate / Mythbusters</x:t>
        </x:is>
      </x:c>
      <x:c r="H30" s="117" t="inlineStr">
        <x:is>
          <x:t xml:space="preserve">Road Mythbusters</x:t>
        </x:is>
      </x:c>
      <x:c r="I30" s="117" t="inlineStr">
        <x:is>
          <x:t xml:space="preserve">Road alerts</x:t>
        </x:is>
      </x:c>
      <x:c r="J30" s="117" t="inlineStr">
        <x:is>
          <x:t xml:space="preserve">Daily Nairobi commuter</x:t>
        </x:is>
      </x:c>
      <x:c r="K30" s="117" t="inlineStr">
        <x:is>
          <x:t xml:space="preserve">Engagement</x:t>
        </x:is>
      </x:c>
      <x:c r="L30" s="117" t="inlineStr">
        <x:is>
          <x:t xml:space="preserve">Short-form video</x:t>
        </x:is>
      </x:c>
      <x:c r="M30" s="117" t="inlineStr">
        <x:is>
          <x:t xml:space="preserve">20–45 sec</x:t>
        </x:is>
      </x:c>
      <x:c r="N30" s="117" t="inlineStr">
        <x:is>
          <x:t xml:space="preserve">TikTok</x:t>
        </x:is>
      </x:c>
      <x:c r="O30" s="117" t="inlineStr">
        <x:is>
          <x:t xml:space="preserve">Instagram Reels | YouTube Shorts | Facebook Reels</x:t>
        </x:is>
      </x:c>
      <x:c r="P30" s="117" t="inlineStr">
        <x:is>
          <x:t xml:space="preserve">Open a controlled debate while ending with responsible road-safety framing.</x:t>
        </x:is>
      </x:c>
      <x:c r="Q30" s="117" t="inlineStr">
        <x:is>
          <x:t xml:space="preserve">Hot take: community road reports are useful only when they are verified.</x:t>
        </x:is>
      </x:c>
      <x:c r="R30" s="117" t="inlineStr">
        <x:is>
          <x:t xml:space="preserve">Split screen: claim vs reality, quick poll sticker, Peter closing with safe takeaway.</x:t>
        </x:is>
      </x:c>
      <x:c r="S30" s="117" t="inlineStr">
        <x:is>
          <x:t xml:space="preserve">Debate is useful only if it makes us better drivers. What is your honest view?</x:t>
        </x:is>
      </x:c>
      <x:c r="T30" s="117" t="inlineStr">
        <x:is>
          <x:t xml:space="preserve">Agree or disagree? Give your reason.</x:t>
        </x:is>
      </x:c>
      <x:c r="U30" s="117" t="inlineStr">
        <x:is>
          <x:t xml:space="preserve">Phone mount; Msafiri screen-record; Ngong Road / Langata Road B-roll; captions; branded end card</x:t>
        </x:is>
      </x:c>
      <x:c r="V30" s="117" t="inlineStr">
        <x:is>
          <x:t xml:space="preserve">Founder</x:t>
        </x:is>
      </x:c>
      <x:c r="W30" s="117" t="inlineStr">
        <x:is>
          <x:t xml:space="preserve">Backlog</x:t>
        </x:is>
      </x:c>
      <x:c r="X30" s="117" t="inlineStr">
        <x:is>
          <x:t xml:space="preserve">Not Started</x:t>
        </x:is>
      </x:c>
      <x:c r="Y30" s="117" t="n"/>
      <x:c r="Z30" s="118" t="n"/>
      <x:c r="AA30" s="118" t="n"/>
      <x:c r="AB30" s="118" t="n"/>
      <x:c r="AC30" s="118" t="n"/>
      <x:c r="AD30" s="118" t="n"/>
      <x:c r="AE30" s="117" t="n"/>
      <x:c r="AF30" s="122" t="inlineStr">
        <x:is>
          <x:t xml:space="preserve">Optional</x:t>
        </x:is>
      </x:c>
      <x:c r="AG30" s="117" t="inlineStr">
        <x:is>
          <x:t xml:space="preserve">Community reply</x:t>
        </x:is>
      </x:c>
      <x:c r="AH30" s="113" t="n">
        <x:v>25</x:v>
      </x:c>
      <x:c r="AI30" s="114" t="n">
        <x:v>0</x:v>
      </x:c>
      <x:c r="AJ30" s="120" t="inlineStr">
        <x:is>
          <x:t xml:space="preserve"/>
        </x:is>
      </x:c>
      <x:c r="AK30" s="113" t="n">
        <x:v>0</x:v>
      </x:c>
      <x:c r="AL30" s="114" t="n">
        <x:v>0</x:v>
      </x:c>
    </x:row>
    <x:row r="31" ht="64" customHeight="1">
      <x:c r="A31" s="109" t="n">
        <x:v>46277</x:v>
      </x:c>
      <x:c r="B31" s="110" t="inlineStr">
        <x:is>
          <x:t xml:space="preserve">Saturday</x:t>
        </x:is>
      </x:c>
      <x:c r="C31" s="110" t="n">
        <x:v>27</x:v>
      </x:c>
      <x:c r="D31" s="110" t="n">
        <x:v>4</x:v>
      </x:c>
      <x:c r="E31" s="110" t="inlineStr">
        <x:is>
          <x:t xml:space="preserve">Nairobi commute survival</x:t>
        </x:is>
      </x:c>
      <x:c r="F31" s="110" t="inlineStr">
        <x:is>
          <x:t xml:space="preserve">Your drive before it surprises you</x:t>
        </x:is>
      </x:c>
      <x:c r="G31" s="110" t="inlineStr">
        <x:is>
          <x:t xml:space="preserve">Community / UGC</x:t>
        </x:is>
      </x:c>
      <x:c r="H31" s="110" t="inlineStr">
        <x:is>
          <x:t xml:space="preserve">Ask a Kenyan Driver</x:t>
        </x:is>
      </x:c>
      <x:c r="I31" s="110" t="inlineStr">
        <x:is>
          <x:t xml:space="preserve">Road alerts</x:t>
        </x:is>
      </x:c>
      <x:c r="J31" s="110" t="inlineStr">
        <x:is>
          <x:t xml:space="preserve">Daily Nairobi commuter</x:t>
        </x:is>
      </x:c>
      <x:c r="K31" s="110" t="inlineStr">
        <x:is>
          <x:t xml:space="preserve">Community</x:t>
        </x:is>
      </x:c>
      <x:c r="L31" s="110" t="inlineStr">
        <x:is>
          <x:t xml:space="preserve">Street Interview</x:t>
        </x:is>
      </x:c>
      <x:c r="M31" s="110" t="inlineStr">
        <x:is>
          <x:t xml:space="preserve">20–60 sec</x:t>
        </x:is>
      </x:c>
      <x:c r="N31" s="110" t="inlineStr">
        <x:is>
          <x:t xml:space="preserve">TikTok</x:t>
        </x:is>
      </x:c>
      <x:c r="O31" s="110" t="inlineStr">
        <x:is>
          <x:t xml:space="preserve">Instagram Reels | Facebook Reels | YouTube Shorts</x:t>
        </x:is>
      </x:c>
      <x:c r="P31" s="110" t="inlineStr">
        <x:is>
          <x:t xml:space="preserve">Let drivers speak; collect comments and stories that can become future episodes.</x:t>
        </x:is>
      </x:c>
      <x:c r="Q31" s="110" t="inlineStr">
        <x:is>
          <x:t xml:space="preserve">We asked drivers: which road changes without warning?</x:t>
        </x:is>
      </x:c>
      <x:c r="R31" s="110" t="inlineStr">
        <x:is>
          <x:t xml:space="preserve">Street interview, 3 fast answers, one unexpected answer, branded closing card.</x:t>
        </x:is>
      </x:c>
      <x:c r="S31" s="110" t="inlineStr">
        <x:is>
          <x:t xml:space="preserve">Kenyan drivers have stories. Msafiri wants to turn those stories into smarter road intelligence.</x:t>
        </x:is>
      </x:c>
      <x:c r="T31" s="110" t="inlineStr">
        <x:is>
          <x:t xml:space="preserve">Tell us your answer in the comments.</x:t>
        </x:is>
      </x:c>
      <x:c r="U31" s="110" t="inlineStr">
        <x:is>
          <x:t xml:space="preserve">Lapel mic; consent line; 3–5 driver answers; branded question card; subtitle template</x:t>
        </x:is>
      </x:c>
      <x:c r="V31" s="110" t="inlineStr">
        <x:is>
          <x:t xml:space="preserve">Founder</x:t>
        </x:is>
      </x:c>
      <x:c r="W31" s="110" t="inlineStr">
        <x:is>
          <x:t xml:space="preserve">Draft</x:t>
        </x:is>
      </x:c>
      <x:c r="X31" s="110" t="inlineStr">
        <x:is>
          <x:t xml:space="preserve">Not Started</x:t>
        </x:is>
      </x:c>
      <x:c r="Y31" s="110" t="n"/>
      <x:c r="Z31" s="111" t="n"/>
      <x:c r="AA31" s="111" t="n"/>
      <x:c r="AB31" s="111" t="n"/>
      <x:c r="AC31" s="111" t="n"/>
      <x:c r="AD31" s="111" t="n"/>
      <x:c r="AE31" s="110" t="n"/>
      <x:c r="AF31" s="112" t="inlineStr">
        <x:is>
          <x:t xml:space="preserve">Core</x:t>
        </x:is>
      </x:c>
      <x:c r="AG31" s="110" t="inlineStr">
        <x:is>
          <x:t xml:space="preserve">Field / community</x:t>
        </x:is>
      </x:c>
      <x:c r="AH31" s="113" t="n">
        <x:v>60</x:v>
      </x:c>
      <x:c r="AI31" s="114" t="n">
        <x:v>0</x:v>
      </x:c>
      <x:c r="AJ31" s="115" t="inlineStr">
        <x:is>
          <x:t xml:space="preserve"/>
        </x:is>
      </x:c>
      <x:c r="AK31" s="113" t="n">
        <x:v>0</x:v>
      </x:c>
      <x:c r="AL31" s="114" t="n">
        <x:v>0</x:v>
      </x:c>
    </x:row>
    <x:row r="32" ht="64" customHeight="1">
      <x:c r="A32" s="116" t="n">
        <x:v>46278</x:v>
      </x:c>
      <x:c r="B32" s="117" t="inlineStr">
        <x:is>
          <x:t xml:space="preserve">Sunday</x:t>
        </x:is>
      </x:c>
      <x:c r="C32" s="117" t="n">
        <x:v>28</x:v>
      </x:c>
      <x:c r="D32" s="117" t="n">
        <x:v>4</x:v>
      </x:c>
      <x:c r="E32" s="117" t="inlineStr">
        <x:is>
          <x:t xml:space="preserve">Nairobi commute survival</x:t>
        </x:is>
      </x:c>
      <x:c r="F32" s="117" t="inlineStr">
        <x:is>
          <x:t xml:space="preserve">Your drive before it surprises you</x:t>
        </x:is>
      </x:c>
      <x:c r="G32" s="117" t="inlineStr">
        <x:is>
          <x:t xml:space="preserve">Education / Safety</x:t>
        </x:is>
      </x:c>
      <x:c r="H32" s="117" t="inlineStr">
        <x:is>
          <x:t xml:space="preserve">Before You Drive</x:t>
        </x:is>
      </x:c>
      <x:c r="I32" s="117" t="inlineStr">
        <x:is>
          <x:t xml:space="preserve">Road alerts</x:t>
        </x:is>
      </x:c>
      <x:c r="J32" s="117" t="inlineStr">
        <x:is>
          <x:t xml:space="preserve">Daily Nairobi commuter</x:t>
        </x:is>
      </x:c>
      <x:c r="K32" s="117" t="inlineStr">
        <x:is>
          <x:t xml:space="preserve">Retention</x:t>
        </x:is>
      </x:c>
      <x:c r="L32" s="117" t="inlineStr">
        <x:is>
          <x:t xml:space="preserve">Checklist Reel</x:t>
        </x:is>
      </x:c>
      <x:c r="M32" s="117" t="inlineStr">
        <x:is>
          <x:t xml:space="preserve">20–45 sec</x:t>
        </x:is>
      </x:c>
      <x:c r="N32" s="117" t="inlineStr">
        <x:is>
          <x:t xml:space="preserve">Instagram Reels</x:t>
        </x:is>
      </x:c>
      <x:c r="O32" s="117" t="inlineStr">
        <x:is>
          <x:t xml:space="preserve">TikTok | YouTube Shorts | Facebook Reels | Instagram Stories</x:t>
        </x:is>
      </x:c>
      <x:c r="P32" s="117" t="inlineStr">
        <x:is>
          <x:t xml:space="preserve">A saveable checklist people can use before a real drive.</x:t>
        </x:is>
      </x:c>
      <x:c r="Q32" s="117" t="inlineStr">
        <x:is>
          <x:t xml:space="preserve">Save this nairobi commute survival checklist before your next drive.</x:t>
        </x:is>
      </x:c>
      <x:c r="R32" s="117" t="inlineStr">
        <x:is>
          <x:t xml:space="preserve">Checklist overlay, hands-on car/phone shots, one item per beat, final saved-card frame.</x:t>
        </x:is>
      </x:c>
      <x:c r="S32" s="117" t="inlineStr">
        <x:is>
          <x:t xml:space="preserve">A good drive often starts before the engine starts. Keep this simple checklist close.</x:t>
        </x:is>
      </x:c>
      <x:c r="T32" s="117" t="inlineStr">
        <x:is>
          <x:t xml:space="preserve">Save this before your next drive.</x:t>
        </x:is>
      </x:c>
      <x:c r="U32" s="117" t="inlineStr">
        <x:is>
          <x:t xml:space="preserve">Phone mount; Msafiri screen-record; Ngong Road / Langata Road B-roll; captions; branded end card</x:t>
        </x:is>
      </x:c>
      <x:c r="V32" s="117" t="inlineStr">
        <x:is>
          <x:t xml:space="preserve">Founder</x:t>
        </x:is>
      </x:c>
      <x:c r="W32" s="117" t="inlineStr">
        <x:is>
          <x:t xml:space="preserve">Backlog</x:t>
        </x:is>
      </x:c>
      <x:c r="X32" s="117" t="inlineStr">
        <x:is>
          <x:t xml:space="preserve">Not Started</x:t>
        </x:is>
      </x:c>
      <x:c r="Y32" s="117" t="n"/>
      <x:c r="Z32" s="118" t="n"/>
      <x:c r="AA32" s="118" t="n"/>
      <x:c r="AB32" s="118" t="n"/>
      <x:c r="AC32" s="118" t="n"/>
      <x:c r="AD32" s="118" t="n"/>
      <x:c r="AE32" s="117" t="n"/>
      <x:c r="AF32" s="122" t="inlineStr">
        <x:is>
          <x:t xml:space="preserve">Optional</x:t>
        </x:is>
      </x:c>
      <x:c r="AG32" s="117" t="inlineStr">
        <x:is>
          <x:t xml:space="preserve">Optional / planning</x:t>
        </x:is>
      </x:c>
      <x:c r="AH32" s="113" t="n">
        <x:v>20</x:v>
      </x:c>
      <x:c r="AI32" s="114" t="n">
        <x:v>0</x:v>
      </x:c>
      <x:c r="AJ32" s="120" t="inlineStr">
        <x:is>
          <x:t xml:space="preserve"/>
        </x:is>
      </x:c>
      <x:c r="AK32" s="113" t="n">
        <x:v>0</x:v>
      </x:c>
      <x:c r="AL32" s="114" t="n">
        <x:v>0</x:v>
      </x:c>
    </x:row>
    <x:row r="33" ht="64" customHeight="1">
      <x:c r="A33" s="109" t="n">
        <x:v>46279</x:v>
      </x:c>
      <x:c r="B33" s="110" t="inlineStr">
        <x:is>
          <x:t xml:space="preserve">Monday</x:t>
        </x:is>
      </x:c>
      <x:c r="C33" s="110" t="n">
        <x:v>29</x:v>
      </x:c>
      <x:c r="D33" s="110" t="n">
        <x:v>5</x:v>
      </x:c>
      <x:c r="E33" s="110" t="inlineStr">
        <x:is>
          <x:t xml:space="preserve">Owning the cost of car care</x:t>
        </x:is>
      </x:c>
      <x:c r="F33" s="110" t="inlineStr">
        <x:is>
          <x:t xml:space="preserve">The boring things that save money</x:t>
        </x:is>
      </x:c>
      <x:c r="G33" s="110" t="inlineStr">
        <x:is>
          <x:t xml:space="preserve">Road Intelligence</x:t>
        </x:is>
      </x:c>
      <x:c r="H33" s="110" t="inlineStr">
        <x:is>
          <x:t xml:space="preserve">Msafiri Road Check</x:t>
        </x:is>
      </x:c>
      <x:c r="I33" s="110" t="inlineStr">
        <x:is>
          <x:t xml:space="preserve">Vehicle care</x:t>
        </x:is>
      </x:c>
      <x:c r="J33" s="110" t="inlineStr">
        <x:is>
          <x:t xml:space="preserve">Car owner</x:t>
        </x:is>
      </x:c>
      <x:c r="K33" s="110" t="inlineStr">
        <x:is>
          <x:t xml:space="preserve">Awareness</x:t>
        </x:is>
      </x:c>
      <x:c r="L33" s="110" t="inlineStr">
        <x:is>
          <x:t xml:space="preserve">Hero / Reel</x:t>
        </x:is>
      </x:c>
      <x:c r="M33" s="110" t="inlineStr">
        <x:is>
          <x:t xml:space="preserve">45–90 sec</x:t>
        </x:is>
      </x:c>
      <x:c r="N33" s="110" t="inlineStr">
        <x:is>
          <x:t xml:space="preserve">TikTok</x:t>
        </x:is>
      </x:c>
      <x:c r="O33" s="110" t="inlineStr">
        <x:is>
          <x:t xml:space="preserve">Instagram Reels | YouTube Shorts | Facebook Reels | YouTube</x:t>
        </x:is>
      </x:c>
      <x:c r="P33" s="110" t="inlineStr">
        <x:is>
          <x:t xml:space="preserve">Anchor episode that turns this week’s theme into a road story people can recognize.</x:t>
        </x:is>
      </x:c>
      <x:c r="Q33" s="110" t="inlineStr">
        <x:is>
          <x:t xml:space="preserve">We tested Eastern Bypass / garage errands: what should a car owner know before driving it this week?</x:t>
        </x:is>
      </x:c>
      <x:c r="R33" s="110" t="inlineStr">
        <x:is>
          <x:t xml:space="preserve">POV drive, 3 timestamped moments, map/context overlay, quick Msafiri screen, clear payoff.</x:t>
        </x:is>
      </x:c>
      <x:c r="S33" s="110" t="inlineStr">
        <x:is>
          <x:t xml:space="preserve">Road intelligence should feel practical, not complicated. Here is what stood out on Eastern Bypass / garage errands.</x:t>
        </x:is>
      </x:c>
      <x:c r="T33" s="110" t="inlineStr">
        <x:is>
          <x:t xml:space="preserve">Tell us which road we should check next.</x:t>
        </x:is>
      </x:c>
      <x:c r="U33" s="110" t="inlineStr">
        <x:is>
          <x:t xml:space="preserve">Phone mount; Msafiri screen-record; Eastern Bypass / garage errands B-roll; captions; branded end card</x:t>
        </x:is>
      </x:c>
      <x:c r="V33" s="110" t="inlineStr">
        <x:is>
          <x:t xml:space="preserve">Founder</x:t>
        </x:is>
      </x:c>
      <x:c r="W33" s="110" t="inlineStr">
        <x:is>
          <x:t xml:space="preserve">Draft</x:t>
        </x:is>
      </x:c>
      <x:c r="X33" s="110" t="inlineStr">
        <x:is>
          <x:t xml:space="preserve">Not Started</x:t>
        </x:is>
      </x:c>
      <x:c r="Y33" s="110" t="n"/>
      <x:c r="Z33" s="111" t="n"/>
      <x:c r="AA33" s="111" t="n"/>
      <x:c r="AB33" s="111" t="n"/>
      <x:c r="AC33" s="111" t="n"/>
      <x:c r="AD33" s="111" t="n"/>
      <x:c r="AE33" s="110" t="n"/>
      <x:c r="AF33" s="112" t="inlineStr">
        <x:is>
          <x:t xml:space="preserve">Core</x:t>
        </x:is>
      </x:c>
      <x:c r="AG33" s="110" t="inlineStr">
        <x:is>
          <x:t xml:space="preserve">Field / anchor</x:t>
        </x:is>
      </x:c>
      <x:c r="AH33" s="113" t="n">
        <x:v>75</x:v>
      </x:c>
      <x:c r="AI33" s="114" t="n">
        <x:v>0</x:v>
      </x:c>
      <x:c r="AJ33" s="115" t="inlineStr">
        <x:is>
          <x:t xml:space="preserve"/>
        </x:is>
      </x:c>
      <x:c r="AK33" s="113" t="n">
        <x:v>0</x:v>
      </x:c>
      <x:c r="AL33" s="114" t="n">
        <x:v>0</x:v>
      </x:c>
    </x:row>
    <x:row r="34" ht="64" customHeight="1">
      <x:c r="A34" s="116" t="n">
        <x:v>46280</x:v>
      </x:c>
      <x:c r="B34" s="117" t="inlineStr">
        <x:is>
          <x:t xml:space="preserve">Tuesday</x:t>
        </x:is>
      </x:c>
      <x:c r="C34" s="117" t="n">
        <x:v>30</x:v>
      </x:c>
      <x:c r="D34" s="117" t="n">
        <x:v>5</x:v>
      </x:c>
      <x:c r="E34" s="117" t="inlineStr">
        <x:is>
          <x:t xml:space="preserve">Owning the cost of car care</x:t>
        </x:is>
      </x:c>
      <x:c r="F34" s="117" t="inlineStr">
        <x:is>
          <x:t xml:space="preserve">The boring things that save money</x:t>
        </x:is>
      </x:c>
      <x:c r="G34" s="117" t="inlineStr">
        <x:is>
          <x:t xml:space="preserve">Product / Feature Proof</x:t>
        </x:is>
      </x:c>
      <x:c r="H34" s="117" t="inlineStr">
        <x:is>
          <x:t xml:space="preserve">Feature in the Wild</x:t>
        </x:is>
      </x:c>
      <x:c r="I34" s="117" t="inlineStr">
        <x:is>
          <x:t xml:space="preserve">Vehicle care</x:t>
        </x:is>
      </x:c>
      <x:c r="J34" s="117" t="inlineStr">
        <x:is>
          <x:t xml:space="preserve">Car owner</x:t>
        </x:is>
      </x:c>
      <x:c r="K34" s="117" t="inlineStr">
        <x:is>
          <x:t xml:space="preserve">Feature Discovery</x:t>
        </x:is>
      </x:c>
      <x:c r="L34" s="117" t="inlineStr">
        <x:is>
          <x:t xml:space="preserve">Short-form video</x:t>
        </x:is>
      </x:c>
      <x:c r="M34" s="117" t="inlineStr">
        <x:is>
          <x:t xml:space="preserve">20–45 sec</x:t>
        </x:is>
      </x:c>
      <x:c r="N34" s="117" t="inlineStr">
        <x:is>
          <x:t xml:space="preserve">Instagram Reels</x:t>
        </x:is>
      </x:c>
      <x:c r="O34" s="117" t="inlineStr">
        <x:is>
          <x:t xml:space="preserve">TikTok | YouTube Shorts | Facebook Reels</x:t>
        </x:is>
      </x:c>
      <x:c r="P34" s="117" t="inlineStr">
        <x:is>
          <x:t xml:space="preserve">Show the feature solving one real driving moment without turning the video into an ad.</x:t>
        </x:is>
      </x:c>
      <x:c r="Q34" s="117" t="inlineStr">
        <x:is>
          <x:t xml:space="preserve">Vehicle care only makes sense when a small issue becomes an expensive surprise; here is the 30-second version.</x:t>
        </x:is>
      </x:c>
      <x:c r="R34" s="117" t="inlineStr">
        <x:is>
          <x:t xml:space="preserve">Phone mount, screen-record, before/after comparison, one clean feature payoff.</x:t>
        </x:is>
      </x:c>
      <x:c r="S34" s="117" t="inlineStr">
        <x:is>
          <x:t xml:space="preserve">A feature is only useful if it helps in the exact moment a driver needs it.</x:t>
        </x:is>
      </x:c>
      <x:c r="T34" s="117" t="inlineStr">
        <x:is>
          <x:t xml:space="preserve">Try Msafiri on your next drive.</x:t>
        </x:is>
      </x:c>
      <x:c r="U34" s="117" t="inlineStr">
        <x:is>
          <x:t xml:space="preserve">Phone mount; Msafiri screen-record; Eastern Bypass / garage errands B-roll; captions; branded end card</x:t>
        </x:is>
      </x:c>
      <x:c r="V34" s="117" t="inlineStr">
        <x:is>
          <x:t xml:space="preserve">Founder</x:t>
        </x:is>
      </x:c>
      <x:c r="W34" s="117" t="inlineStr">
        <x:is>
          <x:t xml:space="preserve">Draft</x:t>
        </x:is>
      </x:c>
      <x:c r="X34" s="117" t="inlineStr">
        <x:is>
          <x:t xml:space="preserve">Not Started</x:t>
        </x:is>
      </x:c>
      <x:c r="Y34" s="117" t="n"/>
      <x:c r="Z34" s="118" t="n"/>
      <x:c r="AA34" s="118" t="n"/>
      <x:c r="AB34" s="118" t="n"/>
      <x:c r="AC34" s="118" t="n"/>
      <x:c r="AD34" s="118" t="n"/>
      <x:c r="AE34" s="117" t="n"/>
      <x:c r="AF34" s="119" t="inlineStr">
        <x:is>
          <x:t xml:space="preserve">Core</x:t>
        </x:is>
      </x:c>
      <x:c r="AG34" s="117" t="inlineStr">
        <x:is>
          <x:t xml:space="preserve">Screen demo</x:t>
        </x:is>
      </x:c>
      <x:c r="AH34" s="113" t="n">
        <x:v>45</x:v>
      </x:c>
      <x:c r="AI34" s="114" t="n">
        <x:v>0</x:v>
      </x:c>
      <x:c r="AJ34" s="120" t="inlineStr">
        <x:is>
          <x:t xml:space="preserve"/>
        </x:is>
      </x:c>
      <x:c r="AK34" s="113" t="n">
        <x:v>0</x:v>
      </x:c>
      <x:c r="AL34" s="114" t="n">
        <x:v>0</x:v>
      </x:c>
    </x:row>
    <x:row r="35" ht="64" customHeight="1">
      <x:c r="A35" s="109" t="n">
        <x:v>46281</x:v>
      </x:c>
      <x:c r="B35" s="110" t="inlineStr">
        <x:is>
          <x:t xml:space="preserve">Wednesday</x:t>
        </x:is>
      </x:c>
      <x:c r="C35" s="110" t="n">
        <x:v>31</x:v>
      </x:c>
      <x:c r="D35" s="110" t="n">
        <x:v>5</x:v>
      </x:c>
      <x:c r="E35" s="110" t="inlineStr">
        <x:is>
          <x:t xml:space="preserve">Owning the cost of car care</x:t>
        </x:is>
      </x:c>
      <x:c r="F35" s="110" t="inlineStr">
        <x:is>
          <x:t xml:space="preserve">The boring things that save money</x:t>
        </x:is>
      </x:c>
      <x:c r="G35" s="110" t="inlineStr">
        <x:is>
          <x:t xml:space="preserve">Kenyan Driving Reality</x:t>
        </x:is>
      </x:c>
      <x:c r="H35" s="110" t="inlineStr">
        <x:is>
          <x:t xml:space="preserve">Kenyan Driver Problems</x:t>
        </x:is>
      </x:c>
      <x:c r="I35" s="110" t="inlineStr">
        <x:is>
          <x:t xml:space="preserve">Vehicle care</x:t>
        </x:is>
      </x:c>
      <x:c r="J35" s="110" t="inlineStr">
        <x:is>
          <x:t xml:space="preserve">Car owner</x:t>
        </x:is>
      </x:c>
      <x:c r="K35" s="110" t="inlineStr">
        <x:is>
          <x:t xml:space="preserve">Engagement</x:t>
        </x:is>
      </x:c>
      <x:c r="L35" s="110" t="inlineStr">
        <x:is>
          <x:t xml:space="preserve">Skit</x:t>
        </x:is>
      </x:c>
      <x:c r="M35" s="110" t="inlineStr">
        <x:is>
          <x:t xml:space="preserve">15–35 sec</x:t>
        </x:is>
      </x:c>
      <x:c r="N35" s="110" t="inlineStr">
        <x:is>
          <x:t xml:space="preserve">TikTok</x:t>
        </x:is>
      </x:c>
      <x:c r="O35" s="110" t="inlineStr">
        <x:is>
          <x:t xml:space="preserve">Instagram Reels | Facebook Reels | YouTube Shorts</x:t>
        </x:is>
      </x:c>
      <x:c r="P35" s="110" t="inlineStr">
        <x:is>
          <x:t xml:space="preserve">Relatable driver tension; make people laugh, then attach a practical Msafiri angle.</x:t>
        </x:is>
      </x:c>
      <x:c r="Q35" s="110" t="inlineStr">
        <x:is>
          <x:t xml:space="preserve">POV: a small issue becomes an expensive surprise and everyone in the car suddenly becomes a driving expert.</x:t>
        </x:is>
      </x:c>
      <x:c r="R35" s="110" t="inlineStr">
        <x:is>
          <x:t xml:space="preserve">Driver/passenger skit, quick reaction cuts, exaggerated but familiar Kenyan driving moment.</x:t>
        </x:is>
      </x:c>
      <x:c r="S35" s="110" t="inlineStr">
        <x:is>
          <x:t xml:space="preserve">Every driver knows this argument. The smart move is having better information before the argument starts.</x:t>
        </x:is>
      </x:c>
      <x:c r="T35" s="110" t="inlineStr">
        <x:is>
          <x:t xml:space="preserve">Tag the driver who does this.</x:t>
        </x:is>
      </x:c>
      <x:c r="U35" s="110" t="inlineStr">
        <x:is>
          <x:t xml:space="preserve">Phone mount; Msafiri screen-record; Eastern Bypass / garage errands B-roll; captions; branded end card</x:t>
        </x:is>
      </x:c>
      <x:c r="V35" s="110" t="inlineStr">
        <x:is>
          <x:t xml:space="preserve">Founder</x:t>
        </x:is>
      </x:c>
      <x:c r="W35" s="110" t="inlineStr">
        <x:is>
          <x:t xml:space="preserve">Backlog</x:t>
        </x:is>
      </x:c>
      <x:c r="X35" s="110" t="inlineStr">
        <x:is>
          <x:t xml:space="preserve">Not Started</x:t>
        </x:is>
      </x:c>
      <x:c r="Y35" s="110" t="n"/>
      <x:c r="Z35" s="111" t="n"/>
      <x:c r="AA35" s="111" t="n"/>
      <x:c r="AB35" s="111" t="n"/>
      <x:c r="AC35" s="111" t="n"/>
      <x:c r="AD35" s="111" t="n"/>
      <x:c r="AE35" s="110" t="n"/>
      <x:c r="AF35" s="121" t="inlineStr">
        <x:is>
          <x:t xml:space="preserve">Optional</x:t>
        </x:is>
      </x:c>
      <x:c r="AG35" s="110" t="inlineStr">
        <x:is>
          <x:t xml:space="preserve">Repurpose / story</x:t>
        </x:is>
      </x:c>
      <x:c r="AH35" s="113" t="n">
        <x:v>25</x:v>
      </x:c>
      <x:c r="AI35" s="114" t="n">
        <x:v>0</x:v>
      </x:c>
      <x:c r="AJ35" s="115" t="inlineStr">
        <x:is>
          <x:t xml:space="preserve"/>
        </x:is>
      </x:c>
      <x:c r="AK35" s="113" t="n">
        <x:v>0</x:v>
      </x:c>
      <x:c r="AL35" s="114" t="n">
        <x:v>0</x:v>
      </x:c>
    </x:row>
    <x:row r="36" ht="64" customHeight="1">
      <x:c r="A36" s="116" t="n">
        <x:v>46282</x:v>
      </x:c>
      <x:c r="B36" s="117" t="inlineStr">
        <x:is>
          <x:t xml:space="preserve">Thursday</x:t>
        </x:is>
      </x:c>
      <x:c r="C36" s="117" t="n">
        <x:v>32</x:v>
      </x:c>
      <x:c r="D36" s="117" t="n">
        <x:v>5</x:v>
      </x:c>
      <x:c r="E36" s="117" t="inlineStr">
        <x:is>
          <x:t xml:space="preserve">Owning the cost of car care</x:t>
        </x:is>
      </x:c>
      <x:c r="F36" s="117" t="inlineStr">
        <x:is>
          <x:t xml:space="preserve">The boring things that save money</x:t>
        </x:is>
      </x:c>
      <x:c r="G36" s="117" t="inlineStr">
        <x:is>
          <x:t xml:space="preserve">Founder / BTS</x:t>
        </x:is>
      </x:c>
      <x:c r="H36" s="117" t="inlineStr">
        <x:is>
          <x:t xml:space="preserve">Founder Files</x:t>
        </x:is>
      </x:c>
      <x:c r="I36" s="117" t="inlineStr">
        <x:is>
          <x:t xml:space="preserve">Vehicle care</x:t>
        </x:is>
      </x:c>
      <x:c r="J36" s="117" t="inlineStr">
        <x:is>
          <x:t xml:space="preserve">Car owner</x:t>
        </x:is>
      </x:c>
      <x:c r="K36" s="117" t="inlineStr">
        <x:is>
          <x:t xml:space="preserve">Trust</x:t>
        </x:is>
      </x:c>
      <x:c r="L36" s="117" t="inlineStr">
        <x:is>
          <x:t xml:space="preserve">Founder-to-camera</x:t>
        </x:is>
      </x:c>
      <x:c r="M36" s="117" t="inlineStr">
        <x:is>
          <x:t xml:space="preserve">30–60 sec</x:t>
        </x:is>
      </x:c>
      <x:c r="N36" s="117" t="inlineStr">
        <x:is>
          <x:t xml:space="preserve">Instagram Reels</x:t>
        </x:is>
      </x:c>
      <x:c r="O36" s="117" t="inlineStr">
        <x:is>
          <x:t xml:space="preserve">TikTok | YouTube Shorts | LinkedIn</x:t>
        </x:is>
      </x:c>
      <x:c r="P36" s="117" t="inlineStr">
        <x:is>
          <x:t xml:space="preserve">Peter explains the product decision, tradeoff, or local insight behind the week’s feature.</x:t>
        </x:is>
      </x:c>
      <x:c r="Q36" s="117" t="inlineStr">
        <x:is>
          <x:t xml:space="preserve">Peter here — this is why we built Vehicle care for Kenyan drivers, not just generic drivers.</x:t>
        </x:is>
      </x:c>
      <x:c r="R36" s="117" t="inlineStr">
        <x:is>
          <x:t xml:space="preserve">Peter in car or office, quick cutaways to road test, product screen and handwritten notes.</x:t>
        </x:is>
      </x:c>
      <x:c r="S36" s="117" t="inlineStr">
        <x:is>
          <x:t xml:space="preserve">The goal is not another app on your phone. The goal is a calmer, more prepared drive.</x:t>
        </x:is>
      </x:c>
      <x:c r="T36" s="117" t="inlineStr">
        <x:is>
          <x:t xml:space="preserve">Follow Msafiri as we build for Kenyan roads.</x:t>
        </x:is>
      </x:c>
      <x:c r="U36" s="117" t="inlineStr">
        <x:is>
          <x:t xml:space="preserve">Peter on-camera setup; car/office B-roll; product screen; simple lower-third</x:t>
        </x:is>
      </x:c>
      <x:c r="V36" s="117" t="inlineStr">
        <x:is>
          <x:t xml:space="preserve">Founder</x:t>
        </x:is>
      </x:c>
      <x:c r="W36" s="117" t="inlineStr">
        <x:is>
          <x:t xml:space="preserve">Draft</x:t>
        </x:is>
      </x:c>
      <x:c r="X36" s="117" t="inlineStr">
        <x:is>
          <x:t xml:space="preserve">Not Started</x:t>
        </x:is>
      </x:c>
      <x:c r="Y36" s="117" t="n"/>
      <x:c r="Z36" s="118" t="n"/>
      <x:c r="AA36" s="118" t="n"/>
      <x:c r="AB36" s="118" t="n"/>
      <x:c r="AC36" s="118" t="n"/>
      <x:c r="AD36" s="118" t="n"/>
      <x:c r="AE36" s="117" t="n"/>
      <x:c r="AF36" s="119" t="inlineStr">
        <x:is>
          <x:t xml:space="preserve">Core</x:t>
        </x:is>
      </x:c>
      <x:c r="AG36" s="117" t="inlineStr">
        <x:is>
          <x:t xml:space="preserve">Founder / education</x:t>
        </x:is>
      </x:c>
      <x:c r="AH36" s="113" t="n">
        <x:v>45</x:v>
      </x:c>
      <x:c r="AI36" s="114" t="n">
        <x:v>0</x:v>
      </x:c>
      <x:c r="AJ36" s="120" t="inlineStr">
        <x:is>
          <x:t xml:space="preserve"/>
        </x:is>
      </x:c>
      <x:c r="AK36" s="113" t="n">
        <x:v>0</x:v>
      </x:c>
      <x:c r="AL36" s="114" t="n">
        <x:v>0</x:v>
      </x:c>
    </x:row>
    <x:row r="37" ht="64" customHeight="1">
      <x:c r="A37" s="109" t="n">
        <x:v>46283</x:v>
      </x:c>
      <x:c r="B37" s="110" t="inlineStr">
        <x:is>
          <x:t xml:space="preserve">Friday</x:t>
        </x:is>
      </x:c>
      <x:c r="C37" s="110" t="n">
        <x:v>33</x:v>
      </x:c>
      <x:c r="D37" s="110" t="n">
        <x:v>5</x:v>
      </x:c>
      <x:c r="E37" s="110" t="inlineStr">
        <x:is>
          <x:t xml:space="preserve">Owning the cost of car care</x:t>
        </x:is>
      </x:c>
      <x:c r="F37" s="110" t="inlineStr">
        <x:is>
          <x:t xml:space="preserve">The boring things that save money</x:t>
        </x:is>
      </x:c>
      <x:c r="G37" s="110" t="inlineStr">
        <x:is>
          <x:t xml:space="preserve">Debate / Mythbusters</x:t>
        </x:is>
      </x:c>
      <x:c r="H37" s="110" t="inlineStr">
        <x:is>
          <x:t xml:space="preserve">Road Mythbusters</x:t>
        </x:is>
      </x:c>
      <x:c r="I37" s="110" t="inlineStr">
        <x:is>
          <x:t xml:space="preserve">Vehicle care</x:t>
        </x:is>
      </x:c>
      <x:c r="J37" s="110" t="inlineStr">
        <x:is>
          <x:t xml:space="preserve">Car owner</x:t>
        </x:is>
      </x:c>
      <x:c r="K37" s="110" t="inlineStr">
        <x:is>
          <x:t xml:space="preserve">Engagement</x:t>
        </x:is>
      </x:c>
      <x:c r="L37" s="110" t="inlineStr">
        <x:is>
          <x:t xml:space="preserve">Short-form video</x:t>
        </x:is>
      </x:c>
      <x:c r="M37" s="110" t="inlineStr">
        <x:is>
          <x:t xml:space="preserve">20–45 sec</x:t>
        </x:is>
      </x:c>
      <x:c r="N37" s="110" t="inlineStr">
        <x:is>
          <x:t xml:space="preserve">TikTok</x:t>
        </x:is>
      </x:c>
      <x:c r="O37" s="110" t="inlineStr">
        <x:is>
          <x:t xml:space="preserve">Instagram Reels | YouTube Shorts | Facebook Reels</x:t>
        </x:is>
      </x:c>
      <x:c r="P37" s="110" t="inlineStr">
        <x:is>
          <x:t xml:space="preserve">Open a controlled debate while ending with responsible road-safety framing.</x:t>
        </x:is>
      </x:c>
      <x:c r="Q37" s="110" t="inlineStr">
        <x:is>
          <x:t xml:space="preserve">Hot take: car care reminders are not boring when they save your month.</x:t>
        </x:is>
      </x:c>
      <x:c r="R37" s="110" t="inlineStr">
        <x:is>
          <x:t xml:space="preserve">Split screen: claim vs reality, quick poll sticker, Peter closing with safe takeaway.</x:t>
        </x:is>
      </x:c>
      <x:c r="S37" s="110" t="inlineStr">
        <x:is>
          <x:t xml:space="preserve">Debate is useful only if it makes us better drivers. What is your honest view?</x:t>
        </x:is>
      </x:c>
      <x:c r="T37" s="110" t="inlineStr">
        <x:is>
          <x:t xml:space="preserve">Agree or disagree? Give your reason.</x:t>
        </x:is>
      </x:c>
      <x:c r="U37" s="110" t="inlineStr">
        <x:is>
          <x:t xml:space="preserve">Phone mount; Msafiri screen-record; Eastern Bypass / garage errands B-roll; captions; branded end card</x:t>
        </x:is>
      </x:c>
      <x:c r="V37" s="110" t="inlineStr">
        <x:is>
          <x:t xml:space="preserve">Founder</x:t>
        </x:is>
      </x:c>
      <x:c r="W37" s="110" t="inlineStr">
        <x:is>
          <x:t xml:space="preserve">Backlog</x:t>
        </x:is>
      </x:c>
      <x:c r="X37" s="110" t="inlineStr">
        <x:is>
          <x:t xml:space="preserve">Not Started</x:t>
        </x:is>
      </x:c>
      <x:c r="Y37" s="110" t="n"/>
      <x:c r="Z37" s="111" t="n"/>
      <x:c r="AA37" s="111" t="n"/>
      <x:c r="AB37" s="111" t="n"/>
      <x:c r="AC37" s="111" t="n"/>
      <x:c r="AD37" s="111" t="n"/>
      <x:c r="AE37" s="110" t="n"/>
      <x:c r="AF37" s="121" t="inlineStr">
        <x:is>
          <x:t xml:space="preserve">Optional</x:t>
        </x:is>
      </x:c>
      <x:c r="AG37" s="110" t="inlineStr">
        <x:is>
          <x:t xml:space="preserve">Community reply</x:t>
        </x:is>
      </x:c>
      <x:c r="AH37" s="113" t="n">
        <x:v>25</x:v>
      </x:c>
      <x:c r="AI37" s="114" t="n">
        <x:v>0</x:v>
      </x:c>
      <x:c r="AJ37" s="115" t="inlineStr">
        <x:is>
          <x:t xml:space="preserve"/>
        </x:is>
      </x:c>
      <x:c r="AK37" s="113" t="n">
        <x:v>0</x:v>
      </x:c>
      <x:c r="AL37" s="114" t="n">
        <x:v>0</x:v>
      </x:c>
    </x:row>
    <x:row r="38" ht="64" customHeight="1">
      <x:c r="A38" s="116" t="n">
        <x:v>46284</x:v>
      </x:c>
      <x:c r="B38" s="117" t="inlineStr">
        <x:is>
          <x:t xml:space="preserve">Saturday</x:t>
        </x:is>
      </x:c>
      <x:c r="C38" s="117" t="n">
        <x:v>34</x:v>
      </x:c>
      <x:c r="D38" s="117" t="n">
        <x:v>5</x:v>
      </x:c>
      <x:c r="E38" s="117" t="inlineStr">
        <x:is>
          <x:t xml:space="preserve">Owning the cost of car care</x:t>
        </x:is>
      </x:c>
      <x:c r="F38" s="117" t="inlineStr">
        <x:is>
          <x:t xml:space="preserve">The boring things that save money</x:t>
        </x:is>
      </x:c>
      <x:c r="G38" s="117" t="inlineStr">
        <x:is>
          <x:t xml:space="preserve">Community / UGC</x:t>
        </x:is>
      </x:c>
      <x:c r="H38" s="117" t="inlineStr">
        <x:is>
          <x:t xml:space="preserve">Ask a Kenyan Driver</x:t>
        </x:is>
      </x:c>
      <x:c r="I38" s="117" t="inlineStr">
        <x:is>
          <x:t xml:space="preserve">Vehicle care</x:t>
        </x:is>
      </x:c>
      <x:c r="J38" s="117" t="inlineStr">
        <x:is>
          <x:t xml:space="preserve">Car owner</x:t>
        </x:is>
      </x:c>
      <x:c r="K38" s="117" t="inlineStr">
        <x:is>
          <x:t xml:space="preserve">Community</x:t>
        </x:is>
      </x:c>
      <x:c r="L38" s="117" t="inlineStr">
        <x:is>
          <x:t xml:space="preserve">Street Interview</x:t>
        </x:is>
      </x:c>
      <x:c r="M38" s="117" t="inlineStr">
        <x:is>
          <x:t xml:space="preserve">20–60 sec</x:t>
        </x:is>
      </x:c>
      <x:c r="N38" s="117" t="inlineStr">
        <x:is>
          <x:t xml:space="preserve">TikTok</x:t>
        </x:is>
      </x:c>
      <x:c r="O38" s="117" t="inlineStr">
        <x:is>
          <x:t xml:space="preserve">Instagram Reels | Facebook Reels | YouTube Shorts</x:t>
        </x:is>
      </x:c>
      <x:c r="P38" s="117" t="inlineStr">
        <x:is>
          <x:t xml:space="preserve">Let drivers speak; collect comments and stories that can become future episodes.</x:t>
        </x:is>
      </x:c>
      <x:c r="Q38" s="117" t="inlineStr">
        <x:is>
          <x:t xml:space="preserve">We asked drivers: what car issue surprised you at the worst time?</x:t>
        </x:is>
      </x:c>
      <x:c r="R38" s="117" t="inlineStr">
        <x:is>
          <x:t xml:space="preserve">Street interview, 3 fast answers, one unexpected answer, branded closing card.</x:t>
        </x:is>
      </x:c>
      <x:c r="S38" s="117" t="inlineStr">
        <x:is>
          <x:t xml:space="preserve">Kenyan drivers have stories. Msafiri wants to turn those stories into smarter road intelligence.</x:t>
        </x:is>
      </x:c>
      <x:c r="T38" s="117" t="inlineStr">
        <x:is>
          <x:t xml:space="preserve">Tell us your answer in the comments.</x:t>
        </x:is>
      </x:c>
      <x:c r="U38" s="117" t="inlineStr">
        <x:is>
          <x:t xml:space="preserve">Lapel mic; consent line; 3–5 driver answers; branded question card; subtitle template</x:t>
        </x:is>
      </x:c>
      <x:c r="V38" s="117" t="inlineStr">
        <x:is>
          <x:t xml:space="preserve">Founder</x:t>
        </x:is>
      </x:c>
      <x:c r="W38" s="117" t="inlineStr">
        <x:is>
          <x:t xml:space="preserve">Draft</x:t>
        </x:is>
      </x:c>
      <x:c r="X38" s="117" t="inlineStr">
        <x:is>
          <x:t xml:space="preserve">Not Started</x:t>
        </x:is>
      </x:c>
      <x:c r="Y38" s="117" t="n"/>
      <x:c r="Z38" s="118" t="n"/>
      <x:c r="AA38" s="118" t="n"/>
      <x:c r="AB38" s="118" t="n"/>
      <x:c r="AC38" s="118" t="n"/>
      <x:c r="AD38" s="118" t="n"/>
      <x:c r="AE38" s="117" t="n"/>
      <x:c r="AF38" s="119" t="inlineStr">
        <x:is>
          <x:t xml:space="preserve">Core</x:t>
        </x:is>
      </x:c>
      <x:c r="AG38" s="117" t="inlineStr">
        <x:is>
          <x:t xml:space="preserve">Field / community</x:t>
        </x:is>
      </x:c>
      <x:c r="AH38" s="113" t="n">
        <x:v>60</x:v>
      </x:c>
      <x:c r="AI38" s="114" t="n">
        <x:v>0</x:v>
      </x:c>
      <x:c r="AJ38" s="120" t="inlineStr">
        <x:is>
          <x:t xml:space="preserve"/>
        </x:is>
      </x:c>
      <x:c r="AK38" s="113" t="n">
        <x:v>0</x:v>
      </x:c>
      <x:c r="AL38" s="114" t="n">
        <x:v>0</x:v>
      </x:c>
    </x:row>
    <x:row r="39" ht="64" customHeight="1">
      <x:c r="A39" s="109" t="n">
        <x:v>46285</x:v>
      </x:c>
      <x:c r="B39" s="110" t="inlineStr">
        <x:is>
          <x:t xml:space="preserve">Sunday</x:t>
        </x:is>
      </x:c>
      <x:c r="C39" s="110" t="n">
        <x:v>35</x:v>
      </x:c>
      <x:c r="D39" s="110" t="n">
        <x:v>5</x:v>
      </x:c>
      <x:c r="E39" s="110" t="inlineStr">
        <x:is>
          <x:t xml:space="preserve">Owning the cost of car care</x:t>
        </x:is>
      </x:c>
      <x:c r="F39" s="110" t="inlineStr">
        <x:is>
          <x:t xml:space="preserve">The boring things that save money</x:t>
        </x:is>
      </x:c>
      <x:c r="G39" s="110" t="inlineStr">
        <x:is>
          <x:t xml:space="preserve">Education / Safety</x:t>
        </x:is>
      </x:c>
      <x:c r="H39" s="110" t="inlineStr">
        <x:is>
          <x:t xml:space="preserve">Before You Drive</x:t>
        </x:is>
      </x:c>
      <x:c r="I39" s="110" t="inlineStr">
        <x:is>
          <x:t xml:space="preserve">Vehicle care</x:t>
        </x:is>
      </x:c>
      <x:c r="J39" s="110" t="inlineStr">
        <x:is>
          <x:t xml:space="preserve">Car owner</x:t>
        </x:is>
      </x:c>
      <x:c r="K39" s="110" t="inlineStr">
        <x:is>
          <x:t xml:space="preserve">Retention</x:t>
        </x:is>
      </x:c>
      <x:c r="L39" s="110" t="inlineStr">
        <x:is>
          <x:t xml:space="preserve">Checklist Reel</x:t>
        </x:is>
      </x:c>
      <x:c r="M39" s="110" t="inlineStr">
        <x:is>
          <x:t xml:space="preserve">20–45 sec</x:t>
        </x:is>
      </x:c>
      <x:c r="N39" s="110" t="inlineStr">
        <x:is>
          <x:t xml:space="preserve">Instagram Reels</x:t>
        </x:is>
      </x:c>
      <x:c r="O39" s="110" t="inlineStr">
        <x:is>
          <x:t xml:space="preserve">TikTok | YouTube Shorts | Facebook Reels | Instagram Stories</x:t>
        </x:is>
      </x:c>
      <x:c r="P39" s="110" t="inlineStr">
        <x:is>
          <x:t xml:space="preserve">A saveable checklist people can use before a real drive.</x:t>
        </x:is>
      </x:c>
      <x:c r="Q39" s="110" t="inlineStr">
        <x:is>
          <x:t xml:space="preserve">Save this owning the cost of car care checklist before your next drive.</x:t>
        </x:is>
      </x:c>
      <x:c r="R39" s="110" t="inlineStr">
        <x:is>
          <x:t xml:space="preserve">Checklist overlay, hands-on car/phone shots, one item per beat, final saved-card frame.</x:t>
        </x:is>
      </x:c>
      <x:c r="S39" s="110" t="inlineStr">
        <x:is>
          <x:t xml:space="preserve">A good drive often starts before the engine starts. Keep this simple checklist close.</x:t>
        </x:is>
      </x:c>
      <x:c r="T39" s="110" t="inlineStr">
        <x:is>
          <x:t xml:space="preserve">Save this before your next drive.</x:t>
        </x:is>
      </x:c>
      <x:c r="U39" s="110" t="inlineStr">
        <x:is>
          <x:t xml:space="preserve">Phone mount; Msafiri screen-record; Eastern Bypass / garage errands B-roll; captions; branded end card</x:t>
        </x:is>
      </x:c>
      <x:c r="V39" s="110" t="inlineStr">
        <x:is>
          <x:t xml:space="preserve">Founder</x:t>
        </x:is>
      </x:c>
      <x:c r="W39" s="110" t="inlineStr">
        <x:is>
          <x:t xml:space="preserve">Backlog</x:t>
        </x:is>
      </x:c>
      <x:c r="X39" s="110" t="inlineStr">
        <x:is>
          <x:t xml:space="preserve">Not Started</x:t>
        </x:is>
      </x:c>
      <x:c r="Y39" s="110" t="n"/>
      <x:c r="Z39" s="111" t="n"/>
      <x:c r="AA39" s="111" t="n"/>
      <x:c r="AB39" s="111" t="n"/>
      <x:c r="AC39" s="111" t="n"/>
      <x:c r="AD39" s="111" t="n"/>
      <x:c r="AE39" s="110" t="n"/>
      <x:c r="AF39" s="121" t="inlineStr">
        <x:is>
          <x:t xml:space="preserve">Optional</x:t>
        </x:is>
      </x:c>
      <x:c r="AG39" s="110" t="inlineStr">
        <x:is>
          <x:t xml:space="preserve">Optional / planning</x:t>
        </x:is>
      </x:c>
      <x:c r="AH39" s="113" t="n">
        <x:v>20</x:v>
      </x:c>
      <x:c r="AI39" s="114" t="n">
        <x:v>0</x:v>
      </x:c>
      <x:c r="AJ39" s="115" t="inlineStr">
        <x:is>
          <x:t xml:space="preserve"/>
        </x:is>
      </x:c>
      <x:c r="AK39" s="113" t="n">
        <x:v>0</x:v>
      </x:c>
      <x:c r="AL39" s="114" t="n">
        <x:v>0</x:v>
      </x:c>
    </x:row>
    <x:row r="40" ht="64" customHeight="1">
      <x:c r="A40" s="116" t="n">
        <x:v>46286</x:v>
      </x:c>
      <x:c r="B40" s="117" t="inlineStr">
        <x:is>
          <x:t xml:space="preserve">Monday</x:t>
        </x:is>
      </x:c>
      <x:c r="C40" s="117" t="n">
        <x:v>36</x:v>
      </x:c>
      <x:c r="D40" s="117" t="n">
        <x:v>6</x:v>
      </x:c>
      <x:c r="E40" s="117" t="inlineStr">
        <x:is>
          <x:t xml:space="preserve">Weekend drives and nearby decisions</x:t>
        </x:is>
      </x:c>
      <x:c r="F40" s="117" t="inlineStr">
        <x:is>
          <x:t xml:space="preserve">Plan less, drive smarter</x:t>
        </x:is>
      </x:c>
      <x:c r="G40" s="117" t="inlineStr">
        <x:is>
          <x:t xml:space="preserve">Road Intelligence</x:t>
        </x:is>
      </x:c>
      <x:c r="H40" s="117" t="inlineStr">
        <x:is>
          <x:t xml:space="preserve">Msafiri Road Check</x:t>
        </x:is>
      </x:c>
      <x:c r="I40" s="117" t="inlineStr">
        <x:is>
          <x:t xml:space="preserve">Find Nearby</x:t>
        </x:is>
      </x:c>
      <x:c r="J40" s="117" t="inlineStr">
        <x:is>
          <x:t xml:space="preserve">Road-trip group</x:t>
        </x:is>
      </x:c>
      <x:c r="K40" s="117" t="inlineStr">
        <x:is>
          <x:t xml:space="preserve">Awareness</x:t>
        </x:is>
      </x:c>
      <x:c r="L40" s="117" t="inlineStr">
        <x:is>
          <x:t xml:space="preserve">Hero / Reel</x:t>
        </x:is>
      </x:c>
      <x:c r="M40" s="117" t="inlineStr">
        <x:is>
          <x:t xml:space="preserve">45–90 sec</x:t>
        </x:is>
      </x:c>
      <x:c r="N40" s="117" t="inlineStr">
        <x:is>
          <x:t xml:space="preserve">TikTok</x:t>
        </x:is>
      </x:c>
      <x:c r="O40" s="117" t="inlineStr">
        <x:is>
          <x:t xml:space="preserve">Instagram Reels | YouTube Shorts | Facebook Reels | YouTube</x:t>
        </x:is>
      </x:c>
      <x:c r="P40" s="117" t="inlineStr">
        <x:is>
          <x:t xml:space="preserve">Anchor episode that turns this week’s theme into a road story people can recognize.</x:t>
        </x:is>
      </x:c>
      <x:c r="Q40" s="117" t="inlineStr">
        <x:is>
          <x:t xml:space="preserve">We tested Nairobi to Naivasha idea route: what should a road-trip group know before driving it this week?</x:t>
        </x:is>
      </x:c>
      <x:c r="R40" s="117" t="inlineStr">
        <x:is>
          <x:t xml:space="preserve">POV drive, 3 timestamped moments, map/context overlay, quick Msafiri screen, clear payoff.</x:t>
        </x:is>
      </x:c>
      <x:c r="S40" s="117" t="inlineStr">
        <x:is>
          <x:t xml:space="preserve">Road intelligence should feel practical, not complicated. Here is what stood out on Nairobi to Naivasha idea route.</x:t>
        </x:is>
      </x:c>
      <x:c r="T40" s="117" t="inlineStr">
        <x:is>
          <x:t xml:space="preserve">Tell us which road we should check next.</x:t>
        </x:is>
      </x:c>
      <x:c r="U40" s="117" t="inlineStr">
        <x:is>
          <x:t xml:space="preserve">Phone mount; Msafiri screen-record; Nairobi to Naivasha idea route B-roll; captions; branded end card</x:t>
        </x:is>
      </x:c>
      <x:c r="V40" s="117" t="inlineStr">
        <x:is>
          <x:t xml:space="preserve">Founder</x:t>
        </x:is>
      </x:c>
      <x:c r="W40" s="117" t="inlineStr">
        <x:is>
          <x:t xml:space="preserve">Draft</x:t>
        </x:is>
      </x:c>
      <x:c r="X40" s="117" t="inlineStr">
        <x:is>
          <x:t xml:space="preserve">Not Started</x:t>
        </x:is>
      </x:c>
      <x:c r="Y40" s="117" t="n"/>
      <x:c r="Z40" s="118" t="n"/>
      <x:c r="AA40" s="118" t="n"/>
      <x:c r="AB40" s="118" t="n"/>
      <x:c r="AC40" s="118" t="n"/>
      <x:c r="AD40" s="118" t="n"/>
      <x:c r="AE40" s="117" t="n"/>
      <x:c r="AF40" s="119" t="inlineStr">
        <x:is>
          <x:t xml:space="preserve">Core</x:t>
        </x:is>
      </x:c>
      <x:c r="AG40" s="117" t="inlineStr">
        <x:is>
          <x:t xml:space="preserve">Field / anchor</x:t>
        </x:is>
      </x:c>
      <x:c r="AH40" s="113" t="n">
        <x:v>75</x:v>
      </x:c>
      <x:c r="AI40" s="114" t="n">
        <x:v>0</x:v>
      </x:c>
      <x:c r="AJ40" s="120" t="inlineStr">
        <x:is>
          <x:t xml:space="preserve"/>
        </x:is>
      </x:c>
      <x:c r="AK40" s="113" t="n">
        <x:v>0</x:v>
      </x:c>
      <x:c r="AL40" s="114" t="n">
        <x:v>0</x:v>
      </x:c>
    </x:row>
    <x:row r="41" ht="64" customHeight="1">
      <x:c r="A41" s="109" t="n">
        <x:v>46287</x:v>
      </x:c>
      <x:c r="B41" s="110" t="inlineStr">
        <x:is>
          <x:t xml:space="preserve">Tuesday</x:t>
        </x:is>
      </x:c>
      <x:c r="C41" s="110" t="n">
        <x:v>37</x:v>
      </x:c>
      <x:c r="D41" s="110" t="n">
        <x:v>6</x:v>
      </x:c>
      <x:c r="E41" s="110" t="inlineStr">
        <x:is>
          <x:t xml:space="preserve">Weekend drives and nearby decisions</x:t>
        </x:is>
      </x:c>
      <x:c r="F41" s="110" t="inlineStr">
        <x:is>
          <x:t xml:space="preserve">Plan less, drive smarter</x:t>
        </x:is>
      </x:c>
      <x:c r="G41" s="110" t="inlineStr">
        <x:is>
          <x:t xml:space="preserve">Product / Feature Proof</x:t>
        </x:is>
      </x:c>
      <x:c r="H41" s="110" t="inlineStr">
        <x:is>
          <x:t xml:space="preserve">Feature in the Wild</x:t>
        </x:is>
      </x:c>
      <x:c r="I41" s="110" t="inlineStr">
        <x:is>
          <x:t xml:space="preserve">Find Nearby</x:t>
        </x:is>
      </x:c>
      <x:c r="J41" s="110" t="inlineStr">
        <x:is>
          <x:t xml:space="preserve">Road-trip group</x:t>
        </x:is>
      </x:c>
      <x:c r="K41" s="110" t="inlineStr">
        <x:is>
          <x:t xml:space="preserve">Feature Discovery</x:t>
        </x:is>
      </x:c>
      <x:c r="L41" s="110" t="inlineStr">
        <x:is>
          <x:t xml:space="preserve">Short-form video</x:t>
        </x:is>
      </x:c>
      <x:c r="M41" s="110" t="inlineStr">
        <x:is>
          <x:t xml:space="preserve">20–45 sec</x:t>
        </x:is>
      </x:c>
      <x:c r="N41" s="110" t="inlineStr">
        <x:is>
          <x:t xml:space="preserve">Instagram Reels</x:t>
        </x:is>
      </x:c>
      <x:c r="O41" s="110" t="inlineStr">
        <x:is>
          <x:t xml:space="preserve">TikTok | YouTube Shorts | Facebook Reels</x:t>
        </x:is>
      </x:c>
      <x:c r="P41" s="110" t="inlineStr">
        <x:is>
          <x:t xml:space="preserve">Show the feature solving one real driving moment without turning the video into an ad.</x:t>
        </x:is>
      </x:c>
      <x:c r="Q41" s="110" t="inlineStr">
        <x:is>
          <x:t xml:space="preserve">Find Nearby only makes sense when plans change and you need a safe, useful stop; here is the 30-second version.</x:t>
        </x:is>
      </x:c>
      <x:c r="R41" s="110" t="inlineStr">
        <x:is>
          <x:t xml:space="preserve">Phone mount, screen-record, before/after comparison, one clean feature payoff.</x:t>
        </x:is>
      </x:c>
      <x:c r="S41" s="110" t="inlineStr">
        <x:is>
          <x:t xml:space="preserve">A feature is only useful if it helps in the exact moment a driver needs it.</x:t>
        </x:is>
      </x:c>
      <x:c r="T41" s="110" t="inlineStr">
        <x:is>
          <x:t xml:space="preserve">Try Msafiri on your next drive.</x:t>
        </x:is>
      </x:c>
      <x:c r="U41" s="110" t="inlineStr">
        <x:is>
          <x:t xml:space="preserve">Phone mount; Msafiri screen-record; Nairobi to Naivasha idea route B-roll; captions; branded end card</x:t>
        </x:is>
      </x:c>
      <x:c r="V41" s="110" t="inlineStr">
        <x:is>
          <x:t xml:space="preserve">Founder</x:t>
        </x:is>
      </x:c>
      <x:c r="W41" s="110" t="inlineStr">
        <x:is>
          <x:t xml:space="preserve">Draft</x:t>
        </x:is>
      </x:c>
      <x:c r="X41" s="110" t="inlineStr">
        <x:is>
          <x:t xml:space="preserve">Not Started</x:t>
        </x:is>
      </x:c>
      <x:c r="Y41" s="110" t="n"/>
      <x:c r="Z41" s="111" t="n"/>
      <x:c r="AA41" s="111" t="n"/>
      <x:c r="AB41" s="111" t="n"/>
      <x:c r="AC41" s="111" t="n"/>
      <x:c r="AD41" s="111" t="n"/>
      <x:c r="AE41" s="110" t="n"/>
      <x:c r="AF41" s="112" t="inlineStr">
        <x:is>
          <x:t xml:space="preserve">Core</x:t>
        </x:is>
      </x:c>
      <x:c r="AG41" s="110" t="inlineStr">
        <x:is>
          <x:t xml:space="preserve">Screen demo</x:t>
        </x:is>
      </x:c>
      <x:c r="AH41" s="113" t="n">
        <x:v>45</x:v>
      </x:c>
      <x:c r="AI41" s="114" t="n">
        <x:v>0</x:v>
      </x:c>
      <x:c r="AJ41" s="115" t="inlineStr">
        <x:is>
          <x:t xml:space="preserve"/>
        </x:is>
      </x:c>
      <x:c r="AK41" s="113" t="n">
        <x:v>0</x:v>
      </x:c>
      <x:c r="AL41" s="114" t="n">
        <x:v>0</x:v>
      </x:c>
    </x:row>
    <x:row r="42" ht="64" customHeight="1">
      <x:c r="A42" s="116" t="n">
        <x:v>46288</x:v>
      </x:c>
      <x:c r="B42" s="117" t="inlineStr">
        <x:is>
          <x:t xml:space="preserve">Wednesday</x:t>
        </x:is>
      </x:c>
      <x:c r="C42" s="117" t="n">
        <x:v>38</x:v>
      </x:c>
      <x:c r="D42" s="117" t="n">
        <x:v>6</x:v>
      </x:c>
      <x:c r="E42" s="117" t="inlineStr">
        <x:is>
          <x:t xml:space="preserve">Weekend drives and nearby decisions</x:t>
        </x:is>
      </x:c>
      <x:c r="F42" s="117" t="inlineStr">
        <x:is>
          <x:t xml:space="preserve">Plan less, drive smarter</x:t>
        </x:is>
      </x:c>
      <x:c r="G42" s="117" t="inlineStr">
        <x:is>
          <x:t xml:space="preserve">Kenyan Driving Reality</x:t>
        </x:is>
      </x:c>
      <x:c r="H42" s="117" t="inlineStr">
        <x:is>
          <x:t xml:space="preserve">Kenyan Driver Problems</x:t>
        </x:is>
      </x:c>
      <x:c r="I42" s="117" t="inlineStr">
        <x:is>
          <x:t xml:space="preserve">Find Nearby</x:t>
        </x:is>
      </x:c>
      <x:c r="J42" s="117" t="inlineStr">
        <x:is>
          <x:t xml:space="preserve">Road-trip group</x:t>
        </x:is>
      </x:c>
      <x:c r="K42" s="117" t="inlineStr">
        <x:is>
          <x:t xml:space="preserve">Engagement</x:t>
        </x:is>
      </x:c>
      <x:c r="L42" s="117" t="inlineStr">
        <x:is>
          <x:t xml:space="preserve">Skit</x:t>
        </x:is>
      </x:c>
      <x:c r="M42" s="117" t="inlineStr">
        <x:is>
          <x:t xml:space="preserve">15–35 sec</x:t>
        </x:is>
      </x:c>
      <x:c r="N42" s="117" t="inlineStr">
        <x:is>
          <x:t xml:space="preserve">TikTok</x:t>
        </x:is>
      </x:c>
      <x:c r="O42" s="117" t="inlineStr">
        <x:is>
          <x:t xml:space="preserve">Instagram Reels | Facebook Reels | YouTube Shorts</x:t>
        </x:is>
      </x:c>
      <x:c r="P42" s="117" t="inlineStr">
        <x:is>
          <x:t xml:space="preserve">Relatable driver tension; make people laugh, then attach a practical Msafiri angle.</x:t>
        </x:is>
      </x:c>
      <x:c r="Q42" s="117" t="inlineStr">
        <x:is>
          <x:t xml:space="preserve">POV: plans change and you need a safe, useful stop and everyone in the car suddenly becomes a driving expert.</x:t>
        </x:is>
      </x:c>
      <x:c r="R42" s="117" t="inlineStr">
        <x:is>
          <x:t xml:space="preserve">Driver/passenger skit, quick reaction cuts, exaggerated but familiar Kenyan driving moment.</x:t>
        </x:is>
      </x:c>
      <x:c r="S42" s="117" t="inlineStr">
        <x:is>
          <x:t xml:space="preserve">Every driver knows this argument. The smart move is having better information before the argument starts.</x:t>
        </x:is>
      </x:c>
      <x:c r="T42" s="117" t="inlineStr">
        <x:is>
          <x:t xml:space="preserve">Tag the driver who does this.</x:t>
        </x:is>
      </x:c>
      <x:c r="U42" s="117" t="inlineStr">
        <x:is>
          <x:t xml:space="preserve">Phone mount; Msafiri screen-record; Nairobi to Naivasha idea route B-roll; captions; branded end card</x:t>
        </x:is>
      </x:c>
      <x:c r="V42" s="117" t="inlineStr">
        <x:is>
          <x:t xml:space="preserve">Founder</x:t>
        </x:is>
      </x:c>
      <x:c r="W42" s="117" t="inlineStr">
        <x:is>
          <x:t xml:space="preserve">Backlog</x:t>
        </x:is>
      </x:c>
      <x:c r="X42" s="117" t="inlineStr">
        <x:is>
          <x:t xml:space="preserve">Not Started</x:t>
        </x:is>
      </x:c>
      <x:c r="Y42" s="117" t="n"/>
      <x:c r="Z42" s="118" t="n"/>
      <x:c r="AA42" s="118" t="n"/>
      <x:c r="AB42" s="118" t="n"/>
      <x:c r="AC42" s="118" t="n"/>
      <x:c r="AD42" s="118" t="n"/>
      <x:c r="AE42" s="117" t="n"/>
      <x:c r="AF42" s="122" t="inlineStr">
        <x:is>
          <x:t xml:space="preserve">Optional</x:t>
        </x:is>
      </x:c>
      <x:c r="AG42" s="117" t="inlineStr">
        <x:is>
          <x:t xml:space="preserve">Repurpose / story</x:t>
        </x:is>
      </x:c>
      <x:c r="AH42" s="113" t="n">
        <x:v>25</x:v>
      </x:c>
      <x:c r="AI42" s="114" t="n">
        <x:v>0</x:v>
      </x:c>
      <x:c r="AJ42" s="120" t="inlineStr">
        <x:is>
          <x:t xml:space="preserve"/>
        </x:is>
      </x:c>
      <x:c r="AK42" s="113" t="n">
        <x:v>0</x:v>
      </x:c>
      <x:c r="AL42" s="114" t="n">
        <x:v>0</x:v>
      </x:c>
    </x:row>
    <x:row r="43" ht="64" customHeight="1">
      <x:c r="A43" s="109" t="n">
        <x:v>46289</x:v>
      </x:c>
      <x:c r="B43" s="110" t="inlineStr">
        <x:is>
          <x:t xml:space="preserve">Thursday</x:t>
        </x:is>
      </x:c>
      <x:c r="C43" s="110" t="n">
        <x:v>39</x:v>
      </x:c>
      <x:c r="D43" s="110" t="n">
        <x:v>6</x:v>
      </x:c>
      <x:c r="E43" s="110" t="inlineStr">
        <x:is>
          <x:t xml:space="preserve">Weekend drives and nearby decisions</x:t>
        </x:is>
      </x:c>
      <x:c r="F43" s="110" t="inlineStr">
        <x:is>
          <x:t xml:space="preserve">Plan less, drive smarter</x:t>
        </x:is>
      </x:c>
      <x:c r="G43" s="110" t="inlineStr">
        <x:is>
          <x:t xml:space="preserve">Founder / BTS</x:t>
        </x:is>
      </x:c>
      <x:c r="H43" s="110" t="inlineStr">
        <x:is>
          <x:t xml:space="preserve">Founder Files</x:t>
        </x:is>
      </x:c>
      <x:c r="I43" s="110" t="inlineStr">
        <x:is>
          <x:t xml:space="preserve">Find Nearby</x:t>
        </x:is>
      </x:c>
      <x:c r="J43" s="110" t="inlineStr">
        <x:is>
          <x:t xml:space="preserve">Road-trip group</x:t>
        </x:is>
      </x:c>
      <x:c r="K43" s="110" t="inlineStr">
        <x:is>
          <x:t xml:space="preserve">Trust</x:t>
        </x:is>
      </x:c>
      <x:c r="L43" s="110" t="inlineStr">
        <x:is>
          <x:t xml:space="preserve">Founder-to-camera</x:t>
        </x:is>
      </x:c>
      <x:c r="M43" s="110" t="inlineStr">
        <x:is>
          <x:t xml:space="preserve">30–60 sec</x:t>
        </x:is>
      </x:c>
      <x:c r="N43" s="110" t="inlineStr">
        <x:is>
          <x:t xml:space="preserve">Instagram Reels</x:t>
        </x:is>
      </x:c>
      <x:c r="O43" s="110" t="inlineStr">
        <x:is>
          <x:t xml:space="preserve">TikTok | YouTube Shorts | LinkedIn</x:t>
        </x:is>
      </x:c>
      <x:c r="P43" s="110" t="inlineStr">
        <x:is>
          <x:t xml:space="preserve">Peter explains the product decision, tradeoff, or local insight behind the week’s feature.</x:t>
        </x:is>
      </x:c>
      <x:c r="Q43" s="110" t="inlineStr">
        <x:is>
          <x:t xml:space="preserve">Peter here — this is why we built Find Nearby for Kenyan drivers, not just generic drivers.</x:t>
        </x:is>
      </x:c>
      <x:c r="R43" s="110" t="inlineStr">
        <x:is>
          <x:t xml:space="preserve">Peter in car or office, quick cutaways to road test, product screen and handwritten notes.</x:t>
        </x:is>
      </x:c>
      <x:c r="S43" s="110" t="inlineStr">
        <x:is>
          <x:t xml:space="preserve">The goal is not another app on your phone. The goal is a calmer, more prepared drive.</x:t>
        </x:is>
      </x:c>
      <x:c r="T43" s="110" t="inlineStr">
        <x:is>
          <x:t xml:space="preserve">Follow Msafiri as we build for Kenyan roads.</x:t>
        </x:is>
      </x:c>
      <x:c r="U43" s="110" t="inlineStr">
        <x:is>
          <x:t xml:space="preserve">Peter on-camera setup; car/office B-roll; product screen; simple lower-third</x:t>
        </x:is>
      </x:c>
      <x:c r="V43" s="110" t="inlineStr">
        <x:is>
          <x:t xml:space="preserve">Founder</x:t>
        </x:is>
      </x:c>
      <x:c r="W43" s="110" t="inlineStr">
        <x:is>
          <x:t xml:space="preserve">Draft</x:t>
        </x:is>
      </x:c>
      <x:c r="X43" s="110" t="inlineStr">
        <x:is>
          <x:t xml:space="preserve">Not Started</x:t>
        </x:is>
      </x:c>
      <x:c r="Y43" s="110" t="n"/>
      <x:c r="Z43" s="111" t="n"/>
      <x:c r="AA43" s="111" t="n"/>
      <x:c r="AB43" s="111" t="n"/>
      <x:c r="AC43" s="111" t="n"/>
      <x:c r="AD43" s="111" t="n"/>
      <x:c r="AE43" s="110" t="n"/>
      <x:c r="AF43" s="112" t="inlineStr">
        <x:is>
          <x:t xml:space="preserve">Core</x:t>
        </x:is>
      </x:c>
      <x:c r="AG43" s="110" t="inlineStr">
        <x:is>
          <x:t xml:space="preserve">Founder / education</x:t>
        </x:is>
      </x:c>
      <x:c r="AH43" s="113" t="n">
        <x:v>45</x:v>
      </x:c>
      <x:c r="AI43" s="114" t="n">
        <x:v>0</x:v>
      </x:c>
      <x:c r="AJ43" s="115" t="inlineStr">
        <x:is>
          <x:t xml:space="preserve"/>
        </x:is>
      </x:c>
      <x:c r="AK43" s="113" t="n">
        <x:v>0</x:v>
      </x:c>
      <x:c r="AL43" s="114" t="n">
        <x:v>0</x:v>
      </x:c>
    </x:row>
    <x:row r="44" ht="64" customHeight="1">
      <x:c r="A44" s="116" t="n">
        <x:v>46290</x:v>
      </x:c>
      <x:c r="B44" s="117" t="inlineStr">
        <x:is>
          <x:t xml:space="preserve">Friday</x:t>
        </x:is>
      </x:c>
      <x:c r="C44" s="117" t="n">
        <x:v>40</x:v>
      </x:c>
      <x:c r="D44" s="117" t="n">
        <x:v>6</x:v>
      </x:c>
      <x:c r="E44" s="117" t="inlineStr">
        <x:is>
          <x:t xml:space="preserve">Weekend drives and nearby decisions</x:t>
        </x:is>
      </x:c>
      <x:c r="F44" s="117" t="inlineStr">
        <x:is>
          <x:t xml:space="preserve">Plan less, drive smarter</x:t>
        </x:is>
      </x:c>
      <x:c r="G44" s="117" t="inlineStr">
        <x:is>
          <x:t xml:space="preserve">Debate / Mythbusters</x:t>
        </x:is>
      </x:c>
      <x:c r="H44" s="117" t="inlineStr">
        <x:is>
          <x:t xml:space="preserve">Road Mythbusters</x:t>
        </x:is>
      </x:c>
      <x:c r="I44" s="117" t="inlineStr">
        <x:is>
          <x:t xml:space="preserve">Find Nearby</x:t>
        </x:is>
      </x:c>
      <x:c r="J44" s="117" t="inlineStr">
        <x:is>
          <x:t xml:space="preserve">Road-trip group</x:t>
        </x:is>
      </x:c>
      <x:c r="K44" s="117" t="inlineStr">
        <x:is>
          <x:t xml:space="preserve">Engagement</x:t>
        </x:is>
      </x:c>
      <x:c r="L44" s="117" t="inlineStr">
        <x:is>
          <x:t xml:space="preserve">Short-form video</x:t>
        </x:is>
      </x:c>
      <x:c r="M44" s="117" t="inlineStr">
        <x:is>
          <x:t xml:space="preserve">20–45 sec</x:t>
        </x:is>
      </x:c>
      <x:c r="N44" s="117" t="inlineStr">
        <x:is>
          <x:t xml:space="preserve">TikTok</x:t>
        </x:is>
      </x:c>
      <x:c r="O44" s="117" t="inlineStr">
        <x:is>
          <x:t xml:space="preserve">Instagram Reels | YouTube Shorts | Facebook Reels</x:t>
        </x:is>
      </x:c>
      <x:c r="P44" s="117" t="inlineStr">
        <x:is>
          <x:t xml:space="preserve">Open a controlled debate while ending with responsible road-safety framing.</x:t>
        </x:is>
      </x:c>
      <x:c r="Q44" s="117" t="inlineStr">
        <x:is>
          <x:t xml:space="preserve">Hot take: the best road-trip stop is the one you can find quickly and safely.</x:t>
        </x:is>
      </x:c>
      <x:c r="R44" s="117" t="inlineStr">
        <x:is>
          <x:t xml:space="preserve">Split screen: claim vs reality, quick poll sticker, Peter closing with safe takeaway.</x:t>
        </x:is>
      </x:c>
      <x:c r="S44" s="117" t="inlineStr">
        <x:is>
          <x:t xml:space="preserve">Debate is useful only if it makes us better drivers. What is your honest view?</x:t>
        </x:is>
      </x:c>
      <x:c r="T44" s="117" t="inlineStr">
        <x:is>
          <x:t xml:space="preserve">Agree or disagree? Give your reason.</x:t>
        </x:is>
      </x:c>
      <x:c r="U44" s="117" t="inlineStr">
        <x:is>
          <x:t xml:space="preserve">Phone mount; Msafiri screen-record; Nairobi to Naivasha idea route B-roll; captions; branded end card</x:t>
        </x:is>
      </x:c>
      <x:c r="V44" s="117" t="inlineStr">
        <x:is>
          <x:t xml:space="preserve">Founder</x:t>
        </x:is>
      </x:c>
      <x:c r="W44" s="117" t="inlineStr">
        <x:is>
          <x:t xml:space="preserve">Backlog</x:t>
        </x:is>
      </x:c>
      <x:c r="X44" s="117" t="inlineStr">
        <x:is>
          <x:t xml:space="preserve">Not Started</x:t>
        </x:is>
      </x:c>
      <x:c r="Y44" s="117" t="n"/>
      <x:c r="Z44" s="118" t="n"/>
      <x:c r="AA44" s="118" t="n"/>
      <x:c r="AB44" s="118" t="n"/>
      <x:c r="AC44" s="118" t="n"/>
      <x:c r="AD44" s="118" t="n"/>
      <x:c r="AE44" s="117" t="n"/>
      <x:c r="AF44" s="122" t="inlineStr">
        <x:is>
          <x:t xml:space="preserve">Optional</x:t>
        </x:is>
      </x:c>
      <x:c r="AG44" s="117" t="inlineStr">
        <x:is>
          <x:t xml:space="preserve">Community reply</x:t>
        </x:is>
      </x:c>
      <x:c r="AH44" s="113" t="n">
        <x:v>25</x:v>
      </x:c>
      <x:c r="AI44" s="114" t="n">
        <x:v>0</x:v>
      </x:c>
      <x:c r="AJ44" s="120" t="inlineStr">
        <x:is>
          <x:t xml:space="preserve"/>
        </x:is>
      </x:c>
      <x:c r="AK44" s="113" t="n">
        <x:v>0</x:v>
      </x:c>
      <x:c r="AL44" s="114" t="n">
        <x:v>0</x:v>
      </x:c>
    </x:row>
    <x:row r="45" ht="64" customHeight="1">
      <x:c r="A45" s="109" t="n">
        <x:v>46291</x:v>
      </x:c>
      <x:c r="B45" s="110" t="inlineStr">
        <x:is>
          <x:t xml:space="preserve">Saturday</x:t>
        </x:is>
      </x:c>
      <x:c r="C45" s="110" t="n">
        <x:v>41</x:v>
      </x:c>
      <x:c r="D45" s="110" t="n">
        <x:v>6</x:v>
      </x:c>
      <x:c r="E45" s="110" t="inlineStr">
        <x:is>
          <x:t xml:space="preserve">Weekend drives and nearby decisions</x:t>
        </x:is>
      </x:c>
      <x:c r="F45" s="110" t="inlineStr">
        <x:is>
          <x:t xml:space="preserve">Plan less, drive smarter</x:t>
        </x:is>
      </x:c>
      <x:c r="G45" s="110" t="inlineStr">
        <x:is>
          <x:t xml:space="preserve">Community / UGC</x:t>
        </x:is>
      </x:c>
      <x:c r="H45" s="110" t="inlineStr">
        <x:is>
          <x:t xml:space="preserve">Ask a Kenyan Driver</x:t>
        </x:is>
      </x:c>
      <x:c r="I45" s="110" t="inlineStr">
        <x:is>
          <x:t xml:space="preserve">Find Nearby</x:t>
        </x:is>
      </x:c>
      <x:c r="J45" s="110" t="inlineStr">
        <x:is>
          <x:t xml:space="preserve">Road-trip group</x:t>
        </x:is>
      </x:c>
      <x:c r="K45" s="110" t="inlineStr">
        <x:is>
          <x:t xml:space="preserve">Community</x:t>
        </x:is>
      </x:c>
      <x:c r="L45" s="110" t="inlineStr">
        <x:is>
          <x:t xml:space="preserve">Street Interview</x:t>
        </x:is>
      </x:c>
      <x:c r="M45" s="110" t="inlineStr">
        <x:is>
          <x:t xml:space="preserve">20–60 sec</x:t>
        </x:is>
      </x:c>
      <x:c r="N45" s="110" t="inlineStr">
        <x:is>
          <x:t xml:space="preserve">TikTok</x:t>
        </x:is>
      </x:c>
      <x:c r="O45" s="110" t="inlineStr">
        <x:is>
          <x:t xml:space="preserve">Instagram Reels | Facebook Reels | YouTube Shorts</x:t>
        </x:is>
      </x:c>
      <x:c r="P45" s="110" t="inlineStr">
        <x:is>
          <x:t xml:space="preserve">Let drivers speak; collect comments and stories that can become future episodes.</x:t>
        </x:is>
      </x:c>
      <x:c r="Q45" s="110" t="inlineStr">
        <x:is>
          <x:t xml:space="preserve">We asked drivers: what do you usually need to find mid-trip?</x:t>
        </x:is>
      </x:c>
      <x:c r="R45" s="110" t="inlineStr">
        <x:is>
          <x:t xml:space="preserve">Street interview, 3 fast answers, one unexpected answer, branded closing card.</x:t>
        </x:is>
      </x:c>
      <x:c r="S45" s="110" t="inlineStr">
        <x:is>
          <x:t xml:space="preserve">Kenyan drivers have stories. Msafiri wants to turn those stories into smarter road intelligence.</x:t>
        </x:is>
      </x:c>
      <x:c r="T45" s="110" t="inlineStr">
        <x:is>
          <x:t xml:space="preserve">Tell us your answer in the comments.</x:t>
        </x:is>
      </x:c>
      <x:c r="U45" s="110" t="inlineStr">
        <x:is>
          <x:t xml:space="preserve">Lapel mic; consent line; 3–5 driver answers; branded question card; subtitle template</x:t>
        </x:is>
      </x:c>
      <x:c r="V45" s="110" t="inlineStr">
        <x:is>
          <x:t xml:space="preserve">Founder</x:t>
        </x:is>
      </x:c>
      <x:c r="W45" s="110" t="inlineStr">
        <x:is>
          <x:t xml:space="preserve">Draft</x:t>
        </x:is>
      </x:c>
      <x:c r="X45" s="110" t="inlineStr">
        <x:is>
          <x:t xml:space="preserve">Not Started</x:t>
        </x:is>
      </x:c>
      <x:c r="Y45" s="110" t="n"/>
      <x:c r="Z45" s="111" t="n"/>
      <x:c r="AA45" s="111" t="n"/>
      <x:c r="AB45" s="111" t="n"/>
      <x:c r="AC45" s="111" t="n"/>
      <x:c r="AD45" s="111" t="n"/>
      <x:c r="AE45" s="110" t="n"/>
      <x:c r="AF45" s="112" t="inlineStr">
        <x:is>
          <x:t xml:space="preserve">Core</x:t>
        </x:is>
      </x:c>
      <x:c r="AG45" s="110" t="inlineStr">
        <x:is>
          <x:t xml:space="preserve">Field / community</x:t>
        </x:is>
      </x:c>
      <x:c r="AH45" s="113" t="n">
        <x:v>60</x:v>
      </x:c>
      <x:c r="AI45" s="114" t="n">
        <x:v>0</x:v>
      </x:c>
      <x:c r="AJ45" s="115" t="inlineStr">
        <x:is>
          <x:t xml:space="preserve"/>
        </x:is>
      </x:c>
      <x:c r="AK45" s="113" t="n">
        <x:v>0</x:v>
      </x:c>
      <x:c r="AL45" s="114" t="n">
        <x:v>0</x:v>
      </x:c>
    </x:row>
    <x:row r="46" ht="64" customHeight="1">
      <x:c r="A46" s="116" t="n">
        <x:v>46292</x:v>
      </x:c>
      <x:c r="B46" s="117" t="inlineStr">
        <x:is>
          <x:t xml:space="preserve">Sunday</x:t>
        </x:is>
      </x:c>
      <x:c r="C46" s="117" t="n">
        <x:v>42</x:v>
      </x:c>
      <x:c r="D46" s="117" t="n">
        <x:v>6</x:v>
      </x:c>
      <x:c r="E46" s="117" t="inlineStr">
        <x:is>
          <x:t xml:space="preserve">Weekend drives and nearby decisions</x:t>
        </x:is>
      </x:c>
      <x:c r="F46" s="117" t="inlineStr">
        <x:is>
          <x:t xml:space="preserve">Plan less, drive smarter</x:t>
        </x:is>
      </x:c>
      <x:c r="G46" s="117" t="inlineStr">
        <x:is>
          <x:t xml:space="preserve">Education / Safety</x:t>
        </x:is>
      </x:c>
      <x:c r="H46" s="117" t="inlineStr">
        <x:is>
          <x:t xml:space="preserve">Before You Drive</x:t>
        </x:is>
      </x:c>
      <x:c r="I46" s="117" t="inlineStr">
        <x:is>
          <x:t xml:space="preserve">Find Nearby</x:t>
        </x:is>
      </x:c>
      <x:c r="J46" s="117" t="inlineStr">
        <x:is>
          <x:t xml:space="preserve">Road-trip group</x:t>
        </x:is>
      </x:c>
      <x:c r="K46" s="117" t="inlineStr">
        <x:is>
          <x:t xml:space="preserve">Retention</x:t>
        </x:is>
      </x:c>
      <x:c r="L46" s="117" t="inlineStr">
        <x:is>
          <x:t xml:space="preserve">Checklist Reel</x:t>
        </x:is>
      </x:c>
      <x:c r="M46" s="117" t="inlineStr">
        <x:is>
          <x:t xml:space="preserve">20–45 sec</x:t>
        </x:is>
      </x:c>
      <x:c r="N46" s="117" t="inlineStr">
        <x:is>
          <x:t xml:space="preserve">Instagram Reels</x:t>
        </x:is>
      </x:c>
      <x:c r="O46" s="117" t="inlineStr">
        <x:is>
          <x:t xml:space="preserve">TikTok | YouTube Shorts | Facebook Reels | Instagram Stories</x:t>
        </x:is>
      </x:c>
      <x:c r="P46" s="117" t="inlineStr">
        <x:is>
          <x:t xml:space="preserve">A saveable checklist people can use before a real drive.</x:t>
        </x:is>
      </x:c>
      <x:c r="Q46" s="117" t="inlineStr">
        <x:is>
          <x:t xml:space="preserve">Save this weekend drives and nearby decisions checklist before your next drive.</x:t>
        </x:is>
      </x:c>
      <x:c r="R46" s="117" t="inlineStr">
        <x:is>
          <x:t xml:space="preserve">Checklist overlay, hands-on car/phone shots, one item per beat, final saved-card frame.</x:t>
        </x:is>
      </x:c>
      <x:c r="S46" s="117" t="inlineStr">
        <x:is>
          <x:t xml:space="preserve">A good drive often starts before the engine starts. Keep this simple checklist close.</x:t>
        </x:is>
      </x:c>
      <x:c r="T46" s="117" t="inlineStr">
        <x:is>
          <x:t xml:space="preserve">Save this before your next drive.</x:t>
        </x:is>
      </x:c>
      <x:c r="U46" s="117" t="inlineStr">
        <x:is>
          <x:t xml:space="preserve">Phone mount; Msafiri screen-record; Nairobi to Naivasha idea route B-roll; captions; branded end card</x:t>
        </x:is>
      </x:c>
      <x:c r="V46" s="117" t="inlineStr">
        <x:is>
          <x:t xml:space="preserve">Founder</x:t>
        </x:is>
      </x:c>
      <x:c r="W46" s="117" t="inlineStr">
        <x:is>
          <x:t xml:space="preserve">Backlog</x:t>
        </x:is>
      </x:c>
      <x:c r="X46" s="117" t="inlineStr">
        <x:is>
          <x:t xml:space="preserve">Not Started</x:t>
        </x:is>
      </x:c>
      <x:c r="Y46" s="117" t="n"/>
      <x:c r="Z46" s="118" t="n"/>
      <x:c r="AA46" s="118" t="n"/>
      <x:c r="AB46" s="118" t="n"/>
      <x:c r="AC46" s="118" t="n"/>
      <x:c r="AD46" s="118" t="n"/>
      <x:c r="AE46" s="117" t="n"/>
      <x:c r="AF46" s="122" t="inlineStr">
        <x:is>
          <x:t xml:space="preserve">Optional</x:t>
        </x:is>
      </x:c>
      <x:c r="AG46" s="117" t="inlineStr">
        <x:is>
          <x:t xml:space="preserve">Optional / planning</x:t>
        </x:is>
      </x:c>
      <x:c r="AH46" s="113" t="n">
        <x:v>20</x:v>
      </x:c>
      <x:c r="AI46" s="114" t="n">
        <x:v>0</x:v>
      </x:c>
      <x:c r="AJ46" s="120" t="inlineStr">
        <x:is>
          <x:t xml:space="preserve"/>
        </x:is>
      </x:c>
      <x:c r="AK46" s="113" t="n">
        <x:v>0</x:v>
      </x:c>
      <x:c r="AL46" s="114" t="n">
        <x:v>0</x:v>
      </x:c>
    </x:row>
    <x:row r="47" ht="64" customHeight="1">
      <x:c r="A47" s="109" t="n">
        <x:v>46293</x:v>
      </x:c>
      <x:c r="B47" s="110" t="inlineStr">
        <x:is>
          <x:t xml:space="preserve">Monday</x:t>
        </x:is>
      </x:c>
      <x:c r="C47" s="110" t="n">
        <x:v>43</x:v>
      </x:c>
      <x:c r="D47" s="110" t="n">
        <x:v>7</x:v>
      </x:c>
      <x:c r="E47" s="110" t="inlineStr">
        <x:is>
          <x:t xml:space="preserve">Group trips without confusion</x:t>
        </x:is>
      </x:c>
      <x:c r="F47" s="110" t="inlineStr">
        <x:is>
          <x:t xml:space="preserve">Everyone knows the plan</x:t>
        </x:is>
      </x:c>
      <x:c r="G47" s="110" t="inlineStr">
        <x:is>
          <x:t xml:space="preserve">Road Intelligence</x:t>
        </x:is>
      </x:c>
      <x:c r="H47" s="110" t="inlineStr">
        <x:is>
          <x:t xml:space="preserve">Msafiri Road Check</x:t>
        </x:is>
      </x:c>
      <x:c r="I47" s="110" t="inlineStr">
        <x:is>
          <x:t xml:space="preserve">Trips / trip sharing</x:t>
        </x:is>
      </x:c>
      <x:c r="J47" s="110" t="inlineStr">
        <x:is>
          <x:t xml:space="preserve">Road-trip group</x:t>
        </x:is>
      </x:c>
      <x:c r="K47" s="110" t="inlineStr">
        <x:is>
          <x:t xml:space="preserve">Awareness</x:t>
        </x:is>
      </x:c>
      <x:c r="L47" s="110" t="inlineStr">
        <x:is>
          <x:t xml:space="preserve">Hero / Reel</x:t>
        </x:is>
      </x:c>
      <x:c r="M47" s="110" t="inlineStr">
        <x:is>
          <x:t xml:space="preserve">45–90 sec</x:t>
        </x:is>
      </x:c>
      <x:c r="N47" s="110" t="inlineStr">
        <x:is>
          <x:t xml:space="preserve">TikTok</x:t>
        </x:is>
      </x:c>
      <x:c r="O47" s="110" t="inlineStr">
        <x:is>
          <x:t xml:space="preserve">Instagram Reels | YouTube Shorts | Facebook Reels | YouTube</x:t>
        </x:is>
      </x:c>
      <x:c r="P47" s="110" t="inlineStr">
        <x:is>
          <x:t xml:space="preserve">Anchor episode that turns this week’s theme into a road story people can recognize.</x:t>
        </x:is>
      </x:c>
      <x:c r="Q47" s="110" t="inlineStr">
        <x:is>
          <x:t xml:space="preserve">We tested Nairobi-Nakuru highway planning: what should a road-trip group know before driving it this week?</x:t>
        </x:is>
      </x:c>
      <x:c r="R47" s="110" t="inlineStr">
        <x:is>
          <x:t xml:space="preserve">POV drive, 3 timestamped moments, map/context overlay, quick Msafiri screen, clear payoff.</x:t>
        </x:is>
      </x:c>
      <x:c r="S47" s="110" t="inlineStr">
        <x:is>
          <x:t xml:space="preserve">Road intelligence should feel practical, not complicated. Here is what stood out on Nairobi-Nakuru highway planning.</x:t>
        </x:is>
      </x:c>
      <x:c r="T47" s="110" t="inlineStr">
        <x:is>
          <x:t xml:space="preserve">Tell us which road we should check next.</x:t>
        </x:is>
      </x:c>
      <x:c r="U47" s="110" t="inlineStr">
        <x:is>
          <x:t xml:space="preserve">Phone mount; Msafiri screen-record; Nairobi-Nakuru highway planning B-roll; captions; branded end card</x:t>
        </x:is>
      </x:c>
      <x:c r="V47" s="110" t="inlineStr">
        <x:is>
          <x:t xml:space="preserve">Founder</x:t>
        </x:is>
      </x:c>
      <x:c r="W47" s="110" t="inlineStr">
        <x:is>
          <x:t xml:space="preserve">Draft</x:t>
        </x:is>
      </x:c>
      <x:c r="X47" s="110" t="inlineStr">
        <x:is>
          <x:t xml:space="preserve">Not Started</x:t>
        </x:is>
      </x:c>
      <x:c r="Y47" s="110" t="n"/>
      <x:c r="Z47" s="111" t="n"/>
      <x:c r="AA47" s="111" t="n"/>
      <x:c r="AB47" s="111" t="n"/>
      <x:c r="AC47" s="111" t="n"/>
      <x:c r="AD47" s="111" t="n"/>
      <x:c r="AE47" s="110" t="n"/>
      <x:c r="AF47" s="112" t="inlineStr">
        <x:is>
          <x:t xml:space="preserve">Core</x:t>
        </x:is>
      </x:c>
      <x:c r="AG47" s="110" t="inlineStr">
        <x:is>
          <x:t xml:space="preserve">Field / anchor</x:t>
        </x:is>
      </x:c>
      <x:c r="AH47" s="113" t="n">
        <x:v>75</x:v>
      </x:c>
      <x:c r="AI47" s="114" t="n">
        <x:v>0</x:v>
      </x:c>
      <x:c r="AJ47" s="115" t="inlineStr">
        <x:is>
          <x:t xml:space="preserve"/>
        </x:is>
      </x:c>
      <x:c r="AK47" s="113" t="n">
        <x:v>0</x:v>
      </x:c>
      <x:c r="AL47" s="114" t="n">
        <x:v>0</x:v>
      </x:c>
    </x:row>
    <x:row r="48" ht="64" customHeight="1">
      <x:c r="A48" s="116" t="n">
        <x:v>46294</x:v>
      </x:c>
      <x:c r="B48" s="117" t="inlineStr">
        <x:is>
          <x:t xml:space="preserve">Tuesday</x:t>
        </x:is>
      </x:c>
      <x:c r="C48" s="117" t="n">
        <x:v>44</x:v>
      </x:c>
      <x:c r="D48" s="117" t="n">
        <x:v>7</x:v>
      </x:c>
      <x:c r="E48" s="117" t="inlineStr">
        <x:is>
          <x:t xml:space="preserve">Group trips without confusion</x:t>
        </x:is>
      </x:c>
      <x:c r="F48" s="117" t="inlineStr">
        <x:is>
          <x:t xml:space="preserve">Everyone knows the plan</x:t>
        </x:is>
      </x:c>
      <x:c r="G48" s="117" t="inlineStr">
        <x:is>
          <x:t xml:space="preserve">Product / Feature Proof</x:t>
        </x:is>
      </x:c>
      <x:c r="H48" s="117" t="inlineStr">
        <x:is>
          <x:t xml:space="preserve">Feature in the Wild</x:t>
        </x:is>
      </x:c>
      <x:c r="I48" s="117" t="inlineStr">
        <x:is>
          <x:t xml:space="preserve">Trips / trip sharing</x:t>
        </x:is>
      </x:c>
      <x:c r="J48" s="117" t="inlineStr">
        <x:is>
          <x:t xml:space="preserve">Road-trip group</x:t>
        </x:is>
      </x:c>
      <x:c r="K48" s="117" t="inlineStr">
        <x:is>
          <x:t xml:space="preserve">Feature Discovery</x:t>
        </x:is>
      </x:c>
      <x:c r="L48" s="117" t="inlineStr">
        <x:is>
          <x:t xml:space="preserve">Short-form video</x:t>
        </x:is>
      </x:c>
      <x:c r="M48" s="117" t="inlineStr">
        <x:is>
          <x:t xml:space="preserve">20–45 sec</x:t>
        </x:is>
      </x:c>
      <x:c r="N48" s="117" t="inlineStr">
        <x:is>
          <x:t xml:space="preserve">Instagram Reels</x:t>
        </x:is>
      </x:c>
      <x:c r="O48" s="117" t="inlineStr">
        <x:is>
          <x:t xml:space="preserve">TikTok | YouTube Shorts | Facebook Reels</x:t>
        </x:is>
      </x:c>
      <x:c r="P48" s="117" t="inlineStr">
        <x:is>
          <x:t xml:space="preserve">Show the feature solving one real driving moment without turning the video into an ad.</x:t>
        </x:is>
      </x:c>
      <x:c r="Q48" s="117" t="inlineStr">
        <x:is>
          <x:t xml:space="preserve">Trips / trip sharing only makes sense when the group keeps calling because nobody knows the plan; here is the 30-second version.</x:t>
        </x:is>
      </x:c>
      <x:c r="R48" s="117" t="inlineStr">
        <x:is>
          <x:t xml:space="preserve">Phone mount, screen-record, before/after comparison, one clean feature payoff.</x:t>
        </x:is>
      </x:c>
      <x:c r="S48" s="117" t="inlineStr">
        <x:is>
          <x:t xml:space="preserve">A feature is only useful if it helps in the exact moment a driver needs it.</x:t>
        </x:is>
      </x:c>
      <x:c r="T48" s="117" t="inlineStr">
        <x:is>
          <x:t xml:space="preserve">Try Msafiri on your next drive.</x:t>
        </x:is>
      </x:c>
      <x:c r="U48" s="117" t="inlineStr">
        <x:is>
          <x:t xml:space="preserve">Phone mount; Msafiri screen-record; Nairobi-Nakuru highway planning B-roll; captions; branded end card</x:t>
        </x:is>
      </x:c>
      <x:c r="V48" s="117" t="inlineStr">
        <x:is>
          <x:t xml:space="preserve">Founder</x:t>
        </x:is>
      </x:c>
      <x:c r="W48" s="117" t="inlineStr">
        <x:is>
          <x:t xml:space="preserve">Draft</x:t>
        </x:is>
      </x:c>
      <x:c r="X48" s="117" t="inlineStr">
        <x:is>
          <x:t xml:space="preserve">Not Started</x:t>
        </x:is>
      </x:c>
      <x:c r="Y48" s="117" t="n"/>
      <x:c r="Z48" s="118" t="n"/>
      <x:c r="AA48" s="118" t="n"/>
      <x:c r="AB48" s="118" t="n"/>
      <x:c r="AC48" s="118" t="n"/>
      <x:c r="AD48" s="118" t="n"/>
      <x:c r="AE48" s="117" t="n"/>
      <x:c r="AF48" s="119" t="inlineStr">
        <x:is>
          <x:t xml:space="preserve">Core</x:t>
        </x:is>
      </x:c>
      <x:c r="AG48" s="117" t="inlineStr">
        <x:is>
          <x:t xml:space="preserve">Screen demo</x:t>
        </x:is>
      </x:c>
      <x:c r="AH48" s="113" t="n">
        <x:v>45</x:v>
      </x:c>
      <x:c r="AI48" s="114" t="n">
        <x:v>0</x:v>
      </x:c>
      <x:c r="AJ48" s="120" t="inlineStr">
        <x:is>
          <x:t xml:space="preserve"/>
        </x:is>
      </x:c>
      <x:c r="AK48" s="113" t="n">
        <x:v>0</x:v>
      </x:c>
      <x:c r="AL48" s="114" t="n">
        <x:v>0</x:v>
      </x:c>
    </x:row>
    <x:row r="49" ht="64" customHeight="1">
      <x:c r="A49" s="109" t="n">
        <x:v>46295</x:v>
      </x:c>
      <x:c r="B49" s="110" t="inlineStr">
        <x:is>
          <x:t xml:space="preserve">Wednesday</x:t>
        </x:is>
      </x:c>
      <x:c r="C49" s="110" t="n">
        <x:v>45</x:v>
      </x:c>
      <x:c r="D49" s="110" t="n">
        <x:v>7</x:v>
      </x:c>
      <x:c r="E49" s="110" t="inlineStr">
        <x:is>
          <x:t xml:space="preserve">Group trips without confusion</x:t>
        </x:is>
      </x:c>
      <x:c r="F49" s="110" t="inlineStr">
        <x:is>
          <x:t xml:space="preserve">Everyone knows the plan</x:t>
        </x:is>
      </x:c>
      <x:c r="G49" s="110" t="inlineStr">
        <x:is>
          <x:t xml:space="preserve">Kenyan Driving Reality</x:t>
        </x:is>
      </x:c>
      <x:c r="H49" s="110" t="inlineStr">
        <x:is>
          <x:t xml:space="preserve">Kenyan Driver Problems</x:t>
        </x:is>
      </x:c>
      <x:c r="I49" s="110" t="inlineStr">
        <x:is>
          <x:t xml:space="preserve">Trips / trip sharing</x:t>
        </x:is>
      </x:c>
      <x:c r="J49" s="110" t="inlineStr">
        <x:is>
          <x:t xml:space="preserve">Road-trip group</x:t>
        </x:is>
      </x:c>
      <x:c r="K49" s="110" t="inlineStr">
        <x:is>
          <x:t xml:space="preserve">Engagement</x:t>
        </x:is>
      </x:c>
      <x:c r="L49" s="110" t="inlineStr">
        <x:is>
          <x:t xml:space="preserve">Skit</x:t>
        </x:is>
      </x:c>
      <x:c r="M49" s="110" t="inlineStr">
        <x:is>
          <x:t xml:space="preserve">15–35 sec</x:t>
        </x:is>
      </x:c>
      <x:c r="N49" s="110" t="inlineStr">
        <x:is>
          <x:t xml:space="preserve">TikTok</x:t>
        </x:is>
      </x:c>
      <x:c r="O49" s="110" t="inlineStr">
        <x:is>
          <x:t xml:space="preserve">Instagram Reels | Facebook Reels | YouTube Shorts</x:t>
        </x:is>
      </x:c>
      <x:c r="P49" s="110" t="inlineStr">
        <x:is>
          <x:t xml:space="preserve">Relatable driver tension; make people laugh, then attach a practical Msafiri angle.</x:t>
        </x:is>
      </x:c>
      <x:c r="Q49" s="110" t="inlineStr">
        <x:is>
          <x:t xml:space="preserve">POV: the group keeps calling because nobody knows the plan and everyone in the car suddenly becomes a driving expert.</x:t>
        </x:is>
      </x:c>
      <x:c r="R49" s="110" t="inlineStr">
        <x:is>
          <x:t xml:space="preserve">Driver/passenger skit, quick reaction cuts, exaggerated but familiar Kenyan driving moment.</x:t>
        </x:is>
      </x:c>
      <x:c r="S49" s="110" t="inlineStr">
        <x:is>
          <x:t xml:space="preserve">Every driver knows this argument. The smart move is having better information before the argument starts.</x:t>
        </x:is>
      </x:c>
      <x:c r="T49" s="110" t="inlineStr">
        <x:is>
          <x:t xml:space="preserve">Tag the driver who does this.</x:t>
        </x:is>
      </x:c>
      <x:c r="U49" s="110" t="inlineStr">
        <x:is>
          <x:t xml:space="preserve">Phone mount; Msafiri screen-record; Nairobi-Nakuru highway planning B-roll; captions; branded end card</x:t>
        </x:is>
      </x:c>
      <x:c r="V49" s="110" t="inlineStr">
        <x:is>
          <x:t xml:space="preserve">Founder</x:t>
        </x:is>
      </x:c>
      <x:c r="W49" s="110" t="inlineStr">
        <x:is>
          <x:t xml:space="preserve">Backlog</x:t>
        </x:is>
      </x:c>
      <x:c r="X49" s="110" t="inlineStr">
        <x:is>
          <x:t xml:space="preserve">Not Started</x:t>
        </x:is>
      </x:c>
      <x:c r="Y49" s="110" t="n"/>
      <x:c r="Z49" s="111" t="n"/>
      <x:c r="AA49" s="111" t="n"/>
      <x:c r="AB49" s="111" t="n"/>
      <x:c r="AC49" s="111" t="n"/>
      <x:c r="AD49" s="111" t="n"/>
      <x:c r="AE49" s="110" t="n"/>
      <x:c r="AF49" s="121" t="inlineStr">
        <x:is>
          <x:t xml:space="preserve">Optional</x:t>
        </x:is>
      </x:c>
      <x:c r="AG49" s="110" t="inlineStr">
        <x:is>
          <x:t xml:space="preserve">Repurpose / story</x:t>
        </x:is>
      </x:c>
      <x:c r="AH49" s="113" t="n">
        <x:v>25</x:v>
      </x:c>
      <x:c r="AI49" s="114" t="n">
        <x:v>0</x:v>
      </x:c>
      <x:c r="AJ49" s="115" t="inlineStr">
        <x:is>
          <x:t xml:space="preserve"/>
        </x:is>
      </x:c>
      <x:c r="AK49" s="113" t="n">
        <x:v>0</x:v>
      </x:c>
      <x:c r="AL49" s="114" t="n">
        <x:v>0</x:v>
      </x:c>
    </x:row>
    <x:row r="50" ht="64" customHeight="1">
      <x:c r="A50" s="116" t="n">
        <x:v>46296</x:v>
      </x:c>
      <x:c r="B50" s="117" t="inlineStr">
        <x:is>
          <x:t xml:space="preserve">Thursday</x:t>
        </x:is>
      </x:c>
      <x:c r="C50" s="117" t="n">
        <x:v>46</x:v>
      </x:c>
      <x:c r="D50" s="117" t="n">
        <x:v>7</x:v>
      </x:c>
      <x:c r="E50" s="117" t="inlineStr">
        <x:is>
          <x:t xml:space="preserve">Group trips without confusion</x:t>
        </x:is>
      </x:c>
      <x:c r="F50" s="117" t="inlineStr">
        <x:is>
          <x:t xml:space="preserve">Everyone knows the plan</x:t>
        </x:is>
      </x:c>
      <x:c r="G50" s="117" t="inlineStr">
        <x:is>
          <x:t xml:space="preserve">Founder / BTS</x:t>
        </x:is>
      </x:c>
      <x:c r="H50" s="117" t="inlineStr">
        <x:is>
          <x:t xml:space="preserve">Founder Files</x:t>
        </x:is>
      </x:c>
      <x:c r="I50" s="117" t="inlineStr">
        <x:is>
          <x:t xml:space="preserve">Trips / trip sharing</x:t>
        </x:is>
      </x:c>
      <x:c r="J50" s="117" t="inlineStr">
        <x:is>
          <x:t xml:space="preserve">Road-trip group</x:t>
        </x:is>
      </x:c>
      <x:c r="K50" s="117" t="inlineStr">
        <x:is>
          <x:t xml:space="preserve">Trust</x:t>
        </x:is>
      </x:c>
      <x:c r="L50" s="117" t="inlineStr">
        <x:is>
          <x:t xml:space="preserve">Founder-to-camera</x:t>
        </x:is>
      </x:c>
      <x:c r="M50" s="117" t="inlineStr">
        <x:is>
          <x:t xml:space="preserve">30–60 sec</x:t>
        </x:is>
      </x:c>
      <x:c r="N50" s="117" t="inlineStr">
        <x:is>
          <x:t xml:space="preserve">Instagram Reels</x:t>
        </x:is>
      </x:c>
      <x:c r="O50" s="117" t="inlineStr">
        <x:is>
          <x:t xml:space="preserve">TikTok | YouTube Shorts | LinkedIn</x:t>
        </x:is>
      </x:c>
      <x:c r="P50" s="117" t="inlineStr">
        <x:is>
          <x:t xml:space="preserve">Peter explains the product decision, tradeoff, or local insight behind the week’s feature.</x:t>
        </x:is>
      </x:c>
      <x:c r="Q50" s="117" t="inlineStr">
        <x:is>
          <x:t xml:space="preserve">Peter here — this is why we built Trips / trip sharing for Kenyan drivers, not just generic drivers.</x:t>
        </x:is>
      </x:c>
      <x:c r="R50" s="117" t="inlineStr">
        <x:is>
          <x:t xml:space="preserve">Peter in car or office, quick cutaways to road test, product screen and handwritten notes.</x:t>
        </x:is>
      </x:c>
      <x:c r="S50" s="117" t="inlineStr">
        <x:is>
          <x:t xml:space="preserve">The goal is not another app on your phone. The goal is a calmer, more prepared drive.</x:t>
        </x:is>
      </x:c>
      <x:c r="T50" s="117" t="inlineStr">
        <x:is>
          <x:t xml:space="preserve">Follow Msafiri as we build for Kenyan roads.</x:t>
        </x:is>
      </x:c>
      <x:c r="U50" s="117" t="inlineStr">
        <x:is>
          <x:t xml:space="preserve">Peter on-camera setup; car/office B-roll; product screen; simple lower-third</x:t>
        </x:is>
      </x:c>
      <x:c r="V50" s="117" t="inlineStr">
        <x:is>
          <x:t xml:space="preserve">Founder</x:t>
        </x:is>
      </x:c>
      <x:c r="W50" s="117" t="inlineStr">
        <x:is>
          <x:t xml:space="preserve">Draft</x:t>
        </x:is>
      </x:c>
      <x:c r="X50" s="117" t="inlineStr">
        <x:is>
          <x:t xml:space="preserve">Not Started</x:t>
        </x:is>
      </x:c>
      <x:c r="Y50" s="117" t="n"/>
      <x:c r="Z50" s="118" t="n"/>
      <x:c r="AA50" s="118" t="n"/>
      <x:c r="AB50" s="118" t="n"/>
      <x:c r="AC50" s="118" t="n"/>
      <x:c r="AD50" s="118" t="n"/>
      <x:c r="AE50" s="117" t="n"/>
      <x:c r="AF50" s="119" t="inlineStr">
        <x:is>
          <x:t xml:space="preserve">Core</x:t>
        </x:is>
      </x:c>
      <x:c r="AG50" s="117" t="inlineStr">
        <x:is>
          <x:t xml:space="preserve">Founder / education</x:t>
        </x:is>
      </x:c>
      <x:c r="AH50" s="113" t="n">
        <x:v>45</x:v>
      </x:c>
      <x:c r="AI50" s="114" t="n">
        <x:v>0</x:v>
      </x:c>
      <x:c r="AJ50" s="120" t="inlineStr">
        <x:is>
          <x:t xml:space="preserve"/>
        </x:is>
      </x:c>
      <x:c r="AK50" s="113" t="n">
        <x:v>0</x:v>
      </x:c>
      <x:c r="AL50" s="114" t="n">
        <x:v>0</x:v>
      </x:c>
    </x:row>
    <x:row r="51" ht="64" customHeight="1">
      <x:c r="A51" s="109" t="n">
        <x:v>46297</x:v>
      </x:c>
      <x:c r="B51" s="110" t="inlineStr">
        <x:is>
          <x:t xml:space="preserve">Friday</x:t>
        </x:is>
      </x:c>
      <x:c r="C51" s="110" t="n">
        <x:v>47</x:v>
      </x:c>
      <x:c r="D51" s="110" t="n">
        <x:v>7</x:v>
      </x:c>
      <x:c r="E51" s="110" t="inlineStr">
        <x:is>
          <x:t xml:space="preserve">Group trips without confusion</x:t>
        </x:is>
      </x:c>
      <x:c r="F51" s="110" t="inlineStr">
        <x:is>
          <x:t xml:space="preserve">Everyone knows the plan</x:t>
        </x:is>
      </x:c>
      <x:c r="G51" s="110" t="inlineStr">
        <x:is>
          <x:t xml:space="preserve">Debate / Mythbusters</x:t>
        </x:is>
      </x:c>
      <x:c r="H51" s="110" t="inlineStr">
        <x:is>
          <x:t xml:space="preserve">Road Mythbusters</x:t>
        </x:is>
      </x:c>
      <x:c r="I51" s="110" t="inlineStr">
        <x:is>
          <x:t xml:space="preserve">Trips / trip sharing</x:t>
        </x:is>
      </x:c>
      <x:c r="J51" s="110" t="inlineStr">
        <x:is>
          <x:t xml:space="preserve">Road-trip group</x:t>
        </x:is>
      </x:c>
      <x:c r="K51" s="110" t="inlineStr">
        <x:is>
          <x:t xml:space="preserve">Engagement</x:t>
        </x:is>
      </x:c>
      <x:c r="L51" s="110" t="inlineStr">
        <x:is>
          <x:t xml:space="preserve">Short-form video</x:t>
        </x:is>
      </x:c>
      <x:c r="M51" s="110" t="inlineStr">
        <x:is>
          <x:t xml:space="preserve">20–45 sec</x:t>
        </x:is>
      </x:c>
      <x:c r="N51" s="110" t="inlineStr">
        <x:is>
          <x:t xml:space="preserve">TikTok</x:t>
        </x:is>
      </x:c>
      <x:c r="O51" s="110" t="inlineStr">
        <x:is>
          <x:t xml:space="preserve">Instagram Reels | YouTube Shorts | Facebook Reels</x:t>
        </x:is>
      </x:c>
      <x:c r="P51" s="110" t="inlineStr">
        <x:is>
          <x:t xml:space="preserve">Open a controlled debate while ending with responsible road-safety framing.</x:t>
        </x:is>
      </x:c>
      <x:c r="Q51" s="110" t="inlineStr">
        <x:is>
          <x:t xml:space="preserve">Hot take: a good trip plan prevents half the group-chat drama.</x:t>
        </x:is>
      </x:c>
      <x:c r="R51" s="110" t="inlineStr">
        <x:is>
          <x:t xml:space="preserve">Split screen: claim vs reality, quick poll sticker, Peter closing with safe takeaway.</x:t>
        </x:is>
      </x:c>
      <x:c r="S51" s="110" t="inlineStr">
        <x:is>
          <x:t xml:space="preserve">Debate is useful only if it makes us better drivers. What is your honest view?</x:t>
        </x:is>
      </x:c>
      <x:c r="T51" s="110" t="inlineStr">
        <x:is>
          <x:t xml:space="preserve">Agree or disagree? Give your reason.</x:t>
        </x:is>
      </x:c>
      <x:c r="U51" s="110" t="inlineStr">
        <x:is>
          <x:t xml:space="preserve">Phone mount; Msafiri screen-record; Nairobi-Nakuru highway planning B-roll; captions; branded end card</x:t>
        </x:is>
      </x:c>
      <x:c r="V51" s="110" t="inlineStr">
        <x:is>
          <x:t xml:space="preserve">Founder</x:t>
        </x:is>
      </x:c>
      <x:c r="W51" s="110" t="inlineStr">
        <x:is>
          <x:t xml:space="preserve">Backlog</x:t>
        </x:is>
      </x:c>
      <x:c r="X51" s="110" t="inlineStr">
        <x:is>
          <x:t xml:space="preserve">Not Started</x:t>
        </x:is>
      </x:c>
      <x:c r="Y51" s="110" t="n"/>
      <x:c r="Z51" s="111" t="n"/>
      <x:c r="AA51" s="111" t="n"/>
      <x:c r="AB51" s="111" t="n"/>
      <x:c r="AC51" s="111" t="n"/>
      <x:c r="AD51" s="111" t="n"/>
      <x:c r="AE51" s="110" t="n"/>
      <x:c r="AF51" s="121" t="inlineStr">
        <x:is>
          <x:t xml:space="preserve">Optional</x:t>
        </x:is>
      </x:c>
      <x:c r="AG51" s="110" t="inlineStr">
        <x:is>
          <x:t xml:space="preserve">Community reply</x:t>
        </x:is>
      </x:c>
      <x:c r="AH51" s="113" t="n">
        <x:v>25</x:v>
      </x:c>
      <x:c r="AI51" s="114" t="n">
        <x:v>0</x:v>
      </x:c>
      <x:c r="AJ51" s="115" t="inlineStr">
        <x:is>
          <x:t xml:space="preserve"/>
        </x:is>
      </x:c>
      <x:c r="AK51" s="113" t="n">
        <x:v>0</x:v>
      </x:c>
      <x:c r="AL51" s="114" t="n">
        <x:v>0</x:v>
      </x:c>
    </x:row>
    <x:row r="52" ht="64" customHeight="1">
      <x:c r="A52" s="116" t="n">
        <x:v>46298</x:v>
      </x:c>
      <x:c r="B52" s="117" t="inlineStr">
        <x:is>
          <x:t xml:space="preserve">Saturday</x:t>
        </x:is>
      </x:c>
      <x:c r="C52" s="117" t="n">
        <x:v>48</x:v>
      </x:c>
      <x:c r="D52" s="117" t="n">
        <x:v>7</x:v>
      </x:c>
      <x:c r="E52" s="117" t="inlineStr">
        <x:is>
          <x:t xml:space="preserve">Group trips without confusion</x:t>
        </x:is>
      </x:c>
      <x:c r="F52" s="117" t="inlineStr">
        <x:is>
          <x:t xml:space="preserve">Everyone knows the plan</x:t>
        </x:is>
      </x:c>
      <x:c r="G52" s="117" t="inlineStr">
        <x:is>
          <x:t xml:space="preserve">Community / UGC</x:t>
        </x:is>
      </x:c>
      <x:c r="H52" s="117" t="inlineStr">
        <x:is>
          <x:t xml:space="preserve">Ask a Kenyan Driver</x:t>
        </x:is>
      </x:c>
      <x:c r="I52" s="117" t="inlineStr">
        <x:is>
          <x:t xml:space="preserve">Trips / trip sharing</x:t>
        </x:is>
      </x:c>
      <x:c r="J52" s="117" t="inlineStr">
        <x:is>
          <x:t xml:space="preserve">Road-trip group</x:t>
        </x:is>
      </x:c>
      <x:c r="K52" s="117" t="inlineStr">
        <x:is>
          <x:t xml:space="preserve">Community</x:t>
        </x:is>
      </x:c>
      <x:c r="L52" s="117" t="inlineStr">
        <x:is>
          <x:t xml:space="preserve">Street Interview</x:t>
        </x:is>
      </x:c>
      <x:c r="M52" s="117" t="inlineStr">
        <x:is>
          <x:t xml:space="preserve">20–60 sec</x:t>
        </x:is>
      </x:c>
      <x:c r="N52" s="117" t="inlineStr">
        <x:is>
          <x:t xml:space="preserve">TikTok</x:t>
        </x:is>
      </x:c>
      <x:c r="O52" s="117" t="inlineStr">
        <x:is>
          <x:t xml:space="preserve">Instagram Reels | Facebook Reels | YouTube Shorts</x:t>
        </x:is>
      </x:c>
      <x:c r="P52" s="117" t="inlineStr">
        <x:is>
          <x:t xml:space="preserve">Let drivers speak; collect comments and stories that can become future episodes.</x:t>
        </x:is>
      </x:c>
      <x:c r="Q52" s="117" t="inlineStr">
        <x:is>
          <x:t xml:space="preserve">We asked drivers: who in your group always asks for the route twice?</x:t>
        </x:is>
      </x:c>
      <x:c r="R52" s="117" t="inlineStr">
        <x:is>
          <x:t xml:space="preserve">Street interview, 3 fast answers, one unexpected answer, branded closing card.</x:t>
        </x:is>
      </x:c>
      <x:c r="S52" s="117" t="inlineStr">
        <x:is>
          <x:t xml:space="preserve">Kenyan drivers have stories. Msafiri wants to turn those stories into smarter road intelligence.</x:t>
        </x:is>
      </x:c>
      <x:c r="T52" s="117" t="inlineStr">
        <x:is>
          <x:t xml:space="preserve">Tell us your answer in the comments.</x:t>
        </x:is>
      </x:c>
      <x:c r="U52" s="117" t="inlineStr">
        <x:is>
          <x:t xml:space="preserve">Lapel mic; consent line; 3–5 driver answers; branded question card; subtitle template</x:t>
        </x:is>
      </x:c>
      <x:c r="V52" s="117" t="inlineStr">
        <x:is>
          <x:t xml:space="preserve">Founder</x:t>
        </x:is>
      </x:c>
      <x:c r="W52" s="117" t="inlineStr">
        <x:is>
          <x:t xml:space="preserve">Draft</x:t>
        </x:is>
      </x:c>
      <x:c r="X52" s="117" t="inlineStr">
        <x:is>
          <x:t xml:space="preserve">Not Started</x:t>
        </x:is>
      </x:c>
      <x:c r="Y52" s="117" t="n"/>
      <x:c r="Z52" s="118" t="n"/>
      <x:c r="AA52" s="118" t="n"/>
      <x:c r="AB52" s="118" t="n"/>
      <x:c r="AC52" s="118" t="n"/>
      <x:c r="AD52" s="118" t="n"/>
      <x:c r="AE52" s="117" t="n"/>
      <x:c r="AF52" s="119" t="inlineStr">
        <x:is>
          <x:t xml:space="preserve">Core</x:t>
        </x:is>
      </x:c>
      <x:c r="AG52" s="117" t="inlineStr">
        <x:is>
          <x:t xml:space="preserve">Field / community</x:t>
        </x:is>
      </x:c>
      <x:c r="AH52" s="113" t="n">
        <x:v>60</x:v>
      </x:c>
      <x:c r="AI52" s="114" t="n">
        <x:v>0</x:v>
      </x:c>
      <x:c r="AJ52" s="120" t="inlineStr">
        <x:is>
          <x:t xml:space="preserve"/>
        </x:is>
      </x:c>
      <x:c r="AK52" s="113" t="n">
        <x:v>0</x:v>
      </x:c>
      <x:c r="AL52" s="114" t="n">
        <x:v>0</x:v>
      </x:c>
    </x:row>
    <x:row r="53" ht="64" customHeight="1">
      <x:c r="A53" s="109" t="n">
        <x:v>46299</x:v>
      </x:c>
      <x:c r="B53" s="110" t="inlineStr">
        <x:is>
          <x:t xml:space="preserve">Sunday</x:t>
        </x:is>
      </x:c>
      <x:c r="C53" s="110" t="n">
        <x:v>49</x:v>
      </x:c>
      <x:c r="D53" s="110" t="n">
        <x:v>7</x:v>
      </x:c>
      <x:c r="E53" s="110" t="inlineStr">
        <x:is>
          <x:t xml:space="preserve">Group trips without confusion</x:t>
        </x:is>
      </x:c>
      <x:c r="F53" s="110" t="inlineStr">
        <x:is>
          <x:t xml:space="preserve">Everyone knows the plan</x:t>
        </x:is>
      </x:c>
      <x:c r="G53" s="110" t="inlineStr">
        <x:is>
          <x:t xml:space="preserve">Education / Safety</x:t>
        </x:is>
      </x:c>
      <x:c r="H53" s="110" t="inlineStr">
        <x:is>
          <x:t xml:space="preserve">Before You Drive</x:t>
        </x:is>
      </x:c>
      <x:c r="I53" s="110" t="inlineStr">
        <x:is>
          <x:t xml:space="preserve">Trips / trip sharing</x:t>
        </x:is>
      </x:c>
      <x:c r="J53" s="110" t="inlineStr">
        <x:is>
          <x:t xml:space="preserve">Road-trip group</x:t>
        </x:is>
      </x:c>
      <x:c r="K53" s="110" t="inlineStr">
        <x:is>
          <x:t xml:space="preserve">Retention</x:t>
        </x:is>
      </x:c>
      <x:c r="L53" s="110" t="inlineStr">
        <x:is>
          <x:t xml:space="preserve">Checklist Reel</x:t>
        </x:is>
      </x:c>
      <x:c r="M53" s="110" t="inlineStr">
        <x:is>
          <x:t xml:space="preserve">20–45 sec</x:t>
        </x:is>
      </x:c>
      <x:c r="N53" s="110" t="inlineStr">
        <x:is>
          <x:t xml:space="preserve">Instagram Reels</x:t>
        </x:is>
      </x:c>
      <x:c r="O53" s="110" t="inlineStr">
        <x:is>
          <x:t xml:space="preserve">TikTok | YouTube Shorts | Facebook Reels | Instagram Stories</x:t>
        </x:is>
      </x:c>
      <x:c r="P53" s="110" t="inlineStr">
        <x:is>
          <x:t xml:space="preserve">A saveable checklist people can use before a real drive.</x:t>
        </x:is>
      </x:c>
      <x:c r="Q53" s="110" t="inlineStr">
        <x:is>
          <x:t xml:space="preserve">Save this group trips without confusion checklist before your next drive.</x:t>
        </x:is>
      </x:c>
      <x:c r="R53" s="110" t="inlineStr">
        <x:is>
          <x:t xml:space="preserve">Checklist overlay, hands-on car/phone shots, one item per beat, final saved-card frame.</x:t>
        </x:is>
      </x:c>
      <x:c r="S53" s="110" t="inlineStr">
        <x:is>
          <x:t xml:space="preserve">A good drive often starts before the engine starts. Keep this simple checklist close.</x:t>
        </x:is>
      </x:c>
      <x:c r="T53" s="110" t="inlineStr">
        <x:is>
          <x:t xml:space="preserve">Save this before your next drive.</x:t>
        </x:is>
      </x:c>
      <x:c r="U53" s="110" t="inlineStr">
        <x:is>
          <x:t xml:space="preserve">Phone mount; Msafiri screen-record; Nairobi-Nakuru highway planning B-roll; captions; branded end card</x:t>
        </x:is>
      </x:c>
      <x:c r="V53" s="110" t="inlineStr">
        <x:is>
          <x:t xml:space="preserve">Founder</x:t>
        </x:is>
      </x:c>
      <x:c r="W53" s="110" t="inlineStr">
        <x:is>
          <x:t xml:space="preserve">Backlog</x:t>
        </x:is>
      </x:c>
      <x:c r="X53" s="110" t="inlineStr">
        <x:is>
          <x:t xml:space="preserve">Not Started</x:t>
        </x:is>
      </x:c>
      <x:c r="Y53" s="110" t="n"/>
      <x:c r="Z53" s="111" t="n"/>
      <x:c r="AA53" s="111" t="n"/>
      <x:c r="AB53" s="111" t="n"/>
      <x:c r="AC53" s="111" t="n"/>
      <x:c r="AD53" s="111" t="n"/>
      <x:c r="AE53" s="110" t="n"/>
      <x:c r="AF53" s="121" t="inlineStr">
        <x:is>
          <x:t xml:space="preserve">Optional</x:t>
        </x:is>
      </x:c>
      <x:c r="AG53" s="110" t="inlineStr">
        <x:is>
          <x:t xml:space="preserve">Optional / planning</x:t>
        </x:is>
      </x:c>
      <x:c r="AH53" s="113" t="n">
        <x:v>20</x:v>
      </x:c>
      <x:c r="AI53" s="114" t="n">
        <x:v>0</x:v>
      </x:c>
      <x:c r="AJ53" s="115" t="inlineStr">
        <x:is>
          <x:t xml:space="preserve"/>
        </x:is>
      </x:c>
      <x:c r="AK53" s="113" t="n">
        <x:v>0</x:v>
      </x:c>
      <x:c r="AL53" s="114" t="n">
        <x:v>0</x:v>
      </x:c>
    </x:row>
    <x:row r="54" ht="64" customHeight="1">
      <x:c r="A54" s="116" t="n">
        <x:v>46300</x:v>
      </x:c>
      <x:c r="B54" s="117" t="inlineStr">
        <x:is>
          <x:t xml:space="preserve">Monday</x:t>
        </x:is>
      </x:c>
      <x:c r="C54" s="117" t="n">
        <x:v>50</x:v>
      </x:c>
      <x:c r="D54" s="117" t="n">
        <x:v>8</x:v>
      </x:c>
      <x:c r="E54" s="117" t="inlineStr">
        <x:is>
          <x:t xml:space="preserve">Culture, service and family-driving weekend</x:t>
        </x:is>
      </x:c>
      <x:c r="F54" s="117" t="inlineStr">
        <x:is>
          <x:t xml:space="preserve">10 October travel prep</x:t>
        </x:is>
      </x:c>
      <x:c r="G54" s="117" t="inlineStr">
        <x:is>
          <x:t xml:space="preserve">Road Intelligence</x:t>
        </x:is>
      </x:c>
      <x:c r="H54" s="117" t="inlineStr">
        <x:is>
          <x:t xml:space="preserve">Msafiri Road Check</x:t>
        </x:is>
      </x:c>
      <x:c r="I54" s="117" t="inlineStr">
        <x:is>
          <x:t xml:space="preserve">Road alerts</x:t>
        </x:is>
      </x:c>
      <x:c r="J54" s="117" t="inlineStr">
        <x:is>
          <x:t xml:space="preserve">Family driver</x:t>
        </x:is>
      </x:c>
      <x:c r="K54" s="117" t="inlineStr">
        <x:is>
          <x:t xml:space="preserve">Awareness</x:t>
        </x:is>
      </x:c>
      <x:c r="L54" s="117" t="inlineStr">
        <x:is>
          <x:t xml:space="preserve">Hero / Reel</x:t>
        </x:is>
      </x:c>
      <x:c r="M54" s="117" t="inlineStr">
        <x:is>
          <x:t xml:space="preserve">45–90 sec</x:t>
        </x:is>
      </x:c>
      <x:c r="N54" s="117" t="inlineStr">
        <x:is>
          <x:t xml:space="preserve">TikTok</x:t>
        </x:is>
      </x:c>
      <x:c r="O54" s="117" t="inlineStr">
        <x:is>
          <x:t xml:space="preserve">Instagram Reels | YouTube Shorts | Facebook Reels | YouTube</x:t>
        </x:is>
      </x:c>
      <x:c r="P54" s="117" t="inlineStr">
        <x:is>
          <x:t xml:space="preserve">Anchor episode that turns this week’s theme into a road story people can recognize.</x:t>
        </x:is>
      </x:c>
      <x:c r="Q54" s="117" t="inlineStr">
        <x:is>
          <x:t xml:space="preserve">We tested City-to-family visit routes: what should a family driver know before driving it this week?</x:t>
        </x:is>
      </x:c>
      <x:c r="R54" s="117" t="inlineStr">
        <x:is>
          <x:t xml:space="preserve">POV drive, 3 timestamped moments, map/context overlay, quick Msafiri screen, clear payoff.</x:t>
        </x:is>
      </x:c>
      <x:c r="S54" s="117" t="inlineStr">
        <x:is>
          <x:t xml:space="preserve">Road intelligence should feel practical, not complicated. Here is what stood out on City-to-family visit routes.</x:t>
        </x:is>
      </x:c>
      <x:c r="T54" s="117" t="inlineStr">
        <x:is>
          <x:t xml:space="preserve">Tell us which road we should check next.</x:t>
        </x:is>
      </x:c>
      <x:c r="U54" s="117" t="inlineStr">
        <x:is>
          <x:t xml:space="preserve">Phone mount; Msafiri screen-record; City-to-family visit routes B-roll; captions; branded end card</x:t>
        </x:is>
      </x:c>
      <x:c r="V54" s="117" t="inlineStr">
        <x:is>
          <x:t xml:space="preserve">Founder</x:t>
        </x:is>
      </x:c>
      <x:c r="W54" s="117" t="inlineStr">
        <x:is>
          <x:t xml:space="preserve">Draft</x:t>
        </x:is>
      </x:c>
      <x:c r="X54" s="117" t="inlineStr">
        <x:is>
          <x:t xml:space="preserve">Not Started</x:t>
        </x:is>
      </x:c>
      <x:c r="Y54" s="117" t="n"/>
      <x:c r="Z54" s="118" t="n"/>
      <x:c r="AA54" s="118" t="n"/>
      <x:c r="AB54" s="118" t="n"/>
      <x:c r="AC54" s="118" t="n"/>
      <x:c r="AD54" s="118" t="n"/>
      <x:c r="AE54" s="117" t="n"/>
      <x:c r="AF54" s="119" t="inlineStr">
        <x:is>
          <x:t xml:space="preserve">Core</x:t>
        </x:is>
      </x:c>
      <x:c r="AG54" s="117" t="inlineStr">
        <x:is>
          <x:t xml:space="preserve">Field / anchor</x:t>
        </x:is>
      </x:c>
      <x:c r="AH54" s="113" t="n">
        <x:v>75</x:v>
      </x:c>
      <x:c r="AI54" s="114" t="n">
        <x:v>0</x:v>
      </x:c>
      <x:c r="AJ54" s="120" t="inlineStr">
        <x:is>
          <x:t xml:space="preserve"/>
        </x:is>
      </x:c>
      <x:c r="AK54" s="113" t="n">
        <x:v>0</x:v>
      </x:c>
      <x:c r="AL54" s="114" t="n">
        <x:v>0</x:v>
      </x:c>
    </x:row>
    <x:row r="55" ht="64" customHeight="1">
      <x:c r="A55" s="109" t="n">
        <x:v>46301</x:v>
      </x:c>
      <x:c r="B55" s="110" t="inlineStr">
        <x:is>
          <x:t xml:space="preserve">Tuesday</x:t>
        </x:is>
      </x:c>
      <x:c r="C55" s="110" t="n">
        <x:v>51</x:v>
      </x:c>
      <x:c r="D55" s="110" t="n">
        <x:v>8</x:v>
      </x:c>
      <x:c r="E55" s="110" t="inlineStr">
        <x:is>
          <x:t xml:space="preserve">Culture, service and family-driving weekend</x:t>
        </x:is>
      </x:c>
      <x:c r="F55" s="110" t="inlineStr">
        <x:is>
          <x:t xml:space="preserve">10 October travel prep</x:t>
        </x:is>
      </x:c>
      <x:c r="G55" s="110" t="inlineStr">
        <x:is>
          <x:t xml:space="preserve">Product / Feature Proof</x:t>
        </x:is>
      </x:c>
      <x:c r="H55" s="110" t="inlineStr">
        <x:is>
          <x:t xml:space="preserve">Feature in the Wild</x:t>
        </x:is>
      </x:c>
      <x:c r="I55" s="110" t="inlineStr">
        <x:is>
          <x:t xml:space="preserve">Road alerts</x:t>
        </x:is>
      </x:c>
      <x:c r="J55" s="110" t="inlineStr">
        <x:is>
          <x:t xml:space="preserve">Family driver</x:t>
        </x:is>
      </x:c>
      <x:c r="K55" s="110" t="inlineStr">
        <x:is>
          <x:t xml:space="preserve">Feature Discovery</x:t>
        </x:is>
      </x:c>
      <x:c r="L55" s="110" t="inlineStr">
        <x:is>
          <x:t xml:space="preserve">Short-form video</x:t>
        </x:is>
      </x:c>
      <x:c r="M55" s="110" t="inlineStr">
        <x:is>
          <x:t xml:space="preserve">20–45 sec</x:t>
        </x:is>
      </x:c>
      <x:c r="N55" s="110" t="inlineStr">
        <x:is>
          <x:t xml:space="preserve">Instagram Reels</x:t>
        </x:is>
      </x:c>
      <x:c r="O55" s="110" t="inlineStr">
        <x:is>
          <x:t xml:space="preserve">TikTok | YouTube Shorts | Facebook Reels</x:t>
        </x:is>
      </x:c>
      <x:c r="P55" s="110" t="inlineStr">
        <x:is>
          <x:t xml:space="preserve">Show the feature solving one real driving moment without turning the video into an ad.</x:t>
        </x:is>
      </x:c>
      <x:c r="Q55" s="110" t="inlineStr">
        <x:is>
          <x:t xml:space="preserve">Road alerts only makes sense when a familiar route suddenly changes; here is the 30-second version.</x:t>
        </x:is>
      </x:c>
      <x:c r="R55" s="110" t="inlineStr">
        <x:is>
          <x:t xml:space="preserve">Phone mount, screen-record, before/after comparison, one clean feature payoff.</x:t>
        </x:is>
      </x:c>
      <x:c r="S55" s="110" t="inlineStr">
        <x:is>
          <x:t xml:space="preserve">A feature is only useful if it helps in the exact moment a driver needs it.</x:t>
        </x:is>
      </x:c>
      <x:c r="T55" s="110" t="inlineStr">
        <x:is>
          <x:t xml:space="preserve">Try Msafiri on your next drive.</x:t>
        </x:is>
      </x:c>
      <x:c r="U55" s="110" t="inlineStr">
        <x:is>
          <x:t xml:space="preserve">Phone mount; Msafiri screen-record; City-to-family visit routes B-roll; captions; branded end card</x:t>
        </x:is>
      </x:c>
      <x:c r="V55" s="110" t="inlineStr">
        <x:is>
          <x:t xml:space="preserve">Founder</x:t>
        </x:is>
      </x:c>
      <x:c r="W55" s="110" t="inlineStr">
        <x:is>
          <x:t xml:space="preserve">Draft</x:t>
        </x:is>
      </x:c>
      <x:c r="X55" s="110" t="inlineStr">
        <x:is>
          <x:t xml:space="preserve">Not Started</x:t>
        </x:is>
      </x:c>
      <x:c r="Y55" s="110" t="n"/>
      <x:c r="Z55" s="111" t="n"/>
      <x:c r="AA55" s="111" t="n"/>
      <x:c r="AB55" s="111" t="n"/>
      <x:c r="AC55" s="111" t="n"/>
      <x:c r="AD55" s="111" t="n"/>
      <x:c r="AE55" s="110" t="n"/>
      <x:c r="AF55" s="112" t="inlineStr">
        <x:is>
          <x:t xml:space="preserve">Core</x:t>
        </x:is>
      </x:c>
      <x:c r="AG55" s="110" t="inlineStr">
        <x:is>
          <x:t xml:space="preserve">Screen demo</x:t>
        </x:is>
      </x:c>
      <x:c r="AH55" s="113" t="n">
        <x:v>45</x:v>
      </x:c>
      <x:c r="AI55" s="114" t="n">
        <x:v>0</x:v>
      </x:c>
      <x:c r="AJ55" s="115" t="inlineStr">
        <x:is>
          <x:t xml:space="preserve"/>
        </x:is>
      </x:c>
      <x:c r="AK55" s="113" t="n">
        <x:v>0</x:v>
      </x:c>
      <x:c r="AL55" s="114" t="n">
        <x:v>0</x:v>
      </x:c>
    </x:row>
    <x:row r="56" ht="64" customHeight="1">
      <x:c r="A56" s="116" t="n">
        <x:v>46302</x:v>
      </x:c>
      <x:c r="B56" s="117" t="inlineStr">
        <x:is>
          <x:t xml:space="preserve">Wednesday</x:t>
        </x:is>
      </x:c>
      <x:c r="C56" s="117" t="n">
        <x:v>52</x:v>
      </x:c>
      <x:c r="D56" s="117" t="n">
        <x:v>8</x:v>
      </x:c>
      <x:c r="E56" s="117" t="inlineStr">
        <x:is>
          <x:t xml:space="preserve">Culture, service and family-driving weekend</x:t>
        </x:is>
      </x:c>
      <x:c r="F56" s="117" t="inlineStr">
        <x:is>
          <x:t xml:space="preserve">10 October travel prep</x:t>
        </x:is>
      </x:c>
      <x:c r="G56" s="117" t="inlineStr">
        <x:is>
          <x:t xml:space="preserve">Kenyan Driving Reality</x:t>
        </x:is>
      </x:c>
      <x:c r="H56" s="117" t="inlineStr">
        <x:is>
          <x:t xml:space="preserve">Kenyan Driver Problems</x:t>
        </x:is>
      </x:c>
      <x:c r="I56" s="117" t="inlineStr">
        <x:is>
          <x:t xml:space="preserve">Road alerts</x:t>
        </x:is>
      </x:c>
      <x:c r="J56" s="117" t="inlineStr">
        <x:is>
          <x:t xml:space="preserve">Family driver</x:t>
        </x:is>
      </x:c>
      <x:c r="K56" s="117" t="inlineStr">
        <x:is>
          <x:t xml:space="preserve">Engagement</x:t>
        </x:is>
      </x:c>
      <x:c r="L56" s="117" t="inlineStr">
        <x:is>
          <x:t xml:space="preserve">Skit</x:t>
        </x:is>
      </x:c>
      <x:c r="M56" s="117" t="inlineStr">
        <x:is>
          <x:t xml:space="preserve">15–35 sec</x:t>
        </x:is>
      </x:c>
      <x:c r="N56" s="117" t="inlineStr">
        <x:is>
          <x:t xml:space="preserve">TikTok</x:t>
        </x:is>
      </x:c>
      <x:c r="O56" s="117" t="inlineStr">
        <x:is>
          <x:t xml:space="preserve">Instagram Reels | Facebook Reels | YouTube Shorts</x:t>
        </x:is>
      </x:c>
      <x:c r="P56" s="117" t="inlineStr">
        <x:is>
          <x:t xml:space="preserve">Relatable driver tension; make people laugh, then attach a practical Msafiri angle.</x:t>
        </x:is>
      </x:c>
      <x:c r="Q56" s="117" t="inlineStr">
        <x:is>
          <x:t xml:space="preserve">POV: a familiar route suddenly changes and everyone in the car suddenly becomes a driving expert.</x:t>
        </x:is>
      </x:c>
      <x:c r="R56" s="117" t="inlineStr">
        <x:is>
          <x:t xml:space="preserve">Driver/passenger skit, quick reaction cuts, exaggerated but familiar Kenyan driving moment.</x:t>
        </x:is>
      </x:c>
      <x:c r="S56" s="117" t="inlineStr">
        <x:is>
          <x:t xml:space="preserve">Every driver knows this argument. The smart move is having better information before the argument starts.</x:t>
        </x:is>
      </x:c>
      <x:c r="T56" s="117" t="inlineStr">
        <x:is>
          <x:t xml:space="preserve">Tag the driver who does this.</x:t>
        </x:is>
      </x:c>
      <x:c r="U56" s="117" t="inlineStr">
        <x:is>
          <x:t xml:space="preserve">Phone mount; Msafiri screen-record; City-to-family visit routes B-roll; captions; branded end card</x:t>
        </x:is>
      </x:c>
      <x:c r="V56" s="117" t="inlineStr">
        <x:is>
          <x:t xml:space="preserve">Founder</x:t>
        </x:is>
      </x:c>
      <x:c r="W56" s="117" t="inlineStr">
        <x:is>
          <x:t xml:space="preserve">Backlog</x:t>
        </x:is>
      </x:c>
      <x:c r="X56" s="117" t="inlineStr">
        <x:is>
          <x:t xml:space="preserve">Not Started</x:t>
        </x:is>
      </x:c>
      <x:c r="Y56" s="117" t="n"/>
      <x:c r="Z56" s="118" t="n"/>
      <x:c r="AA56" s="118" t="n"/>
      <x:c r="AB56" s="118" t="n"/>
      <x:c r="AC56" s="118" t="n"/>
      <x:c r="AD56" s="118" t="n"/>
      <x:c r="AE56" s="117" t="n"/>
      <x:c r="AF56" s="122" t="inlineStr">
        <x:is>
          <x:t xml:space="preserve">Optional</x:t>
        </x:is>
      </x:c>
      <x:c r="AG56" s="117" t="inlineStr">
        <x:is>
          <x:t xml:space="preserve">Repurpose / story</x:t>
        </x:is>
      </x:c>
      <x:c r="AH56" s="113" t="n">
        <x:v>25</x:v>
      </x:c>
      <x:c r="AI56" s="114" t="n">
        <x:v>0</x:v>
      </x:c>
      <x:c r="AJ56" s="120" t="inlineStr">
        <x:is>
          <x:t xml:space="preserve"/>
        </x:is>
      </x:c>
      <x:c r="AK56" s="113" t="n">
        <x:v>0</x:v>
      </x:c>
      <x:c r="AL56" s="114" t="n">
        <x:v>0</x:v>
      </x:c>
    </x:row>
    <x:row r="57" ht="64" customHeight="1">
      <x:c r="A57" s="109" t="n">
        <x:v>46303</x:v>
      </x:c>
      <x:c r="B57" s="110" t="inlineStr">
        <x:is>
          <x:t xml:space="preserve">Thursday</x:t>
        </x:is>
      </x:c>
      <x:c r="C57" s="110" t="n">
        <x:v>53</x:v>
      </x:c>
      <x:c r="D57" s="110" t="n">
        <x:v>8</x:v>
      </x:c>
      <x:c r="E57" s="110" t="inlineStr">
        <x:is>
          <x:t xml:space="preserve">Culture, service and family-driving weekend</x:t>
        </x:is>
      </x:c>
      <x:c r="F57" s="110" t="inlineStr">
        <x:is>
          <x:t xml:space="preserve">10 October travel prep</x:t>
        </x:is>
      </x:c>
      <x:c r="G57" s="110" t="inlineStr">
        <x:is>
          <x:t xml:space="preserve">Founder / BTS</x:t>
        </x:is>
      </x:c>
      <x:c r="H57" s="110" t="inlineStr">
        <x:is>
          <x:t xml:space="preserve">Founder Files</x:t>
        </x:is>
      </x:c>
      <x:c r="I57" s="110" t="inlineStr">
        <x:is>
          <x:t xml:space="preserve">Road alerts</x:t>
        </x:is>
      </x:c>
      <x:c r="J57" s="110" t="inlineStr">
        <x:is>
          <x:t xml:space="preserve">Family driver</x:t>
        </x:is>
      </x:c>
      <x:c r="K57" s="110" t="inlineStr">
        <x:is>
          <x:t xml:space="preserve">Trust</x:t>
        </x:is>
      </x:c>
      <x:c r="L57" s="110" t="inlineStr">
        <x:is>
          <x:t xml:space="preserve">Founder-to-camera</x:t>
        </x:is>
      </x:c>
      <x:c r="M57" s="110" t="inlineStr">
        <x:is>
          <x:t xml:space="preserve">30–60 sec</x:t>
        </x:is>
      </x:c>
      <x:c r="N57" s="110" t="inlineStr">
        <x:is>
          <x:t xml:space="preserve">Instagram Reels</x:t>
        </x:is>
      </x:c>
      <x:c r="O57" s="110" t="inlineStr">
        <x:is>
          <x:t xml:space="preserve">TikTok | YouTube Shorts | LinkedIn</x:t>
        </x:is>
      </x:c>
      <x:c r="P57" s="110" t="inlineStr">
        <x:is>
          <x:t xml:space="preserve">Peter explains the product decision, tradeoff, or local insight behind the week’s feature.</x:t>
        </x:is>
      </x:c>
      <x:c r="Q57" s="110" t="inlineStr">
        <x:is>
          <x:t xml:space="preserve">Peter here — this is why we built Road alerts for Kenyan drivers, not just generic drivers.</x:t>
        </x:is>
      </x:c>
      <x:c r="R57" s="110" t="inlineStr">
        <x:is>
          <x:t xml:space="preserve">Peter in car or office, quick cutaways to road test, product screen and handwritten notes.</x:t>
        </x:is>
      </x:c>
      <x:c r="S57" s="110" t="inlineStr">
        <x:is>
          <x:t xml:space="preserve">The goal is not another app on your phone. The goal is a calmer, more prepared drive.</x:t>
        </x:is>
      </x:c>
      <x:c r="T57" s="110" t="inlineStr">
        <x:is>
          <x:t xml:space="preserve">Follow Msafiri as we build for Kenyan roads.</x:t>
        </x:is>
      </x:c>
      <x:c r="U57" s="110" t="inlineStr">
        <x:is>
          <x:t xml:space="preserve">Peter on-camera setup; car/office B-roll; product screen; simple lower-third</x:t>
        </x:is>
      </x:c>
      <x:c r="V57" s="110" t="inlineStr">
        <x:is>
          <x:t xml:space="preserve">Founder</x:t>
        </x:is>
      </x:c>
      <x:c r="W57" s="110" t="inlineStr">
        <x:is>
          <x:t xml:space="preserve">Draft</x:t>
        </x:is>
      </x:c>
      <x:c r="X57" s="110" t="inlineStr">
        <x:is>
          <x:t xml:space="preserve">Not Started</x:t>
        </x:is>
      </x:c>
      <x:c r="Y57" s="110" t="n"/>
      <x:c r="Z57" s="111" t="n"/>
      <x:c r="AA57" s="111" t="n"/>
      <x:c r="AB57" s="111" t="n"/>
      <x:c r="AC57" s="111" t="n"/>
      <x:c r="AD57" s="111" t="n"/>
      <x:c r="AE57" s="110" t="n"/>
      <x:c r="AF57" s="112" t="inlineStr">
        <x:is>
          <x:t xml:space="preserve">Core</x:t>
        </x:is>
      </x:c>
      <x:c r="AG57" s="110" t="inlineStr">
        <x:is>
          <x:t xml:space="preserve">Founder / education</x:t>
        </x:is>
      </x:c>
      <x:c r="AH57" s="113" t="n">
        <x:v>45</x:v>
      </x:c>
      <x:c r="AI57" s="114" t="n">
        <x:v>0</x:v>
      </x:c>
      <x:c r="AJ57" s="115" t="inlineStr">
        <x:is>
          <x:t xml:space="preserve"/>
        </x:is>
      </x:c>
      <x:c r="AK57" s="113" t="n">
        <x:v>0</x:v>
      </x:c>
      <x:c r="AL57" s="114" t="n">
        <x:v>0</x:v>
      </x:c>
    </x:row>
    <x:row r="58" ht="64" customHeight="1">
      <x:c r="A58" s="116" t="n">
        <x:v>46304</x:v>
      </x:c>
      <x:c r="B58" s="117" t="inlineStr">
        <x:is>
          <x:t xml:space="preserve">Friday</x:t>
        </x:is>
      </x:c>
      <x:c r="C58" s="117" t="n">
        <x:v>54</x:v>
      </x:c>
      <x:c r="D58" s="117" t="n">
        <x:v>8</x:v>
      </x:c>
      <x:c r="E58" s="117" t="inlineStr">
        <x:is>
          <x:t xml:space="preserve">Culture, service and family-driving weekend</x:t>
        </x:is>
      </x:c>
      <x:c r="F58" s="117" t="inlineStr">
        <x:is>
          <x:t xml:space="preserve">10 October travel prep</x:t>
        </x:is>
      </x:c>
      <x:c r="G58" s="117" t="inlineStr">
        <x:is>
          <x:t xml:space="preserve">Debate / Mythbusters</x:t>
        </x:is>
      </x:c>
      <x:c r="H58" s="117" t="inlineStr">
        <x:is>
          <x:t xml:space="preserve">Road Mythbusters</x:t>
        </x:is>
      </x:c>
      <x:c r="I58" s="117" t="inlineStr">
        <x:is>
          <x:t xml:space="preserve">Road alerts</x:t>
        </x:is>
      </x:c>
      <x:c r="J58" s="117" t="inlineStr">
        <x:is>
          <x:t xml:space="preserve">Family driver</x:t>
        </x:is>
      </x:c>
      <x:c r="K58" s="117" t="inlineStr">
        <x:is>
          <x:t xml:space="preserve">Engagement</x:t>
        </x:is>
      </x:c>
      <x:c r="L58" s="117" t="inlineStr">
        <x:is>
          <x:t xml:space="preserve">Short-form video</x:t>
        </x:is>
      </x:c>
      <x:c r="M58" s="117" t="inlineStr">
        <x:is>
          <x:t xml:space="preserve">20–45 sec</x:t>
        </x:is>
      </x:c>
      <x:c r="N58" s="117" t="inlineStr">
        <x:is>
          <x:t xml:space="preserve">TikTok</x:t>
        </x:is>
      </x:c>
      <x:c r="O58" s="117" t="inlineStr">
        <x:is>
          <x:t xml:space="preserve">Instagram Reels | YouTube Shorts | Facebook Reels</x:t>
        </x:is>
      </x:c>
      <x:c r="P58" s="117" t="inlineStr">
        <x:is>
          <x:t xml:space="preserve">Open a controlled debate while ending with responsible road-safety framing.</x:t>
        </x:is>
      </x:c>
      <x:c r="Q58" s="117" t="inlineStr">
        <x:is>
          <x:t xml:space="preserve">Hot take: community road reports are useful only when they are verified.</x:t>
        </x:is>
      </x:c>
      <x:c r="R58" s="117" t="inlineStr">
        <x:is>
          <x:t xml:space="preserve">Split screen: claim vs reality, quick poll sticker, Peter closing with safe takeaway.</x:t>
        </x:is>
      </x:c>
      <x:c r="S58" s="117" t="inlineStr">
        <x:is>
          <x:t xml:space="preserve">Debate is useful only if it makes us better drivers. What is your honest view?</x:t>
        </x:is>
      </x:c>
      <x:c r="T58" s="117" t="inlineStr">
        <x:is>
          <x:t xml:space="preserve">Agree or disagree? Give your reason.</x:t>
        </x:is>
      </x:c>
      <x:c r="U58" s="117" t="inlineStr">
        <x:is>
          <x:t xml:space="preserve">Phone mount; Msafiri screen-record; City-to-family visit routes B-roll; captions; branded end card</x:t>
        </x:is>
      </x:c>
      <x:c r="V58" s="117" t="inlineStr">
        <x:is>
          <x:t xml:space="preserve">Founder</x:t>
        </x:is>
      </x:c>
      <x:c r="W58" s="117" t="inlineStr">
        <x:is>
          <x:t xml:space="preserve">Backlog</x:t>
        </x:is>
      </x:c>
      <x:c r="X58" s="117" t="inlineStr">
        <x:is>
          <x:t xml:space="preserve">Not Started</x:t>
        </x:is>
      </x:c>
      <x:c r="Y58" s="117" t="n"/>
      <x:c r="Z58" s="118" t="n"/>
      <x:c r="AA58" s="118" t="n"/>
      <x:c r="AB58" s="118" t="n"/>
      <x:c r="AC58" s="118" t="n"/>
      <x:c r="AD58" s="118" t="n"/>
      <x:c r="AE58" s="117" t="n"/>
      <x:c r="AF58" s="122" t="inlineStr">
        <x:is>
          <x:t xml:space="preserve">Optional</x:t>
        </x:is>
      </x:c>
      <x:c r="AG58" s="117" t="inlineStr">
        <x:is>
          <x:t xml:space="preserve">Community reply</x:t>
        </x:is>
      </x:c>
      <x:c r="AH58" s="113" t="n">
        <x:v>25</x:v>
      </x:c>
      <x:c r="AI58" s="114" t="n">
        <x:v>0</x:v>
      </x:c>
      <x:c r="AJ58" s="120" t="inlineStr">
        <x:is>
          <x:t xml:space="preserve"/>
        </x:is>
      </x:c>
      <x:c r="AK58" s="113" t="n">
        <x:v>0</x:v>
      </x:c>
      <x:c r="AL58" s="114" t="n">
        <x:v>0</x:v>
      </x:c>
    </x:row>
    <x:row r="59" ht="64" customHeight="1">
      <x:c r="A59" s="109" t="n">
        <x:v>46305</x:v>
      </x:c>
      <x:c r="B59" s="110" t="inlineStr">
        <x:is>
          <x:t xml:space="preserve">Saturday</x:t>
        </x:is>
      </x:c>
      <x:c r="C59" s="110" t="n">
        <x:v>55</x:v>
      </x:c>
      <x:c r="D59" s="110" t="n">
        <x:v>8</x:v>
      </x:c>
      <x:c r="E59" s="110" t="inlineStr">
        <x:is>
          <x:t xml:space="preserve">Culture, service and family-driving weekend</x:t>
        </x:is>
      </x:c>
      <x:c r="F59" s="110" t="inlineStr">
        <x:is>
          <x:t xml:space="preserve">10 Oct public holiday travel window</x:t>
        </x:is>
      </x:c>
      <x:c r="G59" s="110" t="inlineStr">
        <x:is>
          <x:t xml:space="preserve">Seasonal Campaign</x:t>
        </x:is>
      </x:c>
      <x:c r="H59" s="110" t="inlineStr">
        <x:is>
          <x:t xml:space="preserve">Holiday Road Prep</x:t>
        </x:is>
      </x:c>
      <x:c r="I59" s="110" t="inlineStr">
        <x:is>
          <x:t xml:space="preserve">Road alerts</x:t>
        </x:is>
      </x:c>
      <x:c r="J59" s="110" t="inlineStr">
        <x:is>
          <x:t xml:space="preserve">Family driver</x:t>
        </x:is>
      </x:c>
      <x:c r="K59" s="110" t="inlineStr">
        <x:is>
          <x:t xml:space="preserve">Community</x:t>
        </x:is>
      </x:c>
      <x:c r="L59" s="110" t="inlineStr">
        <x:is>
          <x:t xml:space="preserve">Hero / Reel</x:t>
        </x:is>
      </x:c>
      <x:c r="M59" s="110" t="inlineStr">
        <x:is>
          <x:t xml:space="preserve">20–60 sec</x:t>
        </x:is>
      </x:c>
      <x:c r="N59" s="110" t="inlineStr">
        <x:is>
          <x:t xml:space="preserve">TikTok</x:t>
        </x:is>
      </x:c>
      <x:c r="O59" s="110" t="inlineStr">
        <x:is>
          <x:t xml:space="preserve">Instagram Reels | Facebook Reels | YouTube Shorts</x:t>
        </x:is>
      </x:c>
      <x:c r="P59" s="110" t="inlineStr">
        <x:is>
          <x:t xml:space="preserve">Warm family-drive prep for the 10 October weekend.</x:t>
        </x:is>
      </x:c>
      <x:c r="Q59" s="110" t="inlineStr">
        <x:is>
          <x:t xml:space="preserve">Before you leave for the holiday visit, check these three road things first.</x:t>
        </x:is>
      </x:c>
      <x:c r="R59" s="110" t="inlineStr">
        <x:is>
          <x:t xml:space="preserve">Family bags, tyre check, phone mount, road B-roll, route preview.</x:t>
        </x:is>
      </x:c>
      <x:c r="S59" s="110" t="inlineStr">
        <x:is>
          <x:t xml:space="preserve">Seasonal road-safety moment: 10 Oct public holiday travel window. Keep it useful, warm and verified.</x:t>
        </x:is>
      </x:c>
      <x:c r="T59" s="110" t="inlineStr">
        <x:is>
          <x:t xml:space="preserve">Save this before you start the car.</x:t>
        </x:is>
      </x:c>
      <x:c r="U59" s="110" t="inlineStr">
        <x:is>
          <x:t xml:space="preserve">Phone mount; Msafiri screen-record; City-to-family visit routes B-roll; captions; branded end card</x:t>
        </x:is>
      </x:c>
      <x:c r="V59" s="110" t="inlineStr">
        <x:is>
          <x:t xml:space="preserve">Founder</x:t>
        </x:is>
      </x:c>
      <x:c r="W59" s="110" t="inlineStr">
        <x:is>
          <x:t xml:space="preserve">Draft</x:t>
        </x:is>
      </x:c>
      <x:c r="X59" s="110" t="inlineStr">
        <x:is>
          <x:t xml:space="preserve">Not Started</x:t>
        </x:is>
      </x:c>
      <x:c r="Y59" s="110" t="n"/>
      <x:c r="Z59" s="111" t="n"/>
      <x:c r="AA59" s="111" t="n"/>
      <x:c r="AB59" s="111" t="n"/>
      <x:c r="AC59" s="111" t="n"/>
      <x:c r="AD59" s="111" t="n"/>
      <x:c r="AE59" s="110" t="n"/>
      <x:c r="AF59" s="112" t="inlineStr">
        <x:is>
          <x:t xml:space="preserve">Core</x:t>
        </x:is>
      </x:c>
      <x:c r="AG59" s="110" t="inlineStr">
        <x:is>
          <x:t xml:space="preserve">Field / community</x:t>
        </x:is>
      </x:c>
      <x:c r="AH59" s="113" t="n">
        <x:v>60</x:v>
      </x:c>
      <x:c r="AI59" s="114" t="n">
        <x:v>0</x:v>
      </x:c>
      <x:c r="AJ59" s="115" t="inlineStr">
        <x:is>
          <x:t xml:space="preserve"/>
        </x:is>
      </x:c>
      <x:c r="AK59" s="113" t="n">
        <x:v>0</x:v>
      </x:c>
      <x:c r="AL59" s="114" t="n">
        <x:v>0</x:v>
      </x:c>
    </x:row>
    <x:row r="60" ht="64" customHeight="1">
      <x:c r="A60" s="116" t="n">
        <x:v>46306</x:v>
      </x:c>
      <x:c r="B60" s="117" t="inlineStr">
        <x:is>
          <x:t xml:space="preserve">Sunday</x:t>
        </x:is>
      </x:c>
      <x:c r="C60" s="117" t="n">
        <x:v>56</x:v>
      </x:c>
      <x:c r="D60" s="117" t="n">
        <x:v>8</x:v>
      </x:c>
      <x:c r="E60" s="117" t="inlineStr">
        <x:is>
          <x:t xml:space="preserve">Culture, service and family-driving weekend</x:t>
        </x:is>
      </x:c>
      <x:c r="F60" s="117" t="inlineStr">
        <x:is>
          <x:t xml:space="preserve">10 October travel prep</x:t>
        </x:is>
      </x:c>
      <x:c r="G60" s="117" t="inlineStr">
        <x:is>
          <x:t xml:space="preserve">Education / Safety</x:t>
        </x:is>
      </x:c>
      <x:c r="H60" s="117" t="inlineStr">
        <x:is>
          <x:t xml:space="preserve">Before You Drive</x:t>
        </x:is>
      </x:c>
      <x:c r="I60" s="117" t="inlineStr">
        <x:is>
          <x:t xml:space="preserve">Road alerts</x:t>
        </x:is>
      </x:c>
      <x:c r="J60" s="117" t="inlineStr">
        <x:is>
          <x:t xml:space="preserve">Family driver</x:t>
        </x:is>
      </x:c>
      <x:c r="K60" s="117" t="inlineStr">
        <x:is>
          <x:t xml:space="preserve">Retention</x:t>
        </x:is>
      </x:c>
      <x:c r="L60" s="117" t="inlineStr">
        <x:is>
          <x:t xml:space="preserve">Checklist Reel</x:t>
        </x:is>
      </x:c>
      <x:c r="M60" s="117" t="inlineStr">
        <x:is>
          <x:t xml:space="preserve">20–45 sec</x:t>
        </x:is>
      </x:c>
      <x:c r="N60" s="117" t="inlineStr">
        <x:is>
          <x:t xml:space="preserve">Instagram Reels</x:t>
        </x:is>
      </x:c>
      <x:c r="O60" s="117" t="inlineStr">
        <x:is>
          <x:t xml:space="preserve">TikTok | YouTube Shorts | Facebook Reels | Instagram Stories</x:t>
        </x:is>
      </x:c>
      <x:c r="P60" s="117" t="inlineStr">
        <x:is>
          <x:t xml:space="preserve">A saveable checklist people can use before a real drive.</x:t>
        </x:is>
      </x:c>
      <x:c r="Q60" s="117" t="inlineStr">
        <x:is>
          <x:t xml:space="preserve">Save this culture, service and family-driving weekend checklist before your next drive.</x:t>
        </x:is>
      </x:c>
      <x:c r="R60" s="117" t="inlineStr">
        <x:is>
          <x:t xml:space="preserve">Checklist overlay, hands-on car/phone shots, one item per beat, final saved-card frame.</x:t>
        </x:is>
      </x:c>
      <x:c r="S60" s="117" t="inlineStr">
        <x:is>
          <x:t xml:space="preserve">A good drive often starts before the engine starts. Keep this simple checklist close.</x:t>
        </x:is>
      </x:c>
      <x:c r="T60" s="117" t="inlineStr">
        <x:is>
          <x:t xml:space="preserve">Save this before your next drive.</x:t>
        </x:is>
      </x:c>
      <x:c r="U60" s="117" t="inlineStr">
        <x:is>
          <x:t xml:space="preserve">Phone mount; Msafiri screen-record; City-to-family visit routes B-roll; captions; branded end card</x:t>
        </x:is>
      </x:c>
      <x:c r="V60" s="117" t="inlineStr">
        <x:is>
          <x:t xml:space="preserve">Founder</x:t>
        </x:is>
      </x:c>
      <x:c r="W60" s="117" t="inlineStr">
        <x:is>
          <x:t xml:space="preserve">Backlog</x:t>
        </x:is>
      </x:c>
      <x:c r="X60" s="117" t="inlineStr">
        <x:is>
          <x:t xml:space="preserve">Not Started</x:t>
        </x:is>
      </x:c>
      <x:c r="Y60" s="117" t="n"/>
      <x:c r="Z60" s="118" t="n"/>
      <x:c r="AA60" s="118" t="n"/>
      <x:c r="AB60" s="118" t="n"/>
      <x:c r="AC60" s="118" t="n"/>
      <x:c r="AD60" s="118" t="n"/>
      <x:c r="AE60" s="117" t="n"/>
      <x:c r="AF60" s="122" t="inlineStr">
        <x:is>
          <x:t xml:space="preserve">Optional</x:t>
        </x:is>
      </x:c>
      <x:c r="AG60" s="117" t="inlineStr">
        <x:is>
          <x:t xml:space="preserve">Optional / planning</x:t>
        </x:is>
      </x:c>
      <x:c r="AH60" s="113" t="n">
        <x:v>20</x:v>
      </x:c>
      <x:c r="AI60" s="114" t="n">
        <x:v>0</x:v>
      </x:c>
      <x:c r="AJ60" s="120" t="inlineStr">
        <x:is>
          <x:t xml:space="preserve"/>
        </x:is>
      </x:c>
      <x:c r="AK60" s="113" t="n">
        <x:v>0</x:v>
      </x:c>
      <x:c r="AL60" s="114" t="n">
        <x:v>0</x:v>
      </x:c>
    </x:row>
    <x:row r="61" ht="64" customHeight="1">
      <x:c r="A61" s="109" t="n">
        <x:v>46307</x:v>
      </x:c>
      <x:c r="B61" s="110" t="inlineStr">
        <x:is>
          <x:t xml:space="preserve">Monday</x:t>
        </x:is>
      </x:c>
      <x:c r="C61" s="110" t="n">
        <x:v>57</x:v>
      </x:c>
      <x:c r="D61" s="110" t="n">
        <x:v>9</x:v>
      </x:c>
      <x:c r="E61" s="110" t="inlineStr">
        <x:is>
          <x:t xml:space="preserve">Speed discipline and daily pressure</x:t>
        </x:is>
      </x:c>
      <x:c r="F61" s="110" t="inlineStr">
        <x:is>
          <x:t xml:space="preserve">Arrive calm, not lucky</x:t>
        </x:is>
      </x:c>
      <x:c r="G61" s="110" t="inlineStr">
        <x:is>
          <x:t xml:space="preserve">Road Intelligence</x:t>
        </x:is>
      </x:c>
      <x:c r="H61" s="110" t="inlineStr">
        <x:is>
          <x:t xml:space="preserve">Msafiri Road Check</x:t>
        </x:is>
      </x:c>
      <x:c r="I61" s="110" t="inlineStr">
        <x:is>
          <x:t xml:space="preserve">Speed camera alerts</x:t>
        </x:is>
      </x:c>
      <x:c r="J61" s="110" t="inlineStr">
        <x:is>
          <x:t xml:space="preserve">Daily Nairobi commuter</x:t>
        </x:is>
      </x:c>
      <x:c r="K61" s="110" t="inlineStr">
        <x:is>
          <x:t xml:space="preserve">Awareness</x:t>
        </x:is>
      </x:c>
      <x:c r="L61" s="110" t="inlineStr">
        <x:is>
          <x:t xml:space="preserve">Hero / Reel</x:t>
        </x:is>
      </x:c>
      <x:c r="M61" s="110" t="inlineStr">
        <x:is>
          <x:t xml:space="preserve">45–90 sec</x:t>
        </x:is>
      </x:c>
      <x:c r="N61" s="110" t="inlineStr">
        <x:is>
          <x:t xml:space="preserve">TikTok</x:t>
        </x:is>
      </x:c>
      <x:c r="O61" s="110" t="inlineStr">
        <x:is>
          <x:t xml:space="preserve">Instagram Reels | YouTube Shorts | Facebook Reels | YouTube</x:t>
        </x:is>
      </x:c>
      <x:c r="P61" s="110" t="inlineStr">
        <x:is>
          <x:t xml:space="preserve">Anchor episode that turns this week’s theme into a road story people can recognize.</x:t>
        </x:is>
      </x:c>
      <x:c r="Q61" s="110" t="inlineStr">
        <x:is>
          <x:t xml:space="preserve">We tested School run / work commute: what should a daily nairobi commuter know before driving it this week?</x:t>
        </x:is>
      </x:c>
      <x:c r="R61" s="110" t="inlineStr">
        <x:is>
          <x:t xml:space="preserve">POV drive, 3 timestamped moments, map/context overlay, quick Msafiri screen, clear payoff.</x:t>
        </x:is>
      </x:c>
      <x:c r="S61" s="110" t="inlineStr">
        <x:is>
          <x:t xml:space="preserve">Road intelligence should feel practical, not complicated. Here is what stood out on School run / work commute.</x:t>
        </x:is>
      </x:c>
      <x:c r="T61" s="110" t="inlineStr">
        <x:is>
          <x:t xml:space="preserve">Tell us which road we should check next.</x:t>
        </x:is>
      </x:c>
      <x:c r="U61" s="110" t="inlineStr">
        <x:is>
          <x:t xml:space="preserve">Phone mount; Msafiri screen-record; School run / work commute B-roll; captions; branded end card</x:t>
        </x:is>
      </x:c>
      <x:c r="V61" s="110" t="inlineStr">
        <x:is>
          <x:t xml:space="preserve">Founder</x:t>
        </x:is>
      </x:c>
      <x:c r="W61" s="110" t="inlineStr">
        <x:is>
          <x:t xml:space="preserve">Draft</x:t>
        </x:is>
      </x:c>
      <x:c r="X61" s="110" t="inlineStr">
        <x:is>
          <x:t xml:space="preserve">Not Started</x:t>
        </x:is>
      </x:c>
      <x:c r="Y61" s="110" t="n"/>
      <x:c r="Z61" s="111" t="n"/>
      <x:c r="AA61" s="111" t="n"/>
      <x:c r="AB61" s="111" t="n"/>
      <x:c r="AC61" s="111" t="n"/>
      <x:c r="AD61" s="111" t="n"/>
      <x:c r="AE61" s="110" t="n"/>
      <x:c r="AF61" s="112" t="inlineStr">
        <x:is>
          <x:t xml:space="preserve">Core</x:t>
        </x:is>
      </x:c>
      <x:c r="AG61" s="110" t="inlineStr">
        <x:is>
          <x:t xml:space="preserve">Field / anchor</x:t>
        </x:is>
      </x:c>
      <x:c r="AH61" s="113" t="n">
        <x:v>75</x:v>
      </x:c>
      <x:c r="AI61" s="114" t="n">
        <x:v>0</x:v>
      </x:c>
      <x:c r="AJ61" s="115" t="inlineStr">
        <x:is>
          <x:t xml:space="preserve"/>
        </x:is>
      </x:c>
      <x:c r="AK61" s="113" t="n">
        <x:v>0</x:v>
      </x:c>
      <x:c r="AL61" s="114" t="n">
        <x:v>0</x:v>
      </x:c>
    </x:row>
    <x:row r="62" ht="64" customHeight="1">
      <x:c r="A62" s="116" t="n">
        <x:v>46308</x:v>
      </x:c>
      <x:c r="B62" s="117" t="inlineStr">
        <x:is>
          <x:t xml:space="preserve">Tuesday</x:t>
        </x:is>
      </x:c>
      <x:c r="C62" s="117" t="n">
        <x:v>58</x:v>
      </x:c>
      <x:c r="D62" s="117" t="n">
        <x:v>9</x:v>
      </x:c>
      <x:c r="E62" s="117" t="inlineStr">
        <x:is>
          <x:t xml:space="preserve">Speed discipline and daily pressure</x:t>
        </x:is>
      </x:c>
      <x:c r="F62" s="117" t="inlineStr">
        <x:is>
          <x:t xml:space="preserve">Arrive calm, not lucky</x:t>
        </x:is>
      </x:c>
      <x:c r="G62" s="117" t="inlineStr">
        <x:is>
          <x:t xml:space="preserve">Product / Feature Proof</x:t>
        </x:is>
      </x:c>
      <x:c r="H62" s="117" t="inlineStr">
        <x:is>
          <x:t xml:space="preserve">Feature in the Wild</x:t>
        </x:is>
      </x:c>
      <x:c r="I62" s="117" t="inlineStr">
        <x:is>
          <x:t xml:space="preserve">Speed camera alerts</x:t>
        </x:is>
      </x:c>
      <x:c r="J62" s="117" t="inlineStr">
        <x:is>
          <x:t xml:space="preserve">Daily Nairobi commuter</x:t>
        </x:is>
      </x:c>
      <x:c r="K62" s="117" t="inlineStr">
        <x:is>
          <x:t xml:space="preserve">Feature Discovery</x:t>
        </x:is>
      </x:c>
      <x:c r="L62" s="117" t="inlineStr">
        <x:is>
          <x:t xml:space="preserve">Short-form video</x:t>
        </x:is>
      </x:c>
      <x:c r="M62" s="117" t="inlineStr">
        <x:is>
          <x:t xml:space="preserve">20–45 sec</x:t>
        </x:is>
      </x:c>
      <x:c r="N62" s="117" t="inlineStr">
        <x:is>
          <x:t xml:space="preserve">Instagram Reels</x:t>
        </x:is>
      </x:c>
      <x:c r="O62" s="117" t="inlineStr">
        <x:is>
          <x:t xml:space="preserve">TikTok | YouTube Shorts | Facebook Reels</x:t>
        </x:is>
      </x:c>
      <x:c r="P62" s="117" t="inlineStr">
        <x:is>
          <x:t xml:space="preserve">Show the feature solving one real driving moment without turning the video into an ad.</x:t>
        </x:is>
      </x:c>
      <x:c r="Q62" s="117" t="inlineStr">
        <x:is>
          <x:t xml:space="preserve">Speed camera alerts only makes sense when you are rushing and forget the road still has limits; here is the 30-second version.</x:t>
        </x:is>
      </x:c>
      <x:c r="R62" s="117" t="inlineStr">
        <x:is>
          <x:t xml:space="preserve">Phone mount, screen-record, before/after comparison, one clean feature payoff.</x:t>
        </x:is>
      </x:c>
      <x:c r="S62" s="117" t="inlineStr">
        <x:is>
          <x:t xml:space="preserve">A feature is only useful if it helps in the exact moment a driver needs it.</x:t>
        </x:is>
      </x:c>
      <x:c r="T62" s="117" t="inlineStr">
        <x:is>
          <x:t xml:space="preserve">Try Msafiri on your next drive.</x:t>
        </x:is>
      </x:c>
      <x:c r="U62" s="117" t="inlineStr">
        <x:is>
          <x:t xml:space="preserve">Phone mount; Msafiri screen-record; School run / work commute B-roll; captions; branded end card</x:t>
        </x:is>
      </x:c>
      <x:c r="V62" s="117" t="inlineStr">
        <x:is>
          <x:t xml:space="preserve">Founder</x:t>
        </x:is>
      </x:c>
      <x:c r="W62" s="117" t="inlineStr">
        <x:is>
          <x:t xml:space="preserve">Draft</x:t>
        </x:is>
      </x:c>
      <x:c r="X62" s="117" t="inlineStr">
        <x:is>
          <x:t xml:space="preserve">Not Started</x:t>
        </x:is>
      </x:c>
      <x:c r="Y62" s="117" t="n"/>
      <x:c r="Z62" s="118" t="n"/>
      <x:c r="AA62" s="118" t="n"/>
      <x:c r="AB62" s="118" t="n"/>
      <x:c r="AC62" s="118" t="n"/>
      <x:c r="AD62" s="118" t="n"/>
      <x:c r="AE62" s="117" t="n"/>
      <x:c r="AF62" s="119" t="inlineStr">
        <x:is>
          <x:t xml:space="preserve">Core</x:t>
        </x:is>
      </x:c>
      <x:c r="AG62" s="117" t="inlineStr">
        <x:is>
          <x:t xml:space="preserve">Screen demo</x:t>
        </x:is>
      </x:c>
      <x:c r="AH62" s="113" t="n">
        <x:v>45</x:v>
      </x:c>
      <x:c r="AI62" s="114" t="n">
        <x:v>0</x:v>
      </x:c>
      <x:c r="AJ62" s="120" t="inlineStr">
        <x:is>
          <x:t xml:space="preserve"/>
        </x:is>
      </x:c>
      <x:c r="AK62" s="113" t="n">
        <x:v>0</x:v>
      </x:c>
      <x:c r="AL62" s="114" t="n">
        <x:v>0</x:v>
      </x:c>
    </x:row>
    <x:row r="63" ht="64" customHeight="1">
      <x:c r="A63" s="109" t="n">
        <x:v>46309</x:v>
      </x:c>
      <x:c r="B63" s="110" t="inlineStr">
        <x:is>
          <x:t xml:space="preserve">Wednesday</x:t>
        </x:is>
      </x:c>
      <x:c r="C63" s="110" t="n">
        <x:v>59</x:v>
      </x:c>
      <x:c r="D63" s="110" t="n">
        <x:v>9</x:v>
      </x:c>
      <x:c r="E63" s="110" t="inlineStr">
        <x:is>
          <x:t xml:space="preserve">Speed discipline and daily pressure</x:t>
        </x:is>
      </x:c>
      <x:c r="F63" s="110" t="inlineStr">
        <x:is>
          <x:t xml:space="preserve">Arrive calm, not lucky</x:t>
        </x:is>
      </x:c>
      <x:c r="G63" s="110" t="inlineStr">
        <x:is>
          <x:t xml:space="preserve">Kenyan Driving Reality</x:t>
        </x:is>
      </x:c>
      <x:c r="H63" s="110" t="inlineStr">
        <x:is>
          <x:t xml:space="preserve">Kenyan Driver Problems</x:t>
        </x:is>
      </x:c>
      <x:c r="I63" s="110" t="inlineStr">
        <x:is>
          <x:t xml:space="preserve">Speed camera alerts</x:t>
        </x:is>
      </x:c>
      <x:c r="J63" s="110" t="inlineStr">
        <x:is>
          <x:t xml:space="preserve">Daily Nairobi commuter</x:t>
        </x:is>
      </x:c>
      <x:c r="K63" s="110" t="inlineStr">
        <x:is>
          <x:t xml:space="preserve">Engagement</x:t>
        </x:is>
      </x:c>
      <x:c r="L63" s="110" t="inlineStr">
        <x:is>
          <x:t xml:space="preserve">Skit</x:t>
        </x:is>
      </x:c>
      <x:c r="M63" s="110" t="inlineStr">
        <x:is>
          <x:t xml:space="preserve">15–35 sec</x:t>
        </x:is>
      </x:c>
      <x:c r="N63" s="110" t="inlineStr">
        <x:is>
          <x:t xml:space="preserve">TikTok</x:t>
        </x:is>
      </x:c>
      <x:c r="O63" s="110" t="inlineStr">
        <x:is>
          <x:t xml:space="preserve">Instagram Reels | Facebook Reels | YouTube Shorts</x:t>
        </x:is>
      </x:c>
      <x:c r="P63" s="110" t="inlineStr">
        <x:is>
          <x:t xml:space="preserve">Relatable driver tension; make people laugh, then attach a practical Msafiri angle.</x:t>
        </x:is>
      </x:c>
      <x:c r="Q63" s="110" t="inlineStr">
        <x:is>
          <x:t xml:space="preserve">POV: you are rushing and forget the road still has limits and everyone in the car suddenly becomes a driving expert.</x:t>
        </x:is>
      </x:c>
      <x:c r="R63" s="110" t="inlineStr">
        <x:is>
          <x:t xml:space="preserve">Driver/passenger skit, quick reaction cuts, exaggerated but familiar Kenyan driving moment.</x:t>
        </x:is>
      </x:c>
      <x:c r="S63" s="110" t="inlineStr">
        <x:is>
          <x:t xml:space="preserve">Every driver knows this argument. The smart move is having better information before the argument starts.</x:t>
        </x:is>
      </x:c>
      <x:c r="T63" s="110" t="inlineStr">
        <x:is>
          <x:t xml:space="preserve">Tag the driver who does this.</x:t>
        </x:is>
      </x:c>
      <x:c r="U63" s="110" t="inlineStr">
        <x:is>
          <x:t xml:space="preserve">Phone mount; Msafiri screen-record; School run / work commute B-roll; captions; branded end card</x:t>
        </x:is>
      </x:c>
      <x:c r="V63" s="110" t="inlineStr">
        <x:is>
          <x:t xml:space="preserve">Founder</x:t>
        </x:is>
      </x:c>
      <x:c r="W63" s="110" t="inlineStr">
        <x:is>
          <x:t xml:space="preserve">Backlog</x:t>
        </x:is>
      </x:c>
      <x:c r="X63" s="110" t="inlineStr">
        <x:is>
          <x:t xml:space="preserve">Not Started</x:t>
        </x:is>
      </x:c>
      <x:c r="Y63" s="110" t="n"/>
      <x:c r="Z63" s="111" t="n"/>
      <x:c r="AA63" s="111" t="n"/>
      <x:c r="AB63" s="111" t="n"/>
      <x:c r="AC63" s="111" t="n"/>
      <x:c r="AD63" s="111" t="n"/>
      <x:c r="AE63" s="110" t="n"/>
      <x:c r="AF63" s="121" t="inlineStr">
        <x:is>
          <x:t xml:space="preserve">Optional</x:t>
        </x:is>
      </x:c>
      <x:c r="AG63" s="110" t="inlineStr">
        <x:is>
          <x:t xml:space="preserve">Repurpose / story</x:t>
        </x:is>
      </x:c>
      <x:c r="AH63" s="113" t="n">
        <x:v>25</x:v>
      </x:c>
      <x:c r="AI63" s="114" t="n">
        <x:v>0</x:v>
      </x:c>
      <x:c r="AJ63" s="115" t="inlineStr">
        <x:is>
          <x:t xml:space="preserve"/>
        </x:is>
      </x:c>
      <x:c r="AK63" s="113" t="n">
        <x:v>0</x:v>
      </x:c>
      <x:c r="AL63" s="114" t="n">
        <x:v>0</x:v>
      </x:c>
    </x:row>
    <x:row r="64" ht="64" customHeight="1">
      <x:c r="A64" s="116" t="n">
        <x:v>46310</x:v>
      </x:c>
      <x:c r="B64" s="117" t="inlineStr">
        <x:is>
          <x:t xml:space="preserve">Thursday</x:t>
        </x:is>
      </x:c>
      <x:c r="C64" s="117" t="n">
        <x:v>60</x:v>
      </x:c>
      <x:c r="D64" s="117" t="n">
        <x:v>9</x:v>
      </x:c>
      <x:c r="E64" s="117" t="inlineStr">
        <x:is>
          <x:t xml:space="preserve">Speed discipline and daily pressure</x:t>
        </x:is>
      </x:c>
      <x:c r="F64" s="117" t="inlineStr">
        <x:is>
          <x:t xml:space="preserve">Arrive calm, not lucky</x:t>
        </x:is>
      </x:c>
      <x:c r="G64" s="117" t="inlineStr">
        <x:is>
          <x:t xml:space="preserve">Founder / BTS</x:t>
        </x:is>
      </x:c>
      <x:c r="H64" s="117" t="inlineStr">
        <x:is>
          <x:t xml:space="preserve">Founder Files</x:t>
        </x:is>
      </x:c>
      <x:c r="I64" s="117" t="inlineStr">
        <x:is>
          <x:t xml:space="preserve">Speed camera alerts</x:t>
        </x:is>
      </x:c>
      <x:c r="J64" s="117" t="inlineStr">
        <x:is>
          <x:t xml:space="preserve">Daily Nairobi commuter</x:t>
        </x:is>
      </x:c>
      <x:c r="K64" s="117" t="inlineStr">
        <x:is>
          <x:t xml:space="preserve">Trust</x:t>
        </x:is>
      </x:c>
      <x:c r="L64" s="117" t="inlineStr">
        <x:is>
          <x:t xml:space="preserve">Founder-to-camera</x:t>
        </x:is>
      </x:c>
      <x:c r="M64" s="117" t="inlineStr">
        <x:is>
          <x:t xml:space="preserve">30–60 sec</x:t>
        </x:is>
      </x:c>
      <x:c r="N64" s="117" t="inlineStr">
        <x:is>
          <x:t xml:space="preserve">Instagram Reels</x:t>
        </x:is>
      </x:c>
      <x:c r="O64" s="117" t="inlineStr">
        <x:is>
          <x:t xml:space="preserve">TikTok | YouTube Shorts | LinkedIn</x:t>
        </x:is>
      </x:c>
      <x:c r="P64" s="117" t="inlineStr">
        <x:is>
          <x:t xml:space="preserve">Peter explains the product decision, tradeoff, or local insight behind the week’s feature.</x:t>
        </x:is>
      </x:c>
      <x:c r="Q64" s="117" t="inlineStr">
        <x:is>
          <x:t xml:space="preserve">Peter here — this is why we built Speed camera alerts for Kenyan drivers, not just generic drivers.</x:t>
        </x:is>
      </x:c>
      <x:c r="R64" s="117" t="inlineStr">
        <x:is>
          <x:t xml:space="preserve">Peter in car or office, quick cutaways to road test, product screen and handwritten notes.</x:t>
        </x:is>
      </x:c>
      <x:c r="S64" s="117" t="inlineStr">
        <x:is>
          <x:t xml:space="preserve">The goal is not another app on your phone. The goal is a calmer, more prepared drive.</x:t>
        </x:is>
      </x:c>
      <x:c r="T64" s="117" t="inlineStr">
        <x:is>
          <x:t xml:space="preserve">Follow Msafiri as we build for Kenyan roads.</x:t>
        </x:is>
      </x:c>
      <x:c r="U64" s="117" t="inlineStr">
        <x:is>
          <x:t xml:space="preserve">Peter on-camera setup; car/office B-roll; product screen; simple lower-third</x:t>
        </x:is>
      </x:c>
      <x:c r="V64" s="117" t="inlineStr">
        <x:is>
          <x:t xml:space="preserve">Founder</x:t>
        </x:is>
      </x:c>
      <x:c r="W64" s="117" t="inlineStr">
        <x:is>
          <x:t xml:space="preserve">Draft</x:t>
        </x:is>
      </x:c>
      <x:c r="X64" s="117" t="inlineStr">
        <x:is>
          <x:t xml:space="preserve">Not Started</x:t>
        </x:is>
      </x:c>
      <x:c r="Y64" s="117" t="n"/>
      <x:c r="Z64" s="118" t="n"/>
      <x:c r="AA64" s="118" t="n"/>
      <x:c r="AB64" s="118" t="n"/>
      <x:c r="AC64" s="118" t="n"/>
      <x:c r="AD64" s="118" t="n"/>
      <x:c r="AE64" s="117" t="n"/>
      <x:c r="AF64" s="119" t="inlineStr">
        <x:is>
          <x:t xml:space="preserve">Core</x:t>
        </x:is>
      </x:c>
      <x:c r="AG64" s="117" t="inlineStr">
        <x:is>
          <x:t xml:space="preserve">Founder / education</x:t>
        </x:is>
      </x:c>
      <x:c r="AH64" s="113" t="n">
        <x:v>45</x:v>
      </x:c>
      <x:c r="AI64" s="114" t="n">
        <x:v>0</x:v>
      </x:c>
      <x:c r="AJ64" s="120" t="inlineStr">
        <x:is>
          <x:t xml:space="preserve"/>
        </x:is>
      </x:c>
      <x:c r="AK64" s="113" t="n">
        <x:v>0</x:v>
      </x:c>
      <x:c r="AL64" s="114" t="n">
        <x:v>0</x:v>
      </x:c>
    </x:row>
    <x:row r="65" ht="64" customHeight="1">
      <x:c r="A65" s="109" t="n">
        <x:v>46311</x:v>
      </x:c>
      <x:c r="B65" s="110" t="inlineStr">
        <x:is>
          <x:t xml:space="preserve">Friday</x:t>
        </x:is>
      </x:c>
      <x:c r="C65" s="110" t="n">
        <x:v>61</x:v>
      </x:c>
      <x:c r="D65" s="110" t="n">
        <x:v>9</x:v>
      </x:c>
      <x:c r="E65" s="110" t="inlineStr">
        <x:is>
          <x:t xml:space="preserve">Speed discipline and daily pressure</x:t>
        </x:is>
      </x:c>
      <x:c r="F65" s="110" t="inlineStr">
        <x:is>
          <x:t xml:space="preserve">Arrive calm, not lucky</x:t>
        </x:is>
      </x:c>
      <x:c r="G65" s="110" t="inlineStr">
        <x:is>
          <x:t xml:space="preserve">Debate / Mythbusters</x:t>
        </x:is>
      </x:c>
      <x:c r="H65" s="110" t="inlineStr">
        <x:is>
          <x:t xml:space="preserve">Road Mythbusters</x:t>
        </x:is>
      </x:c>
      <x:c r="I65" s="110" t="inlineStr">
        <x:is>
          <x:t xml:space="preserve">Speed camera alerts</x:t>
        </x:is>
      </x:c>
      <x:c r="J65" s="110" t="inlineStr">
        <x:is>
          <x:t xml:space="preserve">Daily Nairobi commuter</x:t>
        </x:is>
      </x:c>
      <x:c r="K65" s="110" t="inlineStr">
        <x:is>
          <x:t xml:space="preserve">Engagement</x:t>
        </x:is>
      </x:c>
      <x:c r="L65" s="110" t="inlineStr">
        <x:is>
          <x:t xml:space="preserve">Short-form video</x:t>
        </x:is>
      </x:c>
      <x:c r="M65" s="110" t="inlineStr">
        <x:is>
          <x:t xml:space="preserve">20–45 sec</x:t>
        </x:is>
      </x:c>
      <x:c r="N65" s="110" t="inlineStr">
        <x:is>
          <x:t xml:space="preserve">TikTok</x:t>
        </x:is>
      </x:c>
      <x:c r="O65" s="110" t="inlineStr">
        <x:is>
          <x:t xml:space="preserve">Instagram Reels | YouTube Shorts | Facebook Reels</x:t>
        </x:is>
      </x:c>
      <x:c r="P65" s="110" t="inlineStr">
        <x:is>
          <x:t xml:space="preserve">Open a controlled debate while ending with responsible road-safety framing.</x:t>
        </x:is>
      </x:c>
      <x:c r="Q65" s="110" t="inlineStr">
        <x:is>
          <x:t xml:space="preserve">Hot take: speed alerts should make you calmer, not careless.</x:t>
        </x:is>
      </x:c>
      <x:c r="R65" s="110" t="inlineStr">
        <x:is>
          <x:t xml:space="preserve">Split screen: claim vs reality, quick poll sticker, Peter closing with safe takeaway.</x:t>
        </x:is>
      </x:c>
      <x:c r="S65" s="110" t="inlineStr">
        <x:is>
          <x:t xml:space="preserve">Debate is useful only if it makes us better drivers. What is your honest view?</x:t>
        </x:is>
      </x:c>
      <x:c r="T65" s="110" t="inlineStr">
        <x:is>
          <x:t xml:space="preserve">Agree or disagree? Give your reason.</x:t>
        </x:is>
      </x:c>
      <x:c r="U65" s="110" t="inlineStr">
        <x:is>
          <x:t xml:space="preserve">Phone mount; Msafiri screen-record; School run / work commute B-roll; captions; branded end card</x:t>
        </x:is>
      </x:c>
      <x:c r="V65" s="110" t="inlineStr">
        <x:is>
          <x:t xml:space="preserve">Founder</x:t>
        </x:is>
      </x:c>
      <x:c r="W65" s="110" t="inlineStr">
        <x:is>
          <x:t xml:space="preserve">Backlog</x:t>
        </x:is>
      </x:c>
      <x:c r="X65" s="110" t="inlineStr">
        <x:is>
          <x:t xml:space="preserve">Not Started</x:t>
        </x:is>
      </x:c>
      <x:c r="Y65" s="110" t="n"/>
      <x:c r="Z65" s="111" t="n"/>
      <x:c r="AA65" s="111" t="n"/>
      <x:c r="AB65" s="111" t="n"/>
      <x:c r="AC65" s="111" t="n"/>
      <x:c r="AD65" s="111" t="n"/>
      <x:c r="AE65" s="110" t="n"/>
      <x:c r="AF65" s="121" t="inlineStr">
        <x:is>
          <x:t xml:space="preserve">Optional</x:t>
        </x:is>
      </x:c>
      <x:c r="AG65" s="110" t="inlineStr">
        <x:is>
          <x:t xml:space="preserve">Community reply</x:t>
        </x:is>
      </x:c>
      <x:c r="AH65" s="113" t="n">
        <x:v>25</x:v>
      </x:c>
      <x:c r="AI65" s="114" t="n">
        <x:v>0</x:v>
      </x:c>
      <x:c r="AJ65" s="115" t="inlineStr">
        <x:is>
          <x:t xml:space="preserve"/>
        </x:is>
      </x:c>
      <x:c r="AK65" s="113" t="n">
        <x:v>0</x:v>
      </x:c>
      <x:c r="AL65" s="114" t="n">
        <x:v>0</x:v>
      </x:c>
    </x:row>
    <x:row r="66" ht="64" customHeight="1">
      <x:c r="A66" s="116" t="n">
        <x:v>46312</x:v>
      </x:c>
      <x:c r="B66" s="117" t="inlineStr">
        <x:is>
          <x:t xml:space="preserve">Saturday</x:t>
        </x:is>
      </x:c>
      <x:c r="C66" s="117" t="n">
        <x:v>62</x:v>
      </x:c>
      <x:c r="D66" s="117" t="n">
        <x:v>9</x:v>
      </x:c>
      <x:c r="E66" s="117" t="inlineStr">
        <x:is>
          <x:t xml:space="preserve">Speed discipline and daily pressure</x:t>
        </x:is>
      </x:c>
      <x:c r="F66" s="117" t="inlineStr">
        <x:is>
          <x:t xml:space="preserve">Arrive calm, not lucky</x:t>
        </x:is>
      </x:c>
      <x:c r="G66" s="117" t="inlineStr">
        <x:is>
          <x:t xml:space="preserve">Community / UGC</x:t>
        </x:is>
      </x:c>
      <x:c r="H66" s="117" t="inlineStr">
        <x:is>
          <x:t xml:space="preserve">Ask a Kenyan Driver</x:t>
        </x:is>
      </x:c>
      <x:c r="I66" s="117" t="inlineStr">
        <x:is>
          <x:t xml:space="preserve">Speed camera alerts</x:t>
        </x:is>
      </x:c>
      <x:c r="J66" s="117" t="inlineStr">
        <x:is>
          <x:t xml:space="preserve">Daily Nairobi commuter</x:t>
        </x:is>
      </x:c>
      <x:c r="K66" s="117" t="inlineStr">
        <x:is>
          <x:t xml:space="preserve">Community</x:t>
        </x:is>
      </x:c>
      <x:c r="L66" s="117" t="inlineStr">
        <x:is>
          <x:t xml:space="preserve">Street Interview</x:t>
        </x:is>
      </x:c>
      <x:c r="M66" s="117" t="inlineStr">
        <x:is>
          <x:t xml:space="preserve">20–60 sec</x:t>
        </x:is>
      </x:c>
      <x:c r="N66" s="117" t="inlineStr">
        <x:is>
          <x:t xml:space="preserve">TikTok</x:t>
        </x:is>
      </x:c>
      <x:c r="O66" s="117" t="inlineStr">
        <x:is>
          <x:t xml:space="preserve">Instagram Reels | Facebook Reels | YouTube Shorts</x:t>
        </x:is>
      </x:c>
      <x:c r="P66" s="117" t="inlineStr">
        <x:is>
          <x:t xml:space="preserve">Let drivers speak; collect comments and stories that can become future episodes.</x:t>
        </x:is>
      </x:c>
      <x:c r="Q66" s="117" t="inlineStr">
        <x:is>
          <x:t xml:space="preserve">We asked drivers: which road makes you slow down even when you are not speeding?</x:t>
        </x:is>
      </x:c>
      <x:c r="R66" s="117" t="inlineStr">
        <x:is>
          <x:t xml:space="preserve">Street interview, 3 fast answers, one unexpected answer, branded closing card.</x:t>
        </x:is>
      </x:c>
      <x:c r="S66" s="117" t="inlineStr">
        <x:is>
          <x:t xml:space="preserve">Kenyan drivers have stories. Msafiri wants to turn those stories into smarter road intelligence.</x:t>
        </x:is>
      </x:c>
      <x:c r="T66" s="117" t="inlineStr">
        <x:is>
          <x:t xml:space="preserve">Tell us your answer in the comments.</x:t>
        </x:is>
      </x:c>
      <x:c r="U66" s="117" t="inlineStr">
        <x:is>
          <x:t xml:space="preserve">Lapel mic; consent line; 3–5 driver answers; branded question card; subtitle template</x:t>
        </x:is>
      </x:c>
      <x:c r="V66" s="117" t="inlineStr">
        <x:is>
          <x:t xml:space="preserve">Founder</x:t>
        </x:is>
      </x:c>
      <x:c r="W66" s="117" t="inlineStr">
        <x:is>
          <x:t xml:space="preserve">Draft</x:t>
        </x:is>
      </x:c>
      <x:c r="X66" s="117" t="inlineStr">
        <x:is>
          <x:t xml:space="preserve">Not Started</x:t>
        </x:is>
      </x:c>
      <x:c r="Y66" s="117" t="n"/>
      <x:c r="Z66" s="118" t="n"/>
      <x:c r="AA66" s="118" t="n"/>
      <x:c r="AB66" s="118" t="n"/>
      <x:c r="AC66" s="118" t="n"/>
      <x:c r="AD66" s="118" t="n"/>
      <x:c r="AE66" s="117" t="n"/>
      <x:c r="AF66" s="119" t="inlineStr">
        <x:is>
          <x:t xml:space="preserve">Core</x:t>
        </x:is>
      </x:c>
      <x:c r="AG66" s="117" t="inlineStr">
        <x:is>
          <x:t xml:space="preserve">Field / community</x:t>
        </x:is>
      </x:c>
      <x:c r="AH66" s="113" t="n">
        <x:v>60</x:v>
      </x:c>
      <x:c r="AI66" s="114" t="n">
        <x:v>0</x:v>
      </x:c>
      <x:c r="AJ66" s="120" t="inlineStr">
        <x:is>
          <x:t xml:space="preserve"/>
        </x:is>
      </x:c>
      <x:c r="AK66" s="113" t="n">
        <x:v>0</x:v>
      </x:c>
      <x:c r="AL66" s="114" t="n">
        <x:v>0</x:v>
      </x:c>
    </x:row>
    <x:row r="67" ht="64" customHeight="1">
      <x:c r="A67" s="109" t="n">
        <x:v>46313</x:v>
      </x:c>
      <x:c r="B67" s="110" t="inlineStr">
        <x:is>
          <x:t xml:space="preserve">Sunday</x:t>
        </x:is>
      </x:c>
      <x:c r="C67" s="110" t="n">
        <x:v>63</x:v>
      </x:c>
      <x:c r="D67" s="110" t="n">
        <x:v>9</x:v>
      </x:c>
      <x:c r="E67" s="110" t="inlineStr">
        <x:is>
          <x:t xml:space="preserve">Speed discipline and daily pressure</x:t>
        </x:is>
      </x:c>
      <x:c r="F67" s="110" t="inlineStr">
        <x:is>
          <x:t xml:space="preserve">Arrive calm, not lucky</x:t>
        </x:is>
      </x:c>
      <x:c r="G67" s="110" t="inlineStr">
        <x:is>
          <x:t xml:space="preserve">Education / Safety</x:t>
        </x:is>
      </x:c>
      <x:c r="H67" s="110" t="inlineStr">
        <x:is>
          <x:t xml:space="preserve">Before You Drive</x:t>
        </x:is>
      </x:c>
      <x:c r="I67" s="110" t="inlineStr">
        <x:is>
          <x:t xml:space="preserve">Speed camera alerts</x:t>
        </x:is>
      </x:c>
      <x:c r="J67" s="110" t="inlineStr">
        <x:is>
          <x:t xml:space="preserve">Daily Nairobi commuter</x:t>
        </x:is>
      </x:c>
      <x:c r="K67" s="110" t="inlineStr">
        <x:is>
          <x:t xml:space="preserve">Retention</x:t>
        </x:is>
      </x:c>
      <x:c r="L67" s="110" t="inlineStr">
        <x:is>
          <x:t xml:space="preserve">Checklist Reel</x:t>
        </x:is>
      </x:c>
      <x:c r="M67" s="110" t="inlineStr">
        <x:is>
          <x:t xml:space="preserve">20–45 sec</x:t>
        </x:is>
      </x:c>
      <x:c r="N67" s="110" t="inlineStr">
        <x:is>
          <x:t xml:space="preserve">Instagram Reels</x:t>
        </x:is>
      </x:c>
      <x:c r="O67" s="110" t="inlineStr">
        <x:is>
          <x:t xml:space="preserve">TikTok | YouTube Shorts | Facebook Reels | Instagram Stories</x:t>
        </x:is>
      </x:c>
      <x:c r="P67" s="110" t="inlineStr">
        <x:is>
          <x:t xml:space="preserve">A saveable checklist people can use before a real drive.</x:t>
        </x:is>
      </x:c>
      <x:c r="Q67" s="110" t="inlineStr">
        <x:is>
          <x:t xml:space="preserve">Save this speed discipline and daily pressure checklist before your next drive.</x:t>
        </x:is>
      </x:c>
      <x:c r="R67" s="110" t="inlineStr">
        <x:is>
          <x:t xml:space="preserve">Checklist overlay, hands-on car/phone shots, one item per beat, final saved-card frame.</x:t>
        </x:is>
      </x:c>
      <x:c r="S67" s="110" t="inlineStr">
        <x:is>
          <x:t xml:space="preserve">A good drive often starts before the engine starts. Keep this simple checklist close.</x:t>
        </x:is>
      </x:c>
      <x:c r="T67" s="110" t="inlineStr">
        <x:is>
          <x:t xml:space="preserve">Save this before your next drive.</x:t>
        </x:is>
      </x:c>
      <x:c r="U67" s="110" t="inlineStr">
        <x:is>
          <x:t xml:space="preserve">Phone mount; Msafiri screen-record; School run / work commute B-roll; captions; branded end card</x:t>
        </x:is>
      </x:c>
      <x:c r="V67" s="110" t="inlineStr">
        <x:is>
          <x:t xml:space="preserve">Founder</x:t>
        </x:is>
      </x:c>
      <x:c r="W67" s="110" t="inlineStr">
        <x:is>
          <x:t xml:space="preserve">Backlog</x:t>
        </x:is>
      </x:c>
      <x:c r="X67" s="110" t="inlineStr">
        <x:is>
          <x:t xml:space="preserve">Not Started</x:t>
        </x:is>
      </x:c>
      <x:c r="Y67" s="110" t="n"/>
      <x:c r="Z67" s="111" t="n"/>
      <x:c r="AA67" s="111" t="n"/>
      <x:c r="AB67" s="111" t="n"/>
      <x:c r="AC67" s="111" t="n"/>
      <x:c r="AD67" s="111" t="n"/>
      <x:c r="AE67" s="110" t="n"/>
      <x:c r="AF67" s="121" t="inlineStr">
        <x:is>
          <x:t xml:space="preserve">Optional</x:t>
        </x:is>
      </x:c>
      <x:c r="AG67" s="110" t="inlineStr">
        <x:is>
          <x:t xml:space="preserve">Optional / planning</x:t>
        </x:is>
      </x:c>
      <x:c r="AH67" s="113" t="n">
        <x:v>20</x:v>
      </x:c>
      <x:c r="AI67" s="114" t="n">
        <x:v>0</x:v>
      </x:c>
      <x:c r="AJ67" s="115" t="inlineStr">
        <x:is>
          <x:t xml:space="preserve"/>
        </x:is>
      </x:c>
      <x:c r="AK67" s="113" t="n">
        <x:v>0</x:v>
      </x:c>
      <x:c r="AL67" s="114" t="n">
        <x:v>0</x:v>
      </x:c>
    </x:row>
    <x:row r="68" ht="64" customHeight="1">
      <x:c r="A68" s="116" t="n">
        <x:v>46314</x:v>
      </x:c>
      <x:c r="B68" s="117" t="inlineStr">
        <x:is>
          <x:t xml:space="preserve">Monday</x:t>
        </x:is>
      </x:c>
      <x:c r="C68" s="117" t="n">
        <x:v>64</x:v>
      </x:c>
      <x:c r="D68" s="117" t="n">
        <x:v>10</x:v>
      </x:c>
      <x:c r="E68" s="117" t="inlineStr">
        <x:is>
          <x:t xml:space="preserve">Mashujaa road heroes</x:t>
        </x:is>
      </x:c>
      <x:c r="F68" s="117" t="inlineStr">
        <x:is>
          <x:t xml:space="preserve">Mashujaa Day safe travel</x:t>
        </x:is>
      </x:c>
      <x:c r="G68" s="117" t="inlineStr">
        <x:is>
          <x:t xml:space="preserve">Road Intelligence</x:t>
        </x:is>
      </x:c>
      <x:c r="H68" s="117" t="inlineStr">
        <x:is>
          <x:t xml:space="preserve">Msafiri Road Check</x:t>
        </x:is>
      </x:c>
      <x:c r="I68" s="117" t="inlineStr">
        <x:is>
          <x:t xml:space="preserve">Accident Assistant</x:t>
        </x:is>
      </x:c>
      <x:c r="J68" s="117" t="inlineStr">
        <x:is>
          <x:t xml:space="preserve">General Kenyan driver</x:t>
        </x:is>
      </x:c>
      <x:c r="K68" s="117" t="inlineStr">
        <x:is>
          <x:t xml:space="preserve">Awareness</x:t>
        </x:is>
      </x:c>
      <x:c r="L68" s="117" t="inlineStr">
        <x:is>
          <x:t xml:space="preserve">Hero / Reel</x:t>
        </x:is>
      </x:c>
      <x:c r="M68" s="117" t="inlineStr">
        <x:is>
          <x:t xml:space="preserve">45–90 sec</x:t>
        </x:is>
      </x:c>
      <x:c r="N68" s="117" t="inlineStr">
        <x:is>
          <x:t xml:space="preserve">TikTok</x:t>
        </x:is>
      </x:c>
      <x:c r="O68" s="117" t="inlineStr">
        <x:is>
          <x:t xml:space="preserve">Instagram Reels | YouTube Shorts | Facebook Reels | YouTube</x:t>
        </x:is>
      </x:c>
      <x:c r="P68" s="117" t="inlineStr">
        <x:is>
          <x:t xml:space="preserve">Anchor episode that turns this week’s theme into a road story people can recognize.</x:t>
        </x:is>
      </x:c>
      <x:c r="Q68" s="117" t="inlineStr">
        <x:is>
          <x:t xml:space="preserve">We tested Mashujaa Day travel window: what should a general kenyan driver know before driving it this week?</x:t>
        </x:is>
      </x:c>
      <x:c r="R68" s="117" t="inlineStr">
        <x:is>
          <x:t xml:space="preserve">POV drive, 3 timestamped moments, map/context overlay, quick Msafiri screen, clear payoff.</x:t>
        </x:is>
      </x:c>
      <x:c r="S68" s="117" t="inlineStr">
        <x:is>
          <x:t xml:space="preserve">Road intelligence should feel practical, not complicated. Here is what stood out on Mashujaa Day travel window.</x:t>
        </x:is>
      </x:c>
      <x:c r="T68" s="117" t="inlineStr">
        <x:is>
          <x:t xml:space="preserve">Tell us which road we should check next.</x:t>
        </x:is>
      </x:c>
      <x:c r="U68" s="117" t="inlineStr">
        <x:is>
          <x:t xml:space="preserve">Phone mount; Msafiri screen-record; Mashujaa Day travel window B-roll; captions; branded end card</x:t>
        </x:is>
      </x:c>
      <x:c r="V68" s="117" t="inlineStr">
        <x:is>
          <x:t xml:space="preserve">Founder</x:t>
        </x:is>
      </x:c>
      <x:c r="W68" s="117" t="inlineStr">
        <x:is>
          <x:t xml:space="preserve">Draft</x:t>
        </x:is>
      </x:c>
      <x:c r="X68" s="117" t="inlineStr">
        <x:is>
          <x:t xml:space="preserve">Not Started</x:t>
        </x:is>
      </x:c>
      <x:c r="Y68" s="117" t="n"/>
      <x:c r="Z68" s="118" t="n"/>
      <x:c r="AA68" s="118" t="n"/>
      <x:c r="AB68" s="118" t="n"/>
      <x:c r="AC68" s="118" t="n"/>
      <x:c r="AD68" s="118" t="n"/>
      <x:c r="AE68" s="117" t="n"/>
      <x:c r="AF68" s="119" t="inlineStr">
        <x:is>
          <x:t xml:space="preserve">Core</x:t>
        </x:is>
      </x:c>
      <x:c r="AG68" s="117" t="inlineStr">
        <x:is>
          <x:t xml:space="preserve">Field / anchor</x:t>
        </x:is>
      </x:c>
      <x:c r="AH68" s="113" t="n">
        <x:v>75</x:v>
      </x:c>
      <x:c r="AI68" s="114" t="n">
        <x:v>0</x:v>
      </x:c>
      <x:c r="AJ68" s="120" t="inlineStr">
        <x:is>
          <x:t xml:space="preserve"/>
        </x:is>
      </x:c>
      <x:c r="AK68" s="113" t="n">
        <x:v>0</x:v>
      </x:c>
      <x:c r="AL68" s="114" t="n">
        <x:v>0</x:v>
      </x:c>
    </x:row>
    <x:row r="69" ht="64" customHeight="1">
      <x:c r="A69" s="109" t="n">
        <x:v>46315</x:v>
      </x:c>
      <x:c r="B69" s="110" t="inlineStr">
        <x:is>
          <x:t xml:space="preserve">Tuesday</x:t>
        </x:is>
      </x:c>
      <x:c r="C69" s="110" t="n">
        <x:v>65</x:v>
      </x:c>
      <x:c r="D69" s="110" t="n">
        <x:v>10</x:v>
      </x:c>
      <x:c r="E69" s="110" t="inlineStr">
        <x:is>
          <x:t xml:space="preserve">Mashujaa road heroes</x:t>
        </x:is>
      </x:c>
      <x:c r="F69" s="110" t="inlineStr">
        <x:is>
          <x:t xml:space="preserve">Mashujaa Day</x:t>
        </x:is>
      </x:c>
      <x:c r="G69" s="110" t="inlineStr">
        <x:is>
          <x:t xml:space="preserve">Seasonal Campaign</x:t>
        </x:is>
      </x:c>
      <x:c r="H69" s="110" t="inlineStr">
        <x:is>
          <x:t xml:space="preserve">Holiday Road Prep</x:t>
        </x:is>
      </x:c>
      <x:c r="I69" s="110" t="inlineStr">
        <x:is>
          <x:t xml:space="preserve">Accident Assistant</x:t>
        </x:is>
      </x:c>
      <x:c r="J69" s="110" t="inlineStr">
        <x:is>
          <x:t xml:space="preserve">General Kenyan driver</x:t>
        </x:is>
      </x:c>
      <x:c r="K69" s="110" t="inlineStr">
        <x:is>
          <x:t xml:space="preserve">Feature Discovery</x:t>
        </x:is>
      </x:c>
      <x:c r="L69" s="110" t="inlineStr">
        <x:is>
          <x:t xml:space="preserve">Hero / Reel</x:t>
        </x:is>
      </x:c>
      <x:c r="M69" s="110" t="inlineStr">
        <x:is>
          <x:t xml:space="preserve">20–45 sec</x:t>
        </x:is>
      </x:c>
      <x:c r="N69" s="110" t="inlineStr">
        <x:is>
          <x:t xml:space="preserve">Instagram Reels</x:t>
        </x:is>
      </x:c>
      <x:c r="O69" s="110" t="inlineStr">
        <x:is>
          <x:t xml:space="preserve">TikTok | YouTube Shorts | Facebook Reels</x:t>
        </x:is>
      </x:c>
      <x:c r="P69" s="110" t="inlineStr">
        <x:is>
          <x:t xml:space="preserve">Mashujaa Day tribute to careful drivers, responders, and passengers who speak up.</x:t>
        </x:is>
      </x:c>
      <x:c r="Q69" s="110" t="inlineStr">
        <x:is>
          <x:t xml:space="preserve">Today, the road hero is the driver who gets everyone there safely.</x:t>
        </x:is>
      </x:c>
      <x:c r="R69" s="110" t="inlineStr">
        <x:is>
          <x:t xml:space="preserve">Founder voiceover, slow road shots, seatbelt close-ups, family arrival moment.</x:t>
        </x:is>
      </x:c>
      <x:c r="S69" s="110" t="inlineStr">
        <x:is>
          <x:t xml:space="preserve">Seasonal road-safety moment: Mashujaa Day. Keep it useful, warm and verified.</x:t>
        </x:is>
      </x:c>
      <x:c r="T69" s="110" t="inlineStr">
        <x:is>
          <x:t xml:space="preserve">Tag a road hero who drives with patience.</x:t>
        </x:is>
      </x:c>
      <x:c r="U69" s="110" t="inlineStr">
        <x:is>
          <x:t xml:space="preserve">Phone mount; Msafiri screen-record; Mashujaa Day travel window B-roll; captions; branded end card</x:t>
        </x:is>
      </x:c>
      <x:c r="V69" s="110" t="inlineStr">
        <x:is>
          <x:t xml:space="preserve">Founder</x:t>
        </x:is>
      </x:c>
      <x:c r="W69" s="110" t="inlineStr">
        <x:is>
          <x:t xml:space="preserve">Draft</x:t>
        </x:is>
      </x:c>
      <x:c r="X69" s="110" t="inlineStr">
        <x:is>
          <x:t xml:space="preserve">Not Started</x:t>
        </x:is>
      </x:c>
      <x:c r="Y69" s="110" t="n"/>
      <x:c r="Z69" s="111" t="n"/>
      <x:c r="AA69" s="111" t="n"/>
      <x:c r="AB69" s="111" t="n"/>
      <x:c r="AC69" s="111" t="n"/>
      <x:c r="AD69" s="111" t="n"/>
      <x:c r="AE69" s="110" t="n"/>
      <x:c r="AF69" s="112" t="inlineStr">
        <x:is>
          <x:t xml:space="preserve">Core</x:t>
        </x:is>
      </x:c>
      <x:c r="AG69" s="110" t="inlineStr">
        <x:is>
          <x:t xml:space="preserve">Screen demo</x:t>
        </x:is>
      </x:c>
      <x:c r="AH69" s="113" t="n">
        <x:v>45</x:v>
      </x:c>
      <x:c r="AI69" s="114" t="n">
        <x:v>0</x:v>
      </x:c>
      <x:c r="AJ69" s="115" t="inlineStr">
        <x:is>
          <x:t xml:space="preserve"/>
        </x:is>
      </x:c>
      <x:c r="AK69" s="113" t="n">
        <x:v>0</x:v>
      </x:c>
      <x:c r="AL69" s="114" t="n">
        <x:v>0</x:v>
      </x:c>
    </x:row>
    <x:row r="70" ht="64" customHeight="1">
      <x:c r="A70" s="116" t="n">
        <x:v>46316</x:v>
      </x:c>
      <x:c r="B70" s="117" t="inlineStr">
        <x:is>
          <x:t xml:space="preserve">Wednesday</x:t>
        </x:is>
      </x:c>
      <x:c r="C70" s="117" t="n">
        <x:v>66</x:v>
      </x:c>
      <x:c r="D70" s="117" t="n">
        <x:v>10</x:v>
      </x:c>
      <x:c r="E70" s="117" t="inlineStr">
        <x:is>
          <x:t xml:space="preserve">Mashujaa road heroes</x:t>
        </x:is>
      </x:c>
      <x:c r="F70" s="117" t="inlineStr">
        <x:is>
          <x:t xml:space="preserve">Mashujaa Day safe travel</x:t>
        </x:is>
      </x:c>
      <x:c r="G70" s="117" t="inlineStr">
        <x:is>
          <x:t xml:space="preserve">Kenyan Driving Reality</x:t>
        </x:is>
      </x:c>
      <x:c r="H70" s="117" t="inlineStr">
        <x:is>
          <x:t xml:space="preserve">Kenyan Driver Problems</x:t>
        </x:is>
      </x:c>
      <x:c r="I70" s="117" t="inlineStr">
        <x:is>
          <x:t xml:space="preserve">Accident Assistant</x:t>
        </x:is>
      </x:c>
      <x:c r="J70" s="117" t="inlineStr">
        <x:is>
          <x:t xml:space="preserve">General Kenyan driver</x:t>
        </x:is>
      </x:c>
      <x:c r="K70" s="117" t="inlineStr">
        <x:is>
          <x:t xml:space="preserve">Engagement</x:t>
        </x:is>
      </x:c>
      <x:c r="L70" s="117" t="inlineStr">
        <x:is>
          <x:t xml:space="preserve">Skit</x:t>
        </x:is>
      </x:c>
      <x:c r="M70" s="117" t="inlineStr">
        <x:is>
          <x:t xml:space="preserve">15–35 sec</x:t>
        </x:is>
      </x:c>
      <x:c r="N70" s="117" t="inlineStr">
        <x:is>
          <x:t xml:space="preserve">TikTok</x:t>
        </x:is>
      </x:c>
      <x:c r="O70" s="117" t="inlineStr">
        <x:is>
          <x:t xml:space="preserve">Instagram Reels | Facebook Reels | YouTube Shorts</x:t>
        </x:is>
      </x:c>
      <x:c r="P70" s="117" t="inlineStr">
        <x:is>
          <x:t xml:space="preserve">Relatable driver tension; make people laugh, then attach a practical Msafiri angle.</x:t>
        </x:is>
      </x:c>
      <x:c r="Q70" s="117" t="inlineStr">
        <x:is>
          <x:t xml:space="preserve">POV: everyone is shaken and nobody knows what to collect first and everyone in the car suddenly becomes a driving expert.</x:t>
        </x:is>
      </x:c>
      <x:c r="R70" s="117" t="inlineStr">
        <x:is>
          <x:t xml:space="preserve">Driver/passenger skit, quick reaction cuts, exaggerated but familiar Kenyan driving moment.</x:t>
        </x:is>
      </x:c>
      <x:c r="S70" s="117" t="inlineStr">
        <x:is>
          <x:t xml:space="preserve">Every driver knows this argument. The smart move is having better information before the argument starts.</x:t>
        </x:is>
      </x:c>
      <x:c r="T70" s="117" t="inlineStr">
        <x:is>
          <x:t xml:space="preserve">Tag the driver who does this.</x:t>
        </x:is>
      </x:c>
      <x:c r="U70" s="117" t="inlineStr">
        <x:is>
          <x:t xml:space="preserve">Phone mount; Msafiri screen-record; Mashujaa Day travel window B-roll; captions; branded end card</x:t>
        </x:is>
      </x:c>
      <x:c r="V70" s="117" t="inlineStr">
        <x:is>
          <x:t xml:space="preserve">Founder</x:t>
        </x:is>
      </x:c>
      <x:c r="W70" s="117" t="inlineStr">
        <x:is>
          <x:t xml:space="preserve">Backlog</x:t>
        </x:is>
      </x:c>
      <x:c r="X70" s="117" t="inlineStr">
        <x:is>
          <x:t xml:space="preserve">Not Started</x:t>
        </x:is>
      </x:c>
      <x:c r="Y70" s="117" t="n"/>
      <x:c r="Z70" s="118" t="n"/>
      <x:c r="AA70" s="118" t="n"/>
      <x:c r="AB70" s="118" t="n"/>
      <x:c r="AC70" s="118" t="n"/>
      <x:c r="AD70" s="118" t="n"/>
      <x:c r="AE70" s="117" t="n"/>
      <x:c r="AF70" s="122" t="inlineStr">
        <x:is>
          <x:t xml:space="preserve">Optional</x:t>
        </x:is>
      </x:c>
      <x:c r="AG70" s="117" t="inlineStr">
        <x:is>
          <x:t xml:space="preserve">Repurpose / story</x:t>
        </x:is>
      </x:c>
      <x:c r="AH70" s="113" t="n">
        <x:v>25</x:v>
      </x:c>
      <x:c r="AI70" s="114" t="n">
        <x:v>0</x:v>
      </x:c>
      <x:c r="AJ70" s="120" t="inlineStr">
        <x:is>
          <x:t xml:space="preserve"/>
        </x:is>
      </x:c>
      <x:c r="AK70" s="113" t="n">
        <x:v>0</x:v>
      </x:c>
      <x:c r="AL70" s="114" t="n">
        <x:v>0</x:v>
      </x:c>
    </x:row>
    <x:row r="71" ht="64" customHeight="1">
      <x:c r="A71" s="109" t="n">
        <x:v>46317</x:v>
      </x:c>
      <x:c r="B71" s="110" t="inlineStr">
        <x:is>
          <x:t xml:space="preserve">Thursday</x:t>
        </x:is>
      </x:c>
      <x:c r="C71" s="110" t="n">
        <x:v>67</x:v>
      </x:c>
      <x:c r="D71" s="110" t="n">
        <x:v>10</x:v>
      </x:c>
      <x:c r="E71" s="110" t="inlineStr">
        <x:is>
          <x:t xml:space="preserve">Mashujaa road heroes</x:t>
        </x:is>
      </x:c>
      <x:c r="F71" s="110" t="inlineStr">
        <x:is>
          <x:t xml:space="preserve">Mashujaa Day safe travel</x:t>
        </x:is>
      </x:c>
      <x:c r="G71" s="110" t="inlineStr">
        <x:is>
          <x:t xml:space="preserve">Founder / BTS</x:t>
        </x:is>
      </x:c>
      <x:c r="H71" s="110" t="inlineStr">
        <x:is>
          <x:t xml:space="preserve">Founder Files</x:t>
        </x:is>
      </x:c>
      <x:c r="I71" s="110" t="inlineStr">
        <x:is>
          <x:t xml:space="preserve">Accident Assistant</x:t>
        </x:is>
      </x:c>
      <x:c r="J71" s="110" t="inlineStr">
        <x:is>
          <x:t xml:space="preserve">General Kenyan driver</x:t>
        </x:is>
      </x:c>
      <x:c r="K71" s="110" t="inlineStr">
        <x:is>
          <x:t xml:space="preserve">Trust</x:t>
        </x:is>
      </x:c>
      <x:c r="L71" s="110" t="inlineStr">
        <x:is>
          <x:t xml:space="preserve">Founder-to-camera</x:t>
        </x:is>
      </x:c>
      <x:c r="M71" s="110" t="inlineStr">
        <x:is>
          <x:t xml:space="preserve">30–60 sec</x:t>
        </x:is>
      </x:c>
      <x:c r="N71" s="110" t="inlineStr">
        <x:is>
          <x:t xml:space="preserve">Instagram Reels</x:t>
        </x:is>
      </x:c>
      <x:c r="O71" s="110" t="inlineStr">
        <x:is>
          <x:t xml:space="preserve">TikTok | YouTube Shorts | LinkedIn</x:t>
        </x:is>
      </x:c>
      <x:c r="P71" s="110" t="inlineStr">
        <x:is>
          <x:t xml:space="preserve">Peter explains the product decision, tradeoff, or local insight behind the week’s feature.</x:t>
        </x:is>
      </x:c>
      <x:c r="Q71" s="110" t="inlineStr">
        <x:is>
          <x:t xml:space="preserve">Peter here — this is why we built Accident Assistant for Kenyan drivers, not just generic drivers.</x:t>
        </x:is>
      </x:c>
      <x:c r="R71" s="110" t="inlineStr">
        <x:is>
          <x:t xml:space="preserve">Peter in car or office, quick cutaways to road test, product screen and handwritten notes.</x:t>
        </x:is>
      </x:c>
      <x:c r="S71" s="110" t="inlineStr">
        <x:is>
          <x:t xml:space="preserve">The goal is not another app on your phone. The goal is a calmer, more prepared drive.</x:t>
        </x:is>
      </x:c>
      <x:c r="T71" s="110" t="inlineStr">
        <x:is>
          <x:t xml:space="preserve">Follow Msafiri as we build for Kenyan roads.</x:t>
        </x:is>
      </x:c>
      <x:c r="U71" s="110" t="inlineStr">
        <x:is>
          <x:t xml:space="preserve">Peter on-camera setup; car/office B-roll; product screen; simple lower-third</x:t>
        </x:is>
      </x:c>
      <x:c r="V71" s="110" t="inlineStr">
        <x:is>
          <x:t xml:space="preserve">Founder</x:t>
        </x:is>
      </x:c>
      <x:c r="W71" s="110" t="inlineStr">
        <x:is>
          <x:t xml:space="preserve">Draft</x:t>
        </x:is>
      </x:c>
      <x:c r="X71" s="110" t="inlineStr">
        <x:is>
          <x:t xml:space="preserve">Not Started</x:t>
        </x:is>
      </x:c>
      <x:c r="Y71" s="110" t="n"/>
      <x:c r="Z71" s="111" t="n"/>
      <x:c r="AA71" s="111" t="n"/>
      <x:c r="AB71" s="111" t="n"/>
      <x:c r="AC71" s="111" t="n"/>
      <x:c r="AD71" s="111" t="n"/>
      <x:c r="AE71" s="110" t="n"/>
      <x:c r="AF71" s="112" t="inlineStr">
        <x:is>
          <x:t xml:space="preserve">Core</x:t>
        </x:is>
      </x:c>
      <x:c r="AG71" s="110" t="inlineStr">
        <x:is>
          <x:t xml:space="preserve">Founder / education</x:t>
        </x:is>
      </x:c>
      <x:c r="AH71" s="113" t="n">
        <x:v>45</x:v>
      </x:c>
      <x:c r="AI71" s="114" t="n">
        <x:v>0</x:v>
      </x:c>
      <x:c r="AJ71" s="115" t="inlineStr">
        <x:is>
          <x:t xml:space="preserve"/>
        </x:is>
      </x:c>
      <x:c r="AK71" s="113" t="n">
        <x:v>0</x:v>
      </x:c>
      <x:c r="AL71" s="114" t="n">
        <x:v>0</x:v>
      </x:c>
    </x:row>
    <x:row r="72" ht="64" customHeight="1">
      <x:c r="A72" s="116" t="n">
        <x:v>46318</x:v>
      </x:c>
      <x:c r="B72" s="117" t="inlineStr">
        <x:is>
          <x:t xml:space="preserve">Friday</x:t>
        </x:is>
      </x:c>
      <x:c r="C72" s="117" t="n">
        <x:v>68</x:v>
      </x:c>
      <x:c r="D72" s="117" t="n">
        <x:v>10</x:v>
      </x:c>
      <x:c r="E72" s="117" t="inlineStr">
        <x:is>
          <x:t xml:space="preserve">Mashujaa road heroes</x:t>
        </x:is>
      </x:c>
      <x:c r="F72" s="117" t="inlineStr">
        <x:is>
          <x:t xml:space="preserve">Mashujaa Day safe travel</x:t>
        </x:is>
      </x:c>
      <x:c r="G72" s="117" t="inlineStr">
        <x:is>
          <x:t xml:space="preserve">Debate / Mythbusters</x:t>
        </x:is>
      </x:c>
      <x:c r="H72" s="117" t="inlineStr">
        <x:is>
          <x:t xml:space="preserve">Road Mythbusters</x:t>
        </x:is>
      </x:c>
      <x:c r="I72" s="117" t="inlineStr">
        <x:is>
          <x:t xml:space="preserve">Accident Assistant</x:t>
        </x:is>
      </x:c>
      <x:c r="J72" s="117" t="inlineStr">
        <x:is>
          <x:t xml:space="preserve">General Kenyan driver</x:t>
        </x:is>
      </x:c>
      <x:c r="K72" s="117" t="inlineStr">
        <x:is>
          <x:t xml:space="preserve">Engagement</x:t>
        </x:is>
      </x:c>
      <x:c r="L72" s="117" t="inlineStr">
        <x:is>
          <x:t xml:space="preserve">Short-form video</x:t>
        </x:is>
      </x:c>
      <x:c r="M72" s="117" t="inlineStr">
        <x:is>
          <x:t xml:space="preserve">20–45 sec</x:t>
        </x:is>
      </x:c>
      <x:c r="N72" s="117" t="inlineStr">
        <x:is>
          <x:t xml:space="preserve">TikTok</x:t>
        </x:is>
      </x:c>
      <x:c r="O72" s="117" t="inlineStr">
        <x:is>
          <x:t xml:space="preserve">Instagram Reels | YouTube Shorts | Facebook Reels</x:t>
        </x:is>
      </x:c>
      <x:c r="P72" s="117" t="inlineStr">
        <x:is>
          <x:t xml:space="preserve">Open a controlled debate while ending with responsible road-safety framing.</x:t>
        </x:is>
      </x:c>
      <x:c r="Q72" s="117" t="inlineStr">
        <x:is>
          <x:t xml:space="preserve">Hot take: most drivers think they know what to do after a crash until it happens.</x:t>
        </x:is>
      </x:c>
      <x:c r="R72" s="117" t="inlineStr">
        <x:is>
          <x:t xml:space="preserve">Split screen: claim vs reality, quick poll sticker, Peter closing with safe takeaway.</x:t>
        </x:is>
      </x:c>
      <x:c r="S72" s="117" t="inlineStr">
        <x:is>
          <x:t xml:space="preserve">Debate is useful only if it makes us better drivers. What is your honest view?</x:t>
        </x:is>
      </x:c>
      <x:c r="T72" s="117" t="inlineStr">
        <x:is>
          <x:t xml:space="preserve">Agree or disagree? Give your reason.</x:t>
        </x:is>
      </x:c>
      <x:c r="U72" s="117" t="inlineStr">
        <x:is>
          <x:t xml:space="preserve">Phone mount; Msafiri screen-record; Mashujaa Day travel window B-roll; captions; branded end card</x:t>
        </x:is>
      </x:c>
      <x:c r="V72" s="117" t="inlineStr">
        <x:is>
          <x:t xml:space="preserve">Founder</x:t>
        </x:is>
      </x:c>
      <x:c r="W72" s="117" t="inlineStr">
        <x:is>
          <x:t xml:space="preserve">Backlog</x:t>
        </x:is>
      </x:c>
      <x:c r="X72" s="117" t="inlineStr">
        <x:is>
          <x:t xml:space="preserve">Not Started</x:t>
        </x:is>
      </x:c>
      <x:c r="Y72" s="117" t="n"/>
      <x:c r="Z72" s="118" t="n"/>
      <x:c r="AA72" s="118" t="n"/>
      <x:c r="AB72" s="118" t="n"/>
      <x:c r="AC72" s="118" t="n"/>
      <x:c r="AD72" s="118" t="n"/>
      <x:c r="AE72" s="117" t="n"/>
      <x:c r="AF72" s="122" t="inlineStr">
        <x:is>
          <x:t xml:space="preserve">Optional</x:t>
        </x:is>
      </x:c>
      <x:c r="AG72" s="117" t="inlineStr">
        <x:is>
          <x:t xml:space="preserve">Community reply</x:t>
        </x:is>
      </x:c>
      <x:c r="AH72" s="113" t="n">
        <x:v>25</x:v>
      </x:c>
      <x:c r="AI72" s="114" t="n">
        <x:v>0</x:v>
      </x:c>
      <x:c r="AJ72" s="120" t="inlineStr">
        <x:is>
          <x:t xml:space="preserve"/>
        </x:is>
      </x:c>
      <x:c r="AK72" s="113" t="n">
        <x:v>0</x:v>
      </x:c>
      <x:c r="AL72" s="114" t="n">
        <x:v>0</x:v>
      </x:c>
    </x:row>
    <x:row r="73" ht="64" customHeight="1">
      <x:c r="A73" s="109" t="n">
        <x:v>46319</x:v>
      </x:c>
      <x:c r="B73" s="110" t="inlineStr">
        <x:is>
          <x:t xml:space="preserve">Saturday</x:t>
        </x:is>
      </x:c>
      <x:c r="C73" s="110" t="n">
        <x:v>69</x:v>
      </x:c>
      <x:c r="D73" s="110" t="n">
        <x:v>10</x:v>
      </x:c>
      <x:c r="E73" s="110" t="inlineStr">
        <x:is>
          <x:t xml:space="preserve">Mashujaa road heroes</x:t>
        </x:is>
      </x:c>
      <x:c r="F73" s="110" t="inlineStr">
        <x:is>
          <x:t xml:space="preserve">Mashujaa Day safe travel</x:t>
        </x:is>
      </x:c>
      <x:c r="G73" s="110" t="inlineStr">
        <x:is>
          <x:t xml:space="preserve">Community / UGC</x:t>
        </x:is>
      </x:c>
      <x:c r="H73" s="110" t="inlineStr">
        <x:is>
          <x:t xml:space="preserve">Ask a Kenyan Driver</x:t>
        </x:is>
      </x:c>
      <x:c r="I73" s="110" t="inlineStr">
        <x:is>
          <x:t xml:space="preserve">Accident Assistant</x:t>
        </x:is>
      </x:c>
      <x:c r="J73" s="110" t="inlineStr">
        <x:is>
          <x:t xml:space="preserve">General Kenyan driver</x:t>
        </x:is>
      </x:c>
      <x:c r="K73" s="110" t="inlineStr">
        <x:is>
          <x:t xml:space="preserve">Community</x:t>
        </x:is>
      </x:c>
      <x:c r="L73" s="110" t="inlineStr">
        <x:is>
          <x:t xml:space="preserve">Street Interview</x:t>
        </x:is>
      </x:c>
      <x:c r="M73" s="110" t="inlineStr">
        <x:is>
          <x:t xml:space="preserve">20–60 sec</x:t>
        </x:is>
      </x:c>
      <x:c r="N73" s="110" t="inlineStr">
        <x:is>
          <x:t xml:space="preserve">TikTok</x:t>
        </x:is>
      </x:c>
      <x:c r="O73" s="110" t="inlineStr">
        <x:is>
          <x:t xml:space="preserve">Instagram Reels | Facebook Reels | YouTube Shorts</x:t>
        </x:is>
      </x:c>
      <x:c r="P73" s="110" t="inlineStr">
        <x:is>
          <x:t xml:space="preserve">Let drivers speak; collect comments and stories that can become future episodes.</x:t>
        </x:is>
      </x:c>
      <x:c r="Q73" s="110" t="inlineStr">
        <x:is>
          <x:t xml:space="preserve">We asked drivers: what would you do first after a minor crash?</x:t>
        </x:is>
      </x:c>
      <x:c r="R73" s="110" t="inlineStr">
        <x:is>
          <x:t xml:space="preserve">Street interview, 3 fast answers, one unexpected answer, branded closing card.</x:t>
        </x:is>
      </x:c>
      <x:c r="S73" s="110" t="inlineStr">
        <x:is>
          <x:t xml:space="preserve">Kenyan drivers have stories. Msafiri wants to turn those stories into smarter road intelligence.</x:t>
        </x:is>
      </x:c>
      <x:c r="T73" s="110" t="inlineStr">
        <x:is>
          <x:t xml:space="preserve">Tell us your answer in the comments.</x:t>
        </x:is>
      </x:c>
      <x:c r="U73" s="110" t="inlineStr">
        <x:is>
          <x:t xml:space="preserve">Lapel mic; consent line; 3–5 driver answers; branded question card; subtitle template</x:t>
        </x:is>
      </x:c>
      <x:c r="V73" s="110" t="inlineStr">
        <x:is>
          <x:t xml:space="preserve">Founder</x:t>
        </x:is>
      </x:c>
      <x:c r="W73" s="110" t="inlineStr">
        <x:is>
          <x:t xml:space="preserve">Draft</x:t>
        </x:is>
      </x:c>
      <x:c r="X73" s="110" t="inlineStr">
        <x:is>
          <x:t xml:space="preserve">Not Started</x:t>
        </x:is>
      </x:c>
      <x:c r="Y73" s="110" t="n"/>
      <x:c r="Z73" s="111" t="n"/>
      <x:c r="AA73" s="111" t="n"/>
      <x:c r="AB73" s="111" t="n"/>
      <x:c r="AC73" s="111" t="n"/>
      <x:c r="AD73" s="111" t="n"/>
      <x:c r="AE73" s="110" t="n"/>
      <x:c r="AF73" s="112" t="inlineStr">
        <x:is>
          <x:t xml:space="preserve">Core</x:t>
        </x:is>
      </x:c>
      <x:c r="AG73" s="110" t="inlineStr">
        <x:is>
          <x:t xml:space="preserve">Field / community</x:t>
        </x:is>
      </x:c>
      <x:c r="AH73" s="113" t="n">
        <x:v>60</x:v>
      </x:c>
      <x:c r="AI73" s="114" t="n">
        <x:v>0</x:v>
      </x:c>
      <x:c r="AJ73" s="115" t="inlineStr">
        <x:is>
          <x:t xml:space="preserve"/>
        </x:is>
      </x:c>
      <x:c r="AK73" s="113" t="n">
        <x:v>0</x:v>
      </x:c>
      <x:c r="AL73" s="114" t="n">
        <x:v>0</x:v>
      </x:c>
    </x:row>
    <x:row r="74" ht="64" customHeight="1">
      <x:c r="A74" s="116" t="n">
        <x:v>46320</x:v>
      </x:c>
      <x:c r="B74" s="117" t="inlineStr">
        <x:is>
          <x:t xml:space="preserve">Sunday</x:t>
        </x:is>
      </x:c>
      <x:c r="C74" s="117" t="n">
        <x:v>70</x:v>
      </x:c>
      <x:c r="D74" s="117" t="n">
        <x:v>10</x:v>
      </x:c>
      <x:c r="E74" s="117" t="inlineStr">
        <x:is>
          <x:t xml:space="preserve">Mashujaa road heroes</x:t>
        </x:is>
      </x:c>
      <x:c r="F74" s="117" t="inlineStr">
        <x:is>
          <x:t xml:space="preserve">Mashujaa Day safe travel</x:t>
        </x:is>
      </x:c>
      <x:c r="G74" s="117" t="inlineStr">
        <x:is>
          <x:t xml:space="preserve">Education / Safety</x:t>
        </x:is>
      </x:c>
      <x:c r="H74" s="117" t="inlineStr">
        <x:is>
          <x:t xml:space="preserve">Before You Drive</x:t>
        </x:is>
      </x:c>
      <x:c r="I74" s="117" t="inlineStr">
        <x:is>
          <x:t xml:space="preserve">Accident Assistant</x:t>
        </x:is>
      </x:c>
      <x:c r="J74" s="117" t="inlineStr">
        <x:is>
          <x:t xml:space="preserve">General Kenyan driver</x:t>
        </x:is>
      </x:c>
      <x:c r="K74" s="117" t="inlineStr">
        <x:is>
          <x:t xml:space="preserve">Retention</x:t>
        </x:is>
      </x:c>
      <x:c r="L74" s="117" t="inlineStr">
        <x:is>
          <x:t xml:space="preserve">Checklist Reel</x:t>
        </x:is>
      </x:c>
      <x:c r="M74" s="117" t="inlineStr">
        <x:is>
          <x:t xml:space="preserve">20–45 sec</x:t>
        </x:is>
      </x:c>
      <x:c r="N74" s="117" t="inlineStr">
        <x:is>
          <x:t xml:space="preserve">Instagram Reels</x:t>
        </x:is>
      </x:c>
      <x:c r="O74" s="117" t="inlineStr">
        <x:is>
          <x:t xml:space="preserve">TikTok | YouTube Shorts | Facebook Reels | Instagram Stories</x:t>
        </x:is>
      </x:c>
      <x:c r="P74" s="117" t="inlineStr">
        <x:is>
          <x:t xml:space="preserve">A saveable checklist people can use before a real drive.</x:t>
        </x:is>
      </x:c>
      <x:c r="Q74" s="117" t="inlineStr">
        <x:is>
          <x:t xml:space="preserve">Save this mashujaa road heroes checklist before your next drive.</x:t>
        </x:is>
      </x:c>
      <x:c r="R74" s="117" t="inlineStr">
        <x:is>
          <x:t xml:space="preserve">Checklist overlay, hands-on car/phone shots, one item per beat, final saved-card frame.</x:t>
        </x:is>
      </x:c>
      <x:c r="S74" s="117" t="inlineStr">
        <x:is>
          <x:t xml:space="preserve">A good drive often starts before the engine starts. Keep this simple checklist close.</x:t>
        </x:is>
      </x:c>
      <x:c r="T74" s="117" t="inlineStr">
        <x:is>
          <x:t xml:space="preserve">Save this before your next drive.</x:t>
        </x:is>
      </x:c>
      <x:c r="U74" s="117" t="inlineStr">
        <x:is>
          <x:t xml:space="preserve">Phone mount; Msafiri screen-record; Mashujaa Day travel window B-roll; captions; branded end card</x:t>
        </x:is>
      </x:c>
      <x:c r="V74" s="117" t="inlineStr">
        <x:is>
          <x:t xml:space="preserve">Founder</x:t>
        </x:is>
      </x:c>
      <x:c r="W74" s="117" t="inlineStr">
        <x:is>
          <x:t xml:space="preserve">Backlog</x:t>
        </x:is>
      </x:c>
      <x:c r="X74" s="117" t="inlineStr">
        <x:is>
          <x:t xml:space="preserve">Not Started</x:t>
        </x:is>
      </x:c>
      <x:c r="Y74" s="117" t="n"/>
      <x:c r="Z74" s="118" t="n"/>
      <x:c r="AA74" s="118" t="n"/>
      <x:c r="AB74" s="118" t="n"/>
      <x:c r="AC74" s="118" t="n"/>
      <x:c r="AD74" s="118" t="n"/>
      <x:c r="AE74" s="117" t="n"/>
      <x:c r="AF74" s="122" t="inlineStr">
        <x:is>
          <x:t xml:space="preserve">Optional</x:t>
        </x:is>
      </x:c>
      <x:c r="AG74" s="117" t="inlineStr">
        <x:is>
          <x:t xml:space="preserve">Optional / planning</x:t>
        </x:is>
      </x:c>
      <x:c r="AH74" s="113" t="n">
        <x:v>20</x:v>
      </x:c>
      <x:c r="AI74" s="114" t="n">
        <x:v>0</x:v>
      </x:c>
      <x:c r="AJ74" s="120" t="inlineStr">
        <x:is>
          <x:t xml:space="preserve"/>
        </x:is>
      </x:c>
      <x:c r="AK74" s="113" t="n">
        <x:v>0</x:v>
      </x:c>
      <x:c r="AL74" s="114" t="n">
        <x:v>0</x:v>
      </x:c>
    </x:row>
    <x:row r="75" ht="64" customHeight="1">
      <x:c r="A75" s="109" t="n">
        <x:v>46321</x:v>
      </x:c>
      <x:c r="B75" s="110" t="inlineStr">
        <x:is>
          <x:t xml:space="preserve">Monday</x:t>
        </x:is>
      </x:c>
      <x:c r="C75" s="110" t="n">
        <x:v>71</x:v>
      </x:c>
      <x:c r="D75" s="110" t="n">
        <x:v>11</x:v>
      </x:c>
      <x:c r="E75" s="110" t="inlineStr">
        <x:is>
          <x:t xml:space="preserve">Kenyan driving myths and habits</x:t>
        </x:is>
      </x:c>
      <x:c r="F75" s="110" t="inlineStr">
        <x:is>
          <x:t xml:space="preserve">Road Mythbusters month starter</x:t>
        </x:is>
      </x:c>
      <x:c r="G75" s="110" t="inlineStr">
        <x:is>
          <x:t xml:space="preserve">Road Intelligence</x:t>
        </x:is>
      </x:c>
      <x:c r="H75" s="110" t="inlineStr">
        <x:is>
          <x:t xml:space="preserve">Msafiri Road Check</x:t>
        </x:is>
      </x:c>
      <x:c r="I75" s="110" t="inlineStr">
        <x:is>
          <x:t xml:space="preserve">Community road intelligence</x:t>
        </x:is>
      </x:c>
      <x:c r="J75" s="110" t="inlineStr">
        <x:is>
          <x:t xml:space="preserve">General Kenyan driver</x:t>
        </x:is>
      </x:c>
      <x:c r="K75" s="110" t="inlineStr">
        <x:is>
          <x:t xml:space="preserve">Awareness</x:t>
        </x:is>
      </x:c>
      <x:c r="L75" s="110" t="inlineStr">
        <x:is>
          <x:t xml:space="preserve">Hero / Reel</x:t>
        </x:is>
      </x:c>
      <x:c r="M75" s="110" t="inlineStr">
        <x:is>
          <x:t xml:space="preserve">45–90 sec</x:t>
        </x:is>
      </x:c>
      <x:c r="N75" s="110" t="inlineStr">
        <x:is>
          <x:t xml:space="preserve">TikTok</x:t>
        </x:is>
      </x:c>
      <x:c r="O75" s="110" t="inlineStr">
        <x:is>
          <x:t xml:space="preserve">Instagram Reels | YouTube Shorts | Facebook Reels | YouTube</x:t>
        </x:is>
      </x:c>
      <x:c r="P75" s="110" t="inlineStr">
        <x:is>
          <x:t xml:space="preserve">Anchor episode that turns this week’s theme into a road story people can recognize.</x:t>
        </x:is>
      </x:c>
      <x:c r="Q75" s="110" t="inlineStr">
        <x:is>
          <x:t xml:space="preserve">We tested Bypass vs city-road comparisons: what should a general kenyan driver know before driving it this week?</x:t>
        </x:is>
      </x:c>
      <x:c r="R75" s="110" t="inlineStr">
        <x:is>
          <x:t xml:space="preserve">POV drive, 3 timestamped moments, map/context overlay, quick Msafiri screen, clear payoff.</x:t>
        </x:is>
      </x:c>
      <x:c r="S75" s="110" t="inlineStr">
        <x:is>
          <x:t xml:space="preserve">Road intelligence should feel practical, not complicated. Here is what stood out on Bypass vs city-road comparisons.</x:t>
        </x:is>
      </x:c>
      <x:c r="T75" s="110" t="inlineStr">
        <x:is>
          <x:t xml:space="preserve">Tell us which road we should check next.</x:t>
        </x:is>
      </x:c>
      <x:c r="U75" s="110" t="inlineStr">
        <x:is>
          <x:t xml:space="preserve">Phone mount; Msafiri screen-record; Bypass vs city-road comparisons B-roll; captions; branded end card</x:t>
        </x:is>
      </x:c>
      <x:c r="V75" s="110" t="inlineStr">
        <x:is>
          <x:t xml:space="preserve">Founder</x:t>
        </x:is>
      </x:c>
      <x:c r="W75" s="110" t="inlineStr">
        <x:is>
          <x:t xml:space="preserve">Draft</x:t>
        </x:is>
      </x:c>
      <x:c r="X75" s="110" t="inlineStr">
        <x:is>
          <x:t xml:space="preserve">Not Started</x:t>
        </x:is>
      </x:c>
      <x:c r="Y75" s="110" t="n"/>
      <x:c r="Z75" s="111" t="n"/>
      <x:c r="AA75" s="111" t="n"/>
      <x:c r="AB75" s="111" t="n"/>
      <x:c r="AC75" s="111" t="n"/>
      <x:c r="AD75" s="111" t="n"/>
      <x:c r="AE75" s="110" t="n"/>
      <x:c r="AF75" s="112" t="inlineStr">
        <x:is>
          <x:t xml:space="preserve">Core</x:t>
        </x:is>
      </x:c>
      <x:c r="AG75" s="110" t="inlineStr">
        <x:is>
          <x:t xml:space="preserve">Field / anchor</x:t>
        </x:is>
      </x:c>
      <x:c r="AH75" s="113" t="n">
        <x:v>75</x:v>
      </x:c>
      <x:c r="AI75" s="114" t="n">
        <x:v>0</x:v>
      </x:c>
      <x:c r="AJ75" s="115" t="inlineStr">
        <x:is>
          <x:t xml:space="preserve"/>
        </x:is>
      </x:c>
      <x:c r="AK75" s="113" t="n">
        <x:v>0</x:v>
      </x:c>
      <x:c r="AL75" s="114" t="n">
        <x:v>0</x:v>
      </x:c>
    </x:row>
    <x:row r="76" ht="64" customHeight="1">
      <x:c r="A76" s="116" t="n">
        <x:v>46322</x:v>
      </x:c>
      <x:c r="B76" s="117" t="inlineStr">
        <x:is>
          <x:t xml:space="preserve">Tuesday</x:t>
        </x:is>
      </x:c>
      <x:c r="C76" s="117" t="n">
        <x:v>72</x:v>
      </x:c>
      <x:c r="D76" s="117" t="n">
        <x:v>11</x:v>
      </x:c>
      <x:c r="E76" s="117" t="inlineStr">
        <x:is>
          <x:t xml:space="preserve">Kenyan driving myths and habits</x:t>
        </x:is>
      </x:c>
      <x:c r="F76" s="117" t="inlineStr">
        <x:is>
          <x:t xml:space="preserve">Road Mythbusters month starter</x:t>
        </x:is>
      </x:c>
      <x:c r="G76" s="117" t="inlineStr">
        <x:is>
          <x:t xml:space="preserve">Product / Feature Proof</x:t>
        </x:is>
      </x:c>
      <x:c r="H76" s="117" t="inlineStr">
        <x:is>
          <x:t xml:space="preserve">Feature in the Wild</x:t>
        </x:is>
      </x:c>
      <x:c r="I76" s="117" t="inlineStr">
        <x:is>
          <x:t xml:space="preserve">Community road intelligence</x:t>
        </x:is>
      </x:c>
      <x:c r="J76" s="117" t="inlineStr">
        <x:is>
          <x:t xml:space="preserve">General Kenyan driver</x:t>
        </x:is>
      </x:c>
      <x:c r="K76" s="117" t="inlineStr">
        <x:is>
          <x:t xml:space="preserve">Feature Discovery</x:t>
        </x:is>
      </x:c>
      <x:c r="L76" s="117" t="inlineStr">
        <x:is>
          <x:t xml:space="preserve">Short-form video</x:t>
        </x:is>
      </x:c>
      <x:c r="M76" s="117" t="inlineStr">
        <x:is>
          <x:t xml:space="preserve">20–45 sec</x:t>
        </x:is>
      </x:c>
      <x:c r="N76" s="117" t="inlineStr">
        <x:is>
          <x:t xml:space="preserve">Instagram Reels</x:t>
        </x:is>
      </x:c>
      <x:c r="O76" s="117" t="inlineStr">
        <x:is>
          <x:t xml:space="preserve">TikTok | YouTube Shorts | Facebook Reels</x:t>
        </x:is>
      </x:c>
      <x:c r="P76" s="117" t="inlineStr">
        <x:is>
          <x:t xml:space="preserve">Show the feature solving one real driving moment without turning the video into an ad.</x:t>
        </x:is>
      </x:c>
      <x:c r="Q76" s="117" t="inlineStr">
        <x:is>
          <x:t xml:space="preserve">Community road intelligence only makes sense when drivers know things before official updates reach everyone; here is the 30-second version.</x:t>
        </x:is>
      </x:c>
      <x:c r="R76" s="117" t="inlineStr">
        <x:is>
          <x:t xml:space="preserve">Phone mount, screen-record, before/after comparison, one clean feature payoff.</x:t>
        </x:is>
      </x:c>
      <x:c r="S76" s="117" t="inlineStr">
        <x:is>
          <x:t xml:space="preserve">A feature is only useful if it helps in the exact moment a driver needs it.</x:t>
        </x:is>
      </x:c>
      <x:c r="T76" s="117" t="inlineStr">
        <x:is>
          <x:t xml:space="preserve">Try Msafiri on your next drive.</x:t>
        </x:is>
      </x:c>
      <x:c r="U76" s="117" t="inlineStr">
        <x:is>
          <x:t xml:space="preserve">Phone mount; Msafiri screen-record; Bypass vs city-road comparisons B-roll; captions; branded end card</x:t>
        </x:is>
      </x:c>
      <x:c r="V76" s="117" t="inlineStr">
        <x:is>
          <x:t xml:space="preserve">Founder</x:t>
        </x:is>
      </x:c>
      <x:c r="W76" s="117" t="inlineStr">
        <x:is>
          <x:t xml:space="preserve">Draft</x:t>
        </x:is>
      </x:c>
      <x:c r="X76" s="117" t="inlineStr">
        <x:is>
          <x:t xml:space="preserve">Not Started</x:t>
        </x:is>
      </x:c>
      <x:c r="Y76" s="117" t="n"/>
      <x:c r="Z76" s="118" t="n"/>
      <x:c r="AA76" s="118" t="n"/>
      <x:c r="AB76" s="118" t="n"/>
      <x:c r="AC76" s="118" t="n"/>
      <x:c r="AD76" s="118" t="n"/>
      <x:c r="AE76" s="117" t="n"/>
      <x:c r="AF76" s="119" t="inlineStr">
        <x:is>
          <x:t xml:space="preserve">Core</x:t>
        </x:is>
      </x:c>
      <x:c r="AG76" s="117" t="inlineStr">
        <x:is>
          <x:t xml:space="preserve">Screen demo</x:t>
        </x:is>
      </x:c>
      <x:c r="AH76" s="113" t="n">
        <x:v>45</x:v>
      </x:c>
      <x:c r="AI76" s="114" t="n">
        <x:v>0</x:v>
      </x:c>
      <x:c r="AJ76" s="120" t="inlineStr">
        <x:is>
          <x:t xml:space="preserve"/>
        </x:is>
      </x:c>
      <x:c r="AK76" s="113" t="n">
        <x:v>0</x:v>
      </x:c>
      <x:c r="AL76" s="114" t="n">
        <x:v>0</x:v>
      </x:c>
    </x:row>
    <x:row r="77" ht="64" customHeight="1">
      <x:c r="A77" s="109" t="n">
        <x:v>46323</x:v>
      </x:c>
      <x:c r="B77" s="110" t="inlineStr">
        <x:is>
          <x:t xml:space="preserve">Wednesday</x:t>
        </x:is>
      </x:c>
      <x:c r="C77" s="110" t="n">
        <x:v>73</x:v>
      </x:c>
      <x:c r="D77" s="110" t="n">
        <x:v>11</x:v>
      </x:c>
      <x:c r="E77" s="110" t="inlineStr">
        <x:is>
          <x:t xml:space="preserve">Kenyan driving myths and habits</x:t>
        </x:is>
      </x:c>
      <x:c r="F77" s="110" t="inlineStr">
        <x:is>
          <x:t xml:space="preserve">Road Mythbusters month starter</x:t>
        </x:is>
      </x:c>
      <x:c r="G77" s="110" t="inlineStr">
        <x:is>
          <x:t xml:space="preserve">Kenyan Driving Reality</x:t>
        </x:is>
      </x:c>
      <x:c r="H77" s="110" t="inlineStr">
        <x:is>
          <x:t xml:space="preserve">Kenyan Driver Problems</x:t>
        </x:is>
      </x:c>
      <x:c r="I77" s="110" t="inlineStr">
        <x:is>
          <x:t xml:space="preserve">Community road intelligence</x:t>
        </x:is>
      </x:c>
      <x:c r="J77" s="110" t="inlineStr">
        <x:is>
          <x:t xml:space="preserve">General Kenyan driver</x:t>
        </x:is>
      </x:c>
      <x:c r="K77" s="110" t="inlineStr">
        <x:is>
          <x:t xml:space="preserve">Engagement</x:t>
        </x:is>
      </x:c>
      <x:c r="L77" s="110" t="inlineStr">
        <x:is>
          <x:t xml:space="preserve">Skit</x:t>
        </x:is>
      </x:c>
      <x:c r="M77" s="110" t="inlineStr">
        <x:is>
          <x:t xml:space="preserve">15–35 sec</x:t>
        </x:is>
      </x:c>
      <x:c r="N77" s="110" t="inlineStr">
        <x:is>
          <x:t xml:space="preserve">TikTok</x:t>
        </x:is>
      </x:c>
      <x:c r="O77" s="110" t="inlineStr">
        <x:is>
          <x:t xml:space="preserve">Instagram Reels | Facebook Reels | YouTube Shorts</x:t>
        </x:is>
      </x:c>
      <x:c r="P77" s="110" t="inlineStr">
        <x:is>
          <x:t xml:space="preserve">Relatable driver tension; make people laugh, then attach a practical Msafiri angle.</x:t>
        </x:is>
      </x:c>
      <x:c r="Q77" s="110" t="inlineStr">
        <x:is>
          <x:t xml:space="preserve">POV: drivers know things before official updates reach everyone and everyone in the car suddenly becomes a driving expert.</x:t>
        </x:is>
      </x:c>
      <x:c r="R77" s="110" t="inlineStr">
        <x:is>
          <x:t xml:space="preserve">Driver/passenger skit, quick reaction cuts, exaggerated but familiar Kenyan driving moment.</x:t>
        </x:is>
      </x:c>
      <x:c r="S77" s="110" t="inlineStr">
        <x:is>
          <x:t xml:space="preserve">Every driver knows this argument. The smart move is having better information before the argument starts.</x:t>
        </x:is>
      </x:c>
      <x:c r="T77" s="110" t="inlineStr">
        <x:is>
          <x:t xml:space="preserve">Tag the driver who does this.</x:t>
        </x:is>
      </x:c>
      <x:c r="U77" s="110" t="inlineStr">
        <x:is>
          <x:t xml:space="preserve">Phone mount; Msafiri screen-record; Bypass vs city-road comparisons B-roll; captions; branded end card</x:t>
        </x:is>
      </x:c>
      <x:c r="V77" s="110" t="inlineStr">
        <x:is>
          <x:t xml:space="preserve">Founder</x:t>
        </x:is>
      </x:c>
      <x:c r="W77" s="110" t="inlineStr">
        <x:is>
          <x:t xml:space="preserve">Backlog</x:t>
        </x:is>
      </x:c>
      <x:c r="X77" s="110" t="inlineStr">
        <x:is>
          <x:t xml:space="preserve">Not Started</x:t>
        </x:is>
      </x:c>
      <x:c r="Y77" s="110" t="n"/>
      <x:c r="Z77" s="111" t="n"/>
      <x:c r="AA77" s="111" t="n"/>
      <x:c r="AB77" s="111" t="n"/>
      <x:c r="AC77" s="111" t="n"/>
      <x:c r="AD77" s="111" t="n"/>
      <x:c r="AE77" s="110" t="n"/>
      <x:c r="AF77" s="121" t="inlineStr">
        <x:is>
          <x:t xml:space="preserve">Optional</x:t>
        </x:is>
      </x:c>
      <x:c r="AG77" s="110" t="inlineStr">
        <x:is>
          <x:t xml:space="preserve">Repurpose / story</x:t>
        </x:is>
      </x:c>
      <x:c r="AH77" s="113" t="n">
        <x:v>25</x:v>
      </x:c>
      <x:c r="AI77" s="114" t="n">
        <x:v>0</x:v>
      </x:c>
      <x:c r="AJ77" s="115" t="inlineStr">
        <x:is>
          <x:t xml:space="preserve"/>
        </x:is>
      </x:c>
      <x:c r="AK77" s="113" t="n">
        <x:v>0</x:v>
      </x:c>
      <x:c r="AL77" s="114" t="n">
        <x:v>0</x:v>
      </x:c>
    </x:row>
    <x:row r="78" ht="64" customHeight="1">
      <x:c r="A78" s="116" t="n">
        <x:v>46324</x:v>
      </x:c>
      <x:c r="B78" s="117" t="inlineStr">
        <x:is>
          <x:t xml:space="preserve">Thursday</x:t>
        </x:is>
      </x:c>
      <x:c r="C78" s="117" t="n">
        <x:v>74</x:v>
      </x:c>
      <x:c r="D78" s="117" t="n">
        <x:v>11</x:v>
      </x:c>
      <x:c r="E78" s="117" t="inlineStr">
        <x:is>
          <x:t xml:space="preserve">Kenyan driving myths and habits</x:t>
        </x:is>
      </x:c>
      <x:c r="F78" s="117" t="inlineStr">
        <x:is>
          <x:t xml:space="preserve">Road Mythbusters month starter</x:t>
        </x:is>
      </x:c>
      <x:c r="G78" s="117" t="inlineStr">
        <x:is>
          <x:t xml:space="preserve">Founder / BTS</x:t>
        </x:is>
      </x:c>
      <x:c r="H78" s="117" t="inlineStr">
        <x:is>
          <x:t xml:space="preserve">Founder Files</x:t>
        </x:is>
      </x:c>
      <x:c r="I78" s="117" t="inlineStr">
        <x:is>
          <x:t xml:space="preserve">Community road intelligence</x:t>
        </x:is>
      </x:c>
      <x:c r="J78" s="117" t="inlineStr">
        <x:is>
          <x:t xml:space="preserve">General Kenyan driver</x:t>
        </x:is>
      </x:c>
      <x:c r="K78" s="117" t="inlineStr">
        <x:is>
          <x:t xml:space="preserve">Trust</x:t>
        </x:is>
      </x:c>
      <x:c r="L78" s="117" t="inlineStr">
        <x:is>
          <x:t xml:space="preserve">Founder-to-camera</x:t>
        </x:is>
      </x:c>
      <x:c r="M78" s="117" t="inlineStr">
        <x:is>
          <x:t xml:space="preserve">30–60 sec</x:t>
        </x:is>
      </x:c>
      <x:c r="N78" s="117" t="inlineStr">
        <x:is>
          <x:t xml:space="preserve">Instagram Reels</x:t>
        </x:is>
      </x:c>
      <x:c r="O78" s="117" t="inlineStr">
        <x:is>
          <x:t xml:space="preserve">TikTok | YouTube Shorts | LinkedIn</x:t>
        </x:is>
      </x:c>
      <x:c r="P78" s="117" t="inlineStr">
        <x:is>
          <x:t xml:space="preserve">Peter explains the product decision, tradeoff, or local insight behind the week’s feature.</x:t>
        </x:is>
      </x:c>
      <x:c r="Q78" s="117" t="inlineStr">
        <x:is>
          <x:t xml:space="preserve">Peter here — this is why we built Community road intelligence for Kenyan drivers, not just generic drivers.</x:t>
        </x:is>
      </x:c>
      <x:c r="R78" s="117" t="inlineStr">
        <x:is>
          <x:t xml:space="preserve">Peter in car or office, quick cutaways to road test, product screen and handwritten notes.</x:t>
        </x:is>
      </x:c>
      <x:c r="S78" s="117" t="inlineStr">
        <x:is>
          <x:t xml:space="preserve">The goal is not another app on your phone. The goal is a calmer, more prepared drive.</x:t>
        </x:is>
      </x:c>
      <x:c r="T78" s="117" t="inlineStr">
        <x:is>
          <x:t xml:space="preserve">Follow Msafiri as we build for Kenyan roads.</x:t>
        </x:is>
      </x:c>
      <x:c r="U78" s="117" t="inlineStr">
        <x:is>
          <x:t xml:space="preserve">Peter on-camera setup; car/office B-roll; product screen; simple lower-third</x:t>
        </x:is>
      </x:c>
      <x:c r="V78" s="117" t="inlineStr">
        <x:is>
          <x:t xml:space="preserve">Founder</x:t>
        </x:is>
      </x:c>
      <x:c r="W78" s="117" t="inlineStr">
        <x:is>
          <x:t xml:space="preserve">Draft</x:t>
        </x:is>
      </x:c>
      <x:c r="X78" s="117" t="inlineStr">
        <x:is>
          <x:t xml:space="preserve">Not Started</x:t>
        </x:is>
      </x:c>
      <x:c r="Y78" s="117" t="n"/>
      <x:c r="Z78" s="118" t="n"/>
      <x:c r="AA78" s="118" t="n"/>
      <x:c r="AB78" s="118" t="n"/>
      <x:c r="AC78" s="118" t="n"/>
      <x:c r="AD78" s="118" t="n"/>
      <x:c r="AE78" s="117" t="n"/>
      <x:c r="AF78" s="119" t="inlineStr">
        <x:is>
          <x:t xml:space="preserve">Core</x:t>
        </x:is>
      </x:c>
      <x:c r="AG78" s="117" t="inlineStr">
        <x:is>
          <x:t xml:space="preserve">Founder / education</x:t>
        </x:is>
      </x:c>
      <x:c r="AH78" s="113" t="n">
        <x:v>45</x:v>
      </x:c>
      <x:c r="AI78" s="114" t="n">
        <x:v>0</x:v>
      </x:c>
      <x:c r="AJ78" s="120" t="inlineStr">
        <x:is>
          <x:t xml:space="preserve"/>
        </x:is>
      </x:c>
      <x:c r="AK78" s="113" t="n">
        <x:v>0</x:v>
      </x:c>
      <x:c r="AL78" s="114" t="n">
        <x:v>0</x:v>
      </x:c>
    </x:row>
    <x:row r="79" ht="64" customHeight="1">
      <x:c r="A79" s="109" t="n">
        <x:v>46325</x:v>
      </x:c>
      <x:c r="B79" s="110" t="inlineStr">
        <x:is>
          <x:t xml:space="preserve">Friday</x:t>
        </x:is>
      </x:c>
      <x:c r="C79" s="110" t="n">
        <x:v>75</x:v>
      </x:c>
      <x:c r="D79" s="110" t="n">
        <x:v>11</x:v>
      </x:c>
      <x:c r="E79" s="110" t="inlineStr">
        <x:is>
          <x:t xml:space="preserve">Kenyan driving myths and habits</x:t>
        </x:is>
      </x:c>
      <x:c r="F79" s="110" t="inlineStr">
        <x:is>
          <x:t xml:space="preserve">Road Mythbusters month starter</x:t>
        </x:is>
      </x:c>
      <x:c r="G79" s="110" t="inlineStr">
        <x:is>
          <x:t xml:space="preserve">Debate / Mythbusters</x:t>
        </x:is>
      </x:c>
      <x:c r="H79" s="110" t="inlineStr">
        <x:is>
          <x:t xml:space="preserve">Road Mythbusters</x:t>
        </x:is>
      </x:c>
      <x:c r="I79" s="110" t="inlineStr">
        <x:is>
          <x:t xml:space="preserve">Community road intelligence</x:t>
        </x:is>
      </x:c>
      <x:c r="J79" s="110" t="inlineStr">
        <x:is>
          <x:t xml:space="preserve">General Kenyan driver</x:t>
        </x:is>
      </x:c>
      <x:c r="K79" s="110" t="inlineStr">
        <x:is>
          <x:t xml:space="preserve">Engagement</x:t>
        </x:is>
      </x:c>
      <x:c r="L79" s="110" t="inlineStr">
        <x:is>
          <x:t xml:space="preserve">Short-form video</x:t>
        </x:is>
      </x:c>
      <x:c r="M79" s="110" t="inlineStr">
        <x:is>
          <x:t xml:space="preserve">20–45 sec</x:t>
        </x:is>
      </x:c>
      <x:c r="N79" s="110" t="inlineStr">
        <x:is>
          <x:t xml:space="preserve">TikTok</x:t>
        </x:is>
      </x:c>
      <x:c r="O79" s="110" t="inlineStr">
        <x:is>
          <x:t xml:space="preserve">Instagram Reels | YouTube Shorts | Facebook Reels</x:t>
        </x:is>
      </x:c>
      <x:c r="P79" s="110" t="inlineStr">
        <x:is>
          <x:t xml:space="preserve">Open a controlled debate while ending with responsible road-safety framing.</x:t>
        </x:is>
      </x:c>
      <x:c r="Q79" s="110" t="inlineStr">
        <x:is>
          <x:t xml:space="preserve">Hot take: Kenyan drivers already have the best road data; it just needs structure.</x:t>
        </x:is>
      </x:c>
      <x:c r="R79" s="110" t="inlineStr">
        <x:is>
          <x:t xml:space="preserve">Split screen: claim vs reality, quick poll sticker, Peter closing with safe takeaway.</x:t>
        </x:is>
      </x:c>
      <x:c r="S79" s="110" t="inlineStr">
        <x:is>
          <x:t xml:space="preserve">Debate is useful only if it makes us better drivers. What is your honest view?</x:t>
        </x:is>
      </x:c>
      <x:c r="T79" s="110" t="inlineStr">
        <x:is>
          <x:t xml:space="preserve">Agree or disagree? Give your reason.</x:t>
        </x:is>
      </x:c>
      <x:c r="U79" s="110" t="inlineStr">
        <x:is>
          <x:t xml:space="preserve">Phone mount; Msafiri screen-record; Bypass vs city-road comparisons B-roll; captions; branded end card</x:t>
        </x:is>
      </x:c>
      <x:c r="V79" s="110" t="inlineStr">
        <x:is>
          <x:t xml:space="preserve">Founder</x:t>
        </x:is>
      </x:c>
      <x:c r="W79" s="110" t="inlineStr">
        <x:is>
          <x:t xml:space="preserve">Backlog</x:t>
        </x:is>
      </x:c>
      <x:c r="X79" s="110" t="inlineStr">
        <x:is>
          <x:t xml:space="preserve">Not Started</x:t>
        </x:is>
      </x:c>
      <x:c r="Y79" s="110" t="n"/>
      <x:c r="Z79" s="111" t="n"/>
      <x:c r="AA79" s="111" t="n"/>
      <x:c r="AB79" s="111" t="n"/>
      <x:c r="AC79" s="111" t="n"/>
      <x:c r="AD79" s="111" t="n"/>
      <x:c r="AE79" s="110" t="n"/>
      <x:c r="AF79" s="121" t="inlineStr">
        <x:is>
          <x:t xml:space="preserve">Optional</x:t>
        </x:is>
      </x:c>
      <x:c r="AG79" s="110" t="inlineStr">
        <x:is>
          <x:t xml:space="preserve">Community reply</x:t>
        </x:is>
      </x:c>
      <x:c r="AH79" s="113" t="n">
        <x:v>25</x:v>
      </x:c>
      <x:c r="AI79" s="114" t="n">
        <x:v>0</x:v>
      </x:c>
      <x:c r="AJ79" s="115" t="inlineStr">
        <x:is>
          <x:t xml:space="preserve"/>
        </x:is>
      </x:c>
      <x:c r="AK79" s="113" t="n">
        <x:v>0</x:v>
      </x:c>
      <x:c r="AL79" s="114" t="n">
        <x:v>0</x:v>
      </x:c>
    </x:row>
    <x:row r="80" ht="64" customHeight="1">
      <x:c r="A80" s="116" t="n">
        <x:v>46326</x:v>
      </x:c>
      <x:c r="B80" s="117" t="inlineStr">
        <x:is>
          <x:t xml:space="preserve">Saturday</x:t>
        </x:is>
      </x:c>
      <x:c r="C80" s="117" t="n">
        <x:v>76</x:v>
      </x:c>
      <x:c r="D80" s="117" t="n">
        <x:v>11</x:v>
      </x:c>
      <x:c r="E80" s="117" t="inlineStr">
        <x:is>
          <x:t xml:space="preserve">Kenyan driving myths and habits</x:t>
        </x:is>
      </x:c>
      <x:c r="F80" s="117" t="inlineStr">
        <x:is>
          <x:t xml:space="preserve">Road Mythbusters month starter</x:t>
        </x:is>
      </x:c>
      <x:c r="G80" s="117" t="inlineStr">
        <x:is>
          <x:t xml:space="preserve">Community / UGC</x:t>
        </x:is>
      </x:c>
      <x:c r="H80" s="117" t="inlineStr">
        <x:is>
          <x:t xml:space="preserve">Ask a Kenyan Driver</x:t>
        </x:is>
      </x:c>
      <x:c r="I80" s="117" t="inlineStr">
        <x:is>
          <x:t xml:space="preserve">Community road intelligence</x:t>
        </x:is>
      </x:c>
      <x:c r="J80" s="117" t="inlineStr">
        <x:is>
          <x:t xml:space="preserve">General Kenyan driver</x:t>
        </x:is>
      </x:c>
      <x:c r="K80" s="117" t="inlineStr">
        <x:is>
          <x:t xml:space="preserve">Community</x:t>
        </x:is>
      </x:c>
      <x:c r="L80" s="117" t="inlineStr">
        <x:is>
          <x:t xml:space="preserve">Street Interview</x:t>
        </x:is>
      </x:c>
      <x:c r="M80" s="117" t="inlineStr">
        <x:is>
          <x:t xml:space="preserve">20–60 sec</x:t>
        </x:is>
      </x:c>
      <x:c r="N80" s="117" t="inlineStr">
        <x:is>
          <x:t xml:space="preserve">TikTok</x:t>
        </x:is>
      </x:c>
      <x:c r="O80" s="117" t="inlineStr">
        <x:is>
          <x:t xml:space="preserve">Instagram Reels | Facebook Reels | YouTube Shorts</x:t>
        </x:is>
      </x:c>
      <x:c r="P80" s="117" t="inlineStr">
        <x:is>
          <x:t xml:space="preserve">Let drivers speak; collect comments and stories that can become future episodes.</x:t>
        </x:is>
      </x:c>
      <x:c r="Q80" s="117" t="inlineStr">
        <x:is>
          <x:t xml:space="preserve">We asked drivers: which road should Msafiri check next?</x:t>
        </x:is>
      </x:c>
      <x:c r="R80" s="117" t="inlineStr">
        <x:is>
          <x:t xml:space="preserve">Street interview, 3 fast answers, one unexpected answer, branded closing card.</x:t>
        </x:is>
      </x:c>
      <x:c r="S80" s="117" t="inlineStr">
        <x:is>
          <x:t xml:space="preserve">Kenyan drivers have stories. Msafiri wants to turn those stories into smarter road intelligence.</x:t>
        </x:is>
      </x:c>
      <x:c r="T80" s="117" t="inlineStr">
        <x:is>
          <x:t xml:space="preserve">Tell us your answer in the comments.</x:t>
        </x:is>
      </x:c>
      <x:c r="U80" s="117" t="inlineStr">
        <x:is>
          <x:t xml:space="preserve">Lapel mic; consent line; 3–5 driver answers; branded question card; subtitle template</x:t>
        </x:is>
      </x:c>
      <x:c r="V80" s="117" t="inlineStr">
        <x:is>
          <x:t xml:space="preserve">Founder</x:t>
        </x:is>
      </x:c>
      <x:c r="W80" s="117" t="inlineStr">
        <x:is>
          <x:t xml:space="preserve">Draft</x:t>
        </x:is>
      </x:c>
      <x:c r="X80" s="117" t="inlineStr">
        <x:is>
          <x:t xml:space="preserve">Not Started</x:t>
        </x:is>
      </x:c>
      <x:c r="Y80" s="117" t="n"/>
      <x:c r="Z80" s="118" t="n"/>
      <x:c r="AA80" s="118" t="n"/>
      <x:c r="AB80" s="118" t="n"/>
      <x:c r="AC80" s="118" t="n"/>
      <x:c r="AD80" s="118" t="n"/>
      <x:c r="AE80" s="117" t="n"/>
      <x:c r="AF80" s="119" t="inlineStr">
        <x:is>
          <x:t xml:space="preserve">Core</x:t>
        </x:is>
      </x:c>
      <x:c r="AG80" s="117" t="inlineStr">
        <x:is>
          <x:t xml:space="preserve">Field / community</x:t>
        </x:is>
      </x:c>
      <x:c r="AH80" s="113" t="n">
        <x:v>60</x:v>
      </x:c>
      <x:c r="AI80" s="114" t="n">
        <x:v>0</x:v>
      </x:c>
      <x:c r="AJ80" s="120" t="inlineStr">
        <x:is>
          <x:t xml:space="preserve"/>
        </x:is>
      </x:c>
      <x:c r="AK80" s="113" t="n">
        <x:v>0</x:v>
      </x:c>
      <x:c r="AL80" s="114" t="n">
        <x:v>0</x:v>
      </x:c>
    </x:row>
    <x:row r="81" ht="64" customHeight="1">
      <x:c r="A81" s="109" t="n">
        <x:v>46327</x:v>
      </x:c>
      <x:c r="B81" s="110" t="inlineStr">
        <x:is>
          <x:t xml:space="preserve">Sunday</x:t>
        </x:is>
      </x:c>
      <x:c r="C81" s="110" t="n">
        <x:v>77</x:v>
      </x:c>
      <x:c r="D81" s="110" t="n">
        <x:v>11</x:v>
      </x:c>
      <x:c r="E81" s="110" t="inlineStr">
        <x:is>
          <x:t xml:space="preserve">Kenyan driving myths and habits</x:t>
        </x:is>
      </x:c>
      <x:c r="F81" s="110" t="inlineStr">
        <x:is>
          <x:t xml:space="preserve">Road Mythbusters month starter</x:t>
        </x:is>
      </x:c>
      <x:c r="G81" s="110" t="inlineStr">
        <x:is>
          <x:t xml:space="preserve">Education / Safety</x:t>
        </x:is>
      </x:c>
      <x:c r="H81" s="110" t="inlineStr">
        <x:is>
          <x:t xml:space="preserve">Before You Drive</x:t>
        </x:is>
      </x:c>
      <x:c r="I81" s="110" t="inlineStr">
        <x:is>
          <x:t xml:space="preserve">Community road intelligence</x:t>
        </x:is>
      </x:c>
      <x:c r="J81" s="110" t="inlineStr">
        <x:is>
          <x:t xml:space="preserve">General Kenyan driver</x:t>
        </x:is>
      </x:c>
      <x:c r="K81" s="110" t="inlineStr">
        <x:is>
          <x:t xml:space="preserve">Retention</x:t>
        </x:is>
      </x:c>
      <x:c r="L81" s="110" t="inlineStr">
        <x:is>
          <x:t xml:space="preserve">Checklist Reel</x:t>
        </x:is>
      </x:c>
      <x:c r="M81" s="110" t="inlineStr">
        <x:is>
          <x:t xml:space="preserve">20–45 sec</x:t>
        </x:is>
      </x:c>
      <x:c r="N81" s="110" t="inlineStr">
        <x:is>
          <x:t xml:space="preserve">Instagram Reels</x:t>
        </x:is>
      </x:c>
      <x:c r="O81" s="110" t="inlineStr">
        <x:is>
          <x:t xml:space="preserve">TikTok | YouTube Shorts | Facebook Reels | Instagram Stories</x:t>
        </x:is>
      </x:c>
      <x:c r="P81" s="110" t="inlineStr">
        <x:is>
          <x:t xml:space="preserve">A saveable checklist people can use before a real drive.</x:t>
        </x:is>
      </x:c>
      <x:c r="Q81" s="110" t="inlineStr">
        <x:is>
          <x:t xml:space="preserve">Save this kenyan driving myths and habits checklist before your next drive.</x:t>
        </x:is>
      </x:c>
      <x:c r="R81" s="110" t="inlineStr">
        <x:is>
          <x:t xml:space="preserve">Checklist overlay, hands-on car/phone shots, one item per beat, final saved-card frame.</x:t>
        </x:is>
      </x:c>
      <x:c r="S81" s="110" t="inlineStr">
        <x:is>
          <x:t xml:space="preserve">A good drive often starts before the engine starts. Keep this simple checklist close.</x:t>
        </x:is>
      </x:c>
      <x:c r="T81" s="110" t="inlineStr">
        <x:is>
          <x:t xml:space="preserve">Save this before your next drive.</x:t>
        </x:is>
      </x:c>
      <x:c r="U81" s="110" t="inlineStr">
        <x:is>
          <x:t xml:space="preserve">Phone mount; Msafiri screen-record; Bypass vs city-road comparisons B-roll; captions; branded end card</x:t>
        </x:is>
      </x:c>
      <x:c r="V81" s="110" t="inlineStr">
        <x:is>
          <x:t xml:space="preserve">Founder</x:t>
        </x:is>
      </x:c>
      <x:c r="W81" s="110" t="inlineStr">
        <x:is>
          <x:t xml:space="preserve">Backlog</x:t>
        </x:is>
      </x:c>
      <x:c r="X81" s="110" t="inlineStr">
        <x:is>
          <x:t xml:space="preserve">Not Started</x:t>
        </x:is>
      </x:c>
      <x:c r="Y81" s="110" t="n"/>
      <x:c r="Z81" s="111" t="n"/>
      <x:c r="AA81" s="111" t="n"/>
      <x:c r="AB81" s="111" t="n"/>
      <x:c r="AC81" s="111" t="n"/>
      <x:c r="AD81" s="111" t="n"/>
      <x:c r="AE81" s="110" t="n"/>
      <x:c r="AF81" s="121" t="inlineStr">
        <x:is>
          <x:t xml:space="preserve">Optional</x:t>
        </x:is>
      </x:c>
      <x:c r="AG81" s="110" t="inlineStr">
        <x:is>
          <x:t xml:space="preserve">Optional / planning</x:t>
        </x:is>
      </x:c>
      <x:c r="AH81" s="113" t="n">
        <x:v>20</x:v>
      </x:c>
      <x:c r="AI81" s="114" t="n">
        <x:v>0</x:v>
      </x:c>
      <x:c r="AJ81" s="115" t="inlineStr">
        <x:is>
          <x:t xml:space="preserve"/>
        </x:is>
      </x:c>
      <x:c r="AK81" s="113" t="n">
        <x:v>0</x:v>
      </x:c>
      <x:c r="AL81" s="114" t="n">
        <x:v>0</x:v>
      </x:c>
    </x:row>
    <x:row r="82" ht="64" customHeight="1">
      <x:c r="A82" s="116" t="n">
        <x:v>46328</x:v>
      </x:c>
      <x:c r="B82" s="117" t="inlineStr">
        <x:is>
          <x:t xml:space="preserve">Monday</x:t>
        </x:is>
      </x:c>
      <x:c r="C82" s="117" t="n">
        <x:v>78</x:v>
      </x:c>
      <x:c r="D82" s="117" t="n">
        <x:v>12</x:v>
      </x:c>
      <x:c r="E82" s="117" t="inlineStr">
        <x:is>
          <x:t xml:space="preserve">Insurance evidence without panic</x:t>
        </x:is>
      </x:c>
      <x:c r="F82" s="117" t="inlineStr">
        <x:is>
          <x:t xml:space="preserve">Evidence folder week</x:t>
        </x:is>
      </x:c>
      <x:c r="G82" s="117" t="inlineStr">
        <x:is>
          <x:t xml:space="preserve">Road Intelligence</x:t>
        </x:is>
      </x:c>
      <x:c r="H82" s="117" t="inlineStr">
        <x:is>
          <x:t xml:space="preserve">Msafiri Road Check</x:t>
        </x:is>
      </x:c>
      <x:c r="I82" s="117" t="inlineStr">
        <x:is>
          <x:t xml:space="preserve">Insurance-ready reports</x:t>
        </x:is>
      </x:c>
      <x:c r="J82" s="117" t="inlineStr">
        <x:is>
          <x:t xml:space="preserve">Car owner</x:t>
        </x:is>
      </x:c>
      <x:c r="K82" s="117" t="inlineStr">
        <x:is>
          <x:t xml:space="preserve">Awareness</x:t>
        </x:is>
      </x:c>
      <x:c r="L82" s="117" t="inlineStr">
        <x:is>
          <x:t xml:space="preserve">Hero / Reel</x:t>
        </x:is>
      </x:c>
      <x:c r="M82" s="117" t="inlineStr">
        <x:is>
          <x:t xml:space="preserve">45–90 sec</x:t>
        </x:is>
      </x:c>
      <x:c r="N82" s="117" t="inlineStr">
        <x:is>
          <x:t xml:space="preserve">TikTok</x:t>
        </x:is>
      </x:c>
      <x:c r="O82" s="117" t="inlineStr">
        <x:is>
          <x:t xml:space="preserve">Instagram Reels | YouTube Shorts | Facebook Reels | YouTube</x:t>
        </x:is>
      </x:c>
      <x:c r="P82" s="117" t="inlineStr">
        <x:is>
          <x:t xml:space="preserve">Anchor episode that turns this week’s theme into a road story people can recognize.</x:t>
        </x:is>
      </x:c>
      <x:c r="Q82" s="117" t="inlineStr">
        <x:is>
          <x:t xml:space="preserve">We tested Parking lots / low-speed incident examples: what should a car owner know before driving it this week?</x:t>
        </x:is>
      </x:c>
      <x:c r="R82" s="117" t="inlineStr">
        <x:is>
          <x:t xml:space="preserve">POV drive, 3 timestamped moments, map/context overlay, quick Msafiri screen, clear payoff.</x:t>
        </x:is>
      </x:c>
      <x:c r="S82" s="117" t="inlineStr">
        <x:is>
          <x:t xml:space="preserve">Road intelligence should feel practical, not complicated. Here is what stood out on Parking lots / low-speed incident examples.</x:t>
        </x:is>
      </x:c>
      <x:c r="T82" s="117" t="inlineStr">
        <x:is>
          <x:t xml:space="preserve">Tell us which road we should check next.</x:t>
        </x:is>
      </x:c>
      <x:c r="U82" s="117" t="inlineStr">
        <x:is>
          <x:t xml:space="preserve">Phone mount; Msafiri screen-record; Parking lots / low-speed incident examples B-roll; captions; branded end card</x:t>
        </x:is>
      </x:c>
      <x:c r="V82" s="117" t="inlineStr">
        <x:is>
          <x:t xml:space="preserve">Founder</x:t>
        </x:is>
      </x:c>
      <x:c r="W82" s="117" t="inlineStr">
        <x:is>
          <x:t xml:space="preserve">Draft</x:t>
        </x:is>
      </x:c>
      <x:c r="X82" s="117" t="inlineStr">
        <x:is>
          <x:t xml:space="preserve">Not Started</x:t>
        </x:is>
      </x:c>
      <x:c r="Y82" s="117" t="n"/>
      <x:c r="Z82" s="118" t="n"/>
      <x:c r="AA82" s="118" t="n"/>
      <x:c r="AB82" s="118" t="n"/>
      <x:c r="AC82" s="118" t="n"/>
      <x:c r="AD82" s="118" t="n"/>
      <x:c r="AE82" s="117" t="n"/>
      <x:c r="AF82" s="119" t="inlineStr">
        <x:is>
          <x:t xml:space="preserve">Core</x:t>
        </x:is>
      </x:c>
      <x:c r="AG82" s="117" t="inlineStr">
        <x:is>
          <x:t xml:space="preserve">Field / anchor</x:t>
        </x:is>
      </x:c>
      <x:c r="AH82" s="113" t="n">
        <x:v>75</x:v>
      </x:c>
      <x:c r="AI82" s="114" t="n">
        <x:v>0</x:v>
      </x:c>
      <x:c r="AJ82" s="120" t="inlineStr">
        <x:is>
          <x:t xml:space="preserve"/>
        </x:is>
      </x:c>
      <x:c r="AK82" s="113" t="n">
        <x:v>0</x:v>
      </x:c>
      <x:c r="AL82" s="114" t="n">
        <x:v>0</x:v>
      </x:c>
    </x:row>
    <x:row r="83" ht="64" customHeight="1">
      <x:c r="A83" s="109" t="n">
        <x:v>46329</x:v>
      </x:c>
      <x:c r="B83" s="110" t="inlineStr">
        <x:is>
          <x:t xml:space="preserve">Tuesday</x:t>
        </x:is>
      </x:c>
      <x:c r="C83" s="110" t="n">
        <x:v>79</x:v>
      </x:c>
      <x:c r="D83" s="110" t="n">
        <x:v>12</x:v>
      </x:c>
      <x:c r="E83" s="110" t="inlineStr">
        <x:is>
          <x:t xml:space="preserve">Insurance evidence without panic</x:t>
        </x:is>
      </x:c>
      <x:c r="F83" s="110" t="inlineStr">
        <x:is>
          <x:t xml:space="preserve">Evidence folder week</x:t>
        </x:is>
      </x:c>
      <x:c r="G83" s="110" t="inlineStr">
        <x:is>
          <x:t xml:space="preserve">Product / Feature Proof</x:t>
        </x:is>
      </x:c>
      <x:c r="H83" s="110" t="inlineStr">
        <x:is>
          <x:t xml:space="preserve">Feature in the Wild</x:t>
        </x:is>
      </x:c>
      <x:c r="I83" s="110" t="inlineStr">
        <x:is>
          <x:t xml:space="preserve">Insurance-ready reports</x:t>
        </x:is>
      </x:c>
      <x:c r="J83" s="110" t="inlineStr">
        <x:is>
          <x:t xml:space="preserve">Car owner</x:t>
        </x:is>
      </x:c>
      <x:c r="K83" s="110" t="inlineStr">
        <x:is>
          <x:t xml:space="preserve">Feature Discovery</x:t>
        </x:is>
      </x:c>
      <x:c r="L83" s="110" t="inlineStr">
        <x:is>
          <x:t xml:space="preserve">Short-form video</x:t>
        </x:is>
      </x:c>
      <x:c r="M83" s="110" t="inlineStr">
        <x:is>
          <x:t xml:space="preserve">20–45 sec</x:t>
        </x:is>
      </x:c>
      <x:c r="N83" s="110" t="inlineStr">
        <x:is>
          <x:t xml:space="preserve">Instagram Reels</x:t>
        </x:is>
      </x:c>
      <x:c r="O83" s="110" t="inlineStr">
        <x:is>
          <x:t xml:space="preserve">TikTok | YouTube Shorts | Facebook Reels</x:t>
        </x:is>
      </x:c>
      <x:c r="P83" s="110" t="inlineStr">
        <x:is>
          <x:t xml:space="preserve">Show the feature solving one real driving moment without turning the video into an ad.</x:t>
        </x:is>
      </x:c>
      <x:c r="Q83" s="110" t="inlineStr">
        <x:is>
          <x:t xml:space="preserve">Insurance-ready reports only makes sense when you need clean evidence instead of scattered photos; here is the 30-second version.</x:t>
        </x:is>
      </x:c>
      <x:c r="R83" s="110" t="inlineStr">
        <x:is>
          <x:t xml:space="preserve">Phone mount, screen-record, before/after comparison, one clean feature payoff.</x:t>
        </x:is>
      </x:c>
      <x:c r="S83" s="110" t="inlineStr">
        <x:is>
          <x:t xml:space="preserve">A feature is only useful if it helps in the exact moment a driver needs it.</x:t>
        </x:is>
      </x:c>
      <x:c r="T83" s="110" t="inlineStr">
        <x:is>
          <x:t xml:space="preserve">Try Msafiri on your next drive.</x:t>
        </x:is>
      </x:c>
      <x:c r="U83" s="110" t="inlineStr">
        <x:is>
          <x:t xml:space="preserve">Phone mount; Msafiri screen-record; Parking lots / low-speed incident examples B-roll; captions; branded end card</x:t>
        </x:is>
      </x:c>
      <x:c r="V83" s="110" t="inlineStr">
        <x:is>
          <x:t xml:space="preserve">Founder</x:t>
        </x:is>
      </x:c>
      <x:c r="W83" s="110" t="inlineStr">
        <x:is>
          <x:t xml:space="preserve">Draft</x:t>
        </x:is>
      </x:c>
      <x:c r="X83" s="110" t="inlineStr">
        <x:is>
          <x:t xml:space="preserve">Not Started</x:t>
        </x:is>
      </x:c>
      <x:c r="Y83" s="110" t="n"/>
      <x:c r="Z83" s="111" t="n"/>
      <x:c r="AA83" s="111" t="n"/>
      <x:c r="AB83" s="111" t="n"/>
      <x:c r="AC83" s="111" t="n"/>
      <x:c r="AD83" s="111" t="n"/>
      <x:c r="AE83" s="110" t="n"/>
      <x:c r="AF83" s="112" t="inlineStr">
        <x:is>
          <x:t xml:space="preserve">Core</x:t>
        </x:is>
      </x:c>
      <x:c r="AG83" s="110" t="inlineStr">
        <x:is>
          <x:t xml:space="preserve">Screen demo</x:t>
        </x:is>
      </x:c>
      <x:c r="AH83" s="113" t="n">
        <x:v>45</x:v>
      </x:c>
      <x:c r="AI83" s="114" t="n">
        <x:v>0</x:v>
      </x:c>
      <x:c r="AJ83" s="115" t="inlineStr">
        <x:is>
          <x:t xml:space="preserve"/>
        </x:is>
      </x:c>
      <x:c r="AK83" s="113" t="n">
        <x:v>0</x:v>
      </x:c>
      <x:c r="AL83" s="114" t="n">
        <x:v>0</x:v>
      </x:c>
    </x:row>
    <x:row r="84" ht="64" customHeight="1">
      <x:c r="A84" s="116" t="n">
        <x:v>46330</x:v>
      </x:c>
      <x:c r="B84" s="117" t="inlineStr">
        <x:is>
          <x:t xml:space="preserve">Wednesday</x:t>
        </x:is>
      </x:c>
      <x:c r="C84" s="117" t="n">
        <x:v>80</x:v>
      </x:c>
      <x:c r="D84" s="117" t="n">
        <x:v>12</x:v>
      </x:c>
      <x:c r="E84" s="117" t="inlineStr">
        <x:is>
          <x:t xml:space="preserve">Insurance evidence without panic</x:t>
        </x:is>
      </x:c>
      <x:c r="F84" s="117" t="inlineStr">
        <x:is>
          <x:t xml:space="preserve">Evidence folder week</x:t>
        </x:is>
      </x:c>
      <x:c r="G84" s="117" t="inlineStr">
        <x:is>
          <x:t xml:space="preserve">Kenyan Driving Reality</x:t>
        </x:is>
      </x:c>
      <x:c r="H84" s="117" t="inlineStr">
        <x:is>
          <x:t xml:space="preserve">Kenyan Driver Problems</x:t>
        </x:is>
      </x:c>
      <x:c r="I84" s="117" t="inlineStr">
        <x:is>
          <x:t xml:space="preserve">Insurance-ready reports</x:t>
        </x:is>
      </x:c>
      <x:c r="J84" s="117" t="inlineStr">
        <x:is>
          <x:t xml:space="preserve">Car owner</x:t>
        </x:is>
      </x:c>
      <x:c r="K84" s="117" t="inlineStr">
        <x:is>
          <x:t xml:space="preserve">Engagement</x:t>
        </x:is>
      </x:c>
      <x:c r="L84" s="117" t="inlineStr">
        <x:is>
          <x:t xml:space="preserve">Skit</x:t>
        </x:is>
      </x:c>
      <x:c r="M84" s="117" t="inlineStr">
        <x:is>
          <x:t xml:space="preserve">15–35 sec</x:t>
        </x:is>
      </x:c>
      <x:c r="N84" s="117" t="inlineStr">
        <x:is>
          <x:t xml:space="preserve">TikTok</x:t>
        </x:is>
      </x:c>
      <x:c r="O84" s="117" t="inlineStr">
        <x:is>
          <x:t xml:space="preserve">Instagram Reels | Facebook Reels | YouTube Shorts</x:t>
        </x:is>
      </x:c>
      <x:c r="P84" s="117" t="inlineStr">
        <x:is>
          <x:t xml:space="preserve">Relatable driver tension; make people laugh, then attach a practical Msafiri angle.</x:t>
        </x:is>
      </x:c>
      <x:c r="Q84" s="117" t="inlineStr">
        <x:is>
          <x:t xml:space="preserve">POV: you need clean evidence instead of scattered photos and everyone in the car suddenly becomes a driving expert.</x:t>
        </x:is>
      </x:c>
      <x:c r="R84" s="117" t="inlineStr">
        <x:is>
          <x:t xml:space="preserve">Driver/passenger skit, quick reaction cuts, exaggerated but familiar Kenyan driving moment.</x:t>
        </x:is>
      </x:c>
      <x:c r="S84" s="117" t="inlineStr">
        <x:is>
          <x:t xml:space="preserve">Every driver knows this argument. The smart move is having better information before the argument starts.</x:t>
        </x:is>
      </x:c>
      <x:c r="T84" s="117" t="inlineStr">
        <x:is>
          <x:t xml:space="preserve">Tag the driver who does this.</x:t>
        </x:is>
      </x:c>
      <x:c r="U84" s="117" t="inlineStr">
        <x:is>
          <x:t xml:space="preserve">Phone mount; Msafiri screen-record; Parking lots / low-speed incident examples B-roll; captions; branded end card</x:t>
        </x:is>
      </x:c>
      <x:c r="V84" s="117" t="inlineStr">
        <x:is>
          <x:t xml:space="preserve">Founder</x:t>
        </x:is>
      </x:c>
      <x:c r="W84" s="117" t="inlineStr">
        <x:is>
          <x:t xml:space="preserve">Backlog</x:t>
        </x:is>
      </x:c>
      <x:c r="X84" s="117" t="inlineStr">
        <x:is>
          <x:t xml:space="preserve">Not Started</x:t>
        </x:is>
      </x:c>
      <x:c r="Y84" s="117" t="n"/>
      <x:c r="Z84" s="118" t="n"/>
      <x:c r="AA84" s="118" t="n"/>
      <x:c r="AB84" s="118" t="n"/>
      <x:c r="AC84" s="118" t="n"/>
      <x:c r="AD84" s="118" t="n"/>
      <x:c r="AE84" s="117" t="n"/>
      <x:c r="AF84" s="122" t="inlineStr">
        <x:is>
          <x:t xml:space="preserve">Optional</x:t>
        </x:is>
      </x:c>
      <x:c r="AG84" s="117" t="inlineStr">
        <x:is>
          <x:t xml:space="preserve">Repurpose / story</x:t>
        </x:is>
      </x:c>
      <x:c r="AH84" s="113" t="n">
        <x:v>25</x:v>
      </x:c>
      <x:c r="AI84" s="114" t="n">
        <x:v>0</x:v>
      </x:c>
      <x:c r="AJ84" s="120" t="inlineStr">
        <x:is>
          <x:t xml:space="preserve"/>
        </x:is>
      </x:c>
      <x:c r="AK84" s="113" t="n">
        <x:v>0</x:v>
      </x:c>
      <x:c r="AL84" s="114" t="n">
        <x:v>0</x:v>
      </x:c>
    </x:row>
    <x:row r="85" ht="64" customHeight="1">
      <x:c r="A85" s="109" t="n">
        <x:v>46331</x:v>
      </x:c>
      <x:c r="B85" s="110" t="inlineStr">
        <x:is>
          <x:t xml:space="preserve">Thursday</x:t>
        </x:is>
      </x:c>
      <x:c r="C85" s="110" t="n">
        <x:v>81</x:v>
      </x:c>
      <x:c r="D85" s="110" t="n">
        <x:v>12</x:v>
      </x:c>
      <x:c r="E85" s="110" t="inlineStr">
        <x:is>
          <x:t xml:space="preserve">Insurance evidence without panic</x:t>
        </x:is>
      </x:c>
      <x:c r="F85" s="110" t="inlineStr">
        <x:is>
          <x:t xml:space="preserve">Evidence folder week</x:t>
        </x:is>
      </x:c>
      <x:c r="G85" s="110" t="inlineStr">
        <x:is>
          <x:t xml:space="preserve">Founder / BTS</x:t>
        </x:is>
      </x:c>
      <x:c r="H85" s="110" t="inlineStr">
        <x:is>
          <x:t xml:space="preserve">Founder Files</x:t>
        </x:is>
      </x:c>
      <x:c r="I85" s="110" t="inlineStr">
        <x:is>
          <x:t xml:space="preserve">Insurance-ready reports</x:t>
        </x:is>
      </x:c>
      <x:c r="J85" s="110" t="inlineStr">
        <x:is>
          <x:t xml:space="preserve">Car owner</x:t>
        </x:is>
      </x:c>
      <x:c r="K85" s="110" t="inlineStr">
        <x:is>
          <x:t xml:space="preserve">Trust</x:t>
        </x:is>
      </x:c>
      <x:c r="L85" s="110" t="inlineStr">
        <x:is>
          <x:t xml:space="preserve">Founder-to-camera</x:t>
        </x:is>
      </x:c>
      <x:c r="M85" s="110" t="inlineStr">
        <x:is>
          <x:t xml:space="preserve">30–60 sec</x:t>
        </x:is>
      </x:c>
      <x:c r="N85" s="110" t="inlineStr">
        <x:is>
          <x:t xml:space="preserve">Instagram Reels</x:t>
        </x:is>
      </x:c>
      <x:c r="O85" s="110" t="inlineStr">
        <x:is>
          <x:t xml:space="preserve">TikTok | YouTube Shorts | LinkedIn</x:t>
        </x:is>
      </x:c>
      <x:c r="P85" s="110" t="inlineStr">
        <x:is>
          <x:t xml:space="preserve">Peter explains the product decision, tradeoff, or local insight behind the week’s feature.</x:t>
        </x:is>
      </x:c>
      <x:c r="Q85" s="110" t="inlineStr">
        <x:is>
          <x:t xml:space="preserve">Peter here — this is why we built Insurance-ready reports for Kenyan drivers, not just generic drivers.</x:t>
        </x:is>
      </x:c>
      <x:c r="R85" s="110" t="inlineStr">
        <x:is>
          <x:t xml:space="preserve">Peter in car or office, quick cutaways to road test, product screen and handwritten notes.</x:t>
        </x:is>
      </x:c>
      <x:c r="S85" s="110" t="inlineStr">
        <x:is>
          <x:t xml:space="preserve">The goal is not another app on your phone. The goal is a calmer, more prepared drive.</x:t>
        </x:is>
      </x:c>
      <x:c r="T85" s="110" t="inlineStr">
        <x:is>
          <x:t xml:space="preserve">Follow Msafiri as we build for Kenyan roads.</x:t>
        </x:is>
      </x:c>
      <x:c r="U85" s="110" t="inlineStr">
        <x:is>
          <x:t xml:space="preserve">Peter on-camera setup; car/office B-roll; product screen; simple lower-third</x:t>
        </x:is>
      </x:c>
      <x:c r="V85" s="110" t="inlineStr">
        <x:is>
          <x:t xml:space="preserve">Founder</x:t>
        </x:is>
      </x:c>
      <x:c r="W85" s="110" t="inlineStr">
        <x:is>
          <x:t xml:space="preserve">Draft</x:t>
        </x:is>
      </x:c>
      <x:c r="X85" s="110" t="inlineStr">
        <x:is>
          <x:t xml:space="preserve">Not Started</x:t>
        </x:is>
      </x:c>
      <x:c r="Y85" s="110" t="n"/>
      <x:c r="Z85" s="111" t="n"/>
      <x:c r="AA85" s="111" t="n"/>
      <x:c r="AB85" s="111" t="n"/>
      <x:c r="AC85" s="111" t="n"/>
      <x:c r="AD85" s="111" t="n"/>
      <x:c r="AE85" s="110" t="n"/>
      <x:c r="AF85" s="112" t="inlineStr">
        <x:is>
          <x:t xml:space="preserve">Core</x:t>
        </x:is>
      </x:c>
      <x:c r="AG85" s="110" t="inlineStr">
        <x:is>
          <x:t xml:space="preserve">Founder / education</x:t>
        </x:is>
      </x:c>
      <x:c r="AH85" s="113" t="n">
        <x:v>45</x:v>
      </x:c>
      <x:c r="AI85" s="114" t="n">
        <x:v>0</x:v>
      </x:c>
      <x:c r="AJ85" s="115" t="inlineStr">
        <x:is>
          <x:t xml:space="preserve"/>
        </x:is>
      </x:c>
      <x:c r="AK85" s="113" t="n">
        <x:v>0</x:v>
      </x:c>
      <x:c r="AL85" s="114" t="n">
        <x:v>0</x:v>
      </x:c>
    </x:row>
    <x:row r="86" ht="64" customHeight="1">
      <x:c r="A86" s="116" t="n">
        <x:v>46332</x:v>
      </x:c>
      <x:c r="B86" s="117" t="inlineStr">
        <x:is>
          <x:t xml:space="preserve">Friday</x:t>
        </x:is>
      </x:c>
      <x:c r="C86" s="117" t="n">
        <x:v>82</x:v>
      </x:c>
      <x:c r="D86" s="117" t="n">
        <x:v>12</x:v>
      </x:c>
      <x:c r="E86" s="117" t="inlineStr">
        <x:is>
          <x:t xml:space="preserve">Insurance evidence without panic</x:t>
        </x:is>
      </x:c>
      <x:c r="F86" s="117" t="inlineStr">
        <x:is>
          <x:t xml:space="preserve">Evidence folder week</x:t>
        </x:is>
      </x:c>
      <x:c r="G86" s="117" t="inlineStr">
        <x:is>
          <x:t xml:space="preserve">Debate / Mythbusters</x:t>
        </x:is>
      </x:c>
      <x:c r="H86" s="117" t="inlineStr">
        <x:is>
          <x:t xml:space="preserve">Road Mythbusters</x:t>
        </x:is>
      </x:c>
      <x:c r="I86" s="117" t="inlineStr">
        <x:is>
          <x:t xml:space="preserve">Insurance-ready reports</x:t>
        </x:is>
      </x:c>
      <x:c r="J86" s="117" t="inlineStr">
        <x:is>
          <x:t xml:space="preserve">Car owner</x:t>
        </x:is>
      </x:c>
      <x:c r="K86" s="117" t="inlineStr">
        <x:is>
          <x:t xml:space="preserve">Engagement</x:t>
        </x:is>
      </x:c>
      <x:c r="L86" s="117" t="inlineStr">
        <x:is>
          <x:t xml:space="preserve">Short-form video</x:t>
        </x:is>
      </x:c>
      <x:c r="M86" s="117" t="inlineStr">
        <x:is>
          <x:t xml:space="preserve">20–45 sec</x:t>
        </x:is>
      </x:c>
      <x:c r="N86" s="117" t="inlineStr">
        <x:is>
          <x:t xml:space="preserve">TikTok</x:t>
        </x:is>
      </x:c>
      <x:c r="O86" s="117" t="inlineStr">
        <x:is>
          <x:t xml:space="preserve">Instagram Reels | YouTube Shorts | Facebook Reels</x:t>
        </x:is>
      </x:c>
      <x:c r="P86" s="117" t="inlineStr">
        <x:is>
          <x:t xml:space="preserve">Open a controlled debate while ending with responsible road-safety framing.</x:t>
        </x:is>
      </x:c>
      <x:c r="Q86" s="117" t="inlineStr">
        <x:is>
          <x:t xml:space="preserve">Hot take: a clean incident report matters as much as the photos.</x:t>
        </x:is>
      </x:c>
      <x:c r="R86" s="117" t="inlineStr">
        <x:is>
          <x:t xml:space="preserve">Split screen: claim vs reality, quick poll sticker, Peter closing with safe takeaway.</x:t>
        </x:is>
      </x:c>
      <x:c r="S86" s="117" t="inlineStr">
        <x:is>
          <x:t xml:space="preserve">Debate is useful only if it makes us better drivers. What is your honest view?</x:t>
        </x:is>
      </x:c>
      <x:c r="T86" s="117" t="inlineStr">
        <x:is>
          <x:t xml:space="preserve">Agree or disagree? Give your reason.</x:t>
        </x:is>
      </x:c>
      <x:c r="U86" s="117" t="inlineStr">
        <x:is>
          <x:t xml:space="preserve">Phone mount; Msafiri screen-record; Parking lots / low-speed incident examples B-roll; captions; branded end card</x:t>
        </x:is>
      </x:c>
      <x:c r="V86" s="117" t="inlineStr">
        <x:is>
          <x:t xml:space="preserve">Founder</x:t>
        </x:is>
      </x:c>
      <x:c r="W86" s="117" t="inlineStr">
        <x:is>
          <x:t xml:space="preserve">Backlog</x:t>
        </x:is>
      </x:c>
      <x:c r="X86" s="117" t="inlineStr">
        <x:is>
          <x:t xml:space="preserve">Not Started</x:t>
        </x:is>
      </x:c>
      <x:c r="Y86" s="117" t="n"/>
      <x:c r="Z86" s="118" t="n"/>
      <x:c r="AA86" s="118" t="n"/>
      <x:c r="AB86" s="118" t="n"/>
      <x:c r="AC86" s="118" t="n"/>
      <x:c r="AD86" s="118" t="n"/>
      <x:c r="AE86" s="117" t="n"/>
      <x:c r="AF86" s="122" t="inlineStr">
        <x:is>
          <x:t xml:space="preserve">Optional</x:t>
        </x:is>
      </x:c>
      <x:c r="AG86" s="117" t="inlineStr">
        <x:is>
          <x:t xml:space="preserve">Community reply</x:t>
        </x:is>
      </x:c>
      <x:c r="AH86" s="113" t="n">
        <x:v>25</x:v>
      </x:c>
      <x:c r="AI86" s="114" t="n">
        <x:v>0</x:v>
      </x:c>
      <x:c r="AJ86" s="120" t="inlineStr">
        <x:is>
          <x:t xml:space="preserve"/>
        </x:is>
      </x:c>
      <x:c r="AK86" s="113" t="n">
        <x:v>0</x:v>
      </x:c>
      <x:c r="AL86" s="114" t="n">
        <x:v>0</x:v>
      </x:c>
    </x:row>
    <x:row r="87" ht="64" customHeight="1">
      <x:c r="A87" s="109" t="n">
        <x:v>46333</x:v>
      </x:c>
      <x:c r="B87" s="110" t="inlineStr">
        <x:is>
          <x:t xml:space="preserve">Saturday</x:t>
        </x:is>
      </x:c>
      <x:c r="C87" s="110" t="n">
        <x:v>83</x:v>
      </x:c>
      <x:c r="D87" s="110" t="n">
        <x:v>12</x:v>
      </x:c>
      <x:c r="E87" s="110" t="inlineStr">
        <x:is>
          <x:t xml:space="preserve">Insurance evidence without panic</x:t>
        </x:is>
      </x:c>
      <x:c r="F87" s="110" t="inlineStr">
        <x:is>
          <x:t xml:space="preserve">Evidence folder week</x:t>
        </x:is>
      </x:c>
      <x:c r="G87" s="110" t="inlineStr">
        <x:is>
          <x:t xml:space="preserve">Community / UGC</x:t>
        </x:is>
      </x:c>
      <x:c r="H87" s="110" t="inlineStr">
        <x:is>
          <x:t xml:space="preserve">Ask a Kenyan Driver</x:t>
        </x:is>
      </x:c>
      <x:c r="I87" s="110" t="inlineStr">
        <x:is>
          <x:t xml:space="preserve">Insurance-ready reports</x:t>
        </x:is>
      </x:c>
      <x:c r="J87" s="110" t="inlineStr">
        <x:is>
          <x:t xml:space="preserve">Car owner</x:t>
        </x:is>
      </x:c>
      <x:c r="K87" s="110" t="inlineStr">
        <x:is>
          <x:t xml:space="preserve">Community</x:t>
        </x:is>
      </x:c>
      <x:c r="L87" s="110" t="inlineStr">
        <x:is>
          <x:t xml:space="preserve">Street Interview</x:t>
        </x:is>
      </x:c>
      <x:c r="M87" s="110" t="inlineStr">
        <x:is>
          <x:t xml:space="preserve">20–60 sec</x:t>
        </x:is>
      </x:c>
      <x:c r="N87" s="110" t="inlineStr">
        <x:is>
          <x:t xml:space="preserve">TikTok</x:t>
        </x:is>
      </x:c>
      <x:c r="O87" s="110" t="inlineStr">
        <x:is>
          <x:t xml:space="preserve">Instagram Reels | Facebook Reels | YouTube Shorts</x:t>
        </x:is>
      </x:c>
      <x:c r="P87" s="110" t="inlineStr">
        <x:is>
          <x:t xml:space="preserve">Let drivers speak; collect comments and stories that can become future episodes.</x:t>
        </x:is>
      </x:c>
      <x:c r="Q87" s="110" t="inlineStr">
        <x:is>
          <x:t xml:space="preserve">We asked drivers: what proof do drivers forget to collect?</x:t>
        </x:is>
      </x:c>
      <x:c r="R87" s="110" t="inlineStr">
        <x:is>
          <x:t xml:space="preserve">Street interview, 3 fast answers, one unexpected answer, branded closing card.</x:t>
        </x:is>
      </x:c>
      <x:c r="S87" s="110" t="inlineStr">
        <x:is>
          <x:t xml:space="preserve">Kenyan drivers have stories. Msafiri wants to turn those stories into smarter road intelligence.</x:t>
        </x:is>
      </x:c>
      <x:c r="T87" s="110" t="inlineStr">
        <x:is>
          <x:t xml:space="preserve">Tell us your answer in the comments.</x:t>
        </x:is>
      </x:c>
      <x:c r="U87" s="110" t="inlineStr">
        <x:is>
          <x:t xml:space="preserve">Lapel mic; consent line; 3–5 driver answers; branded question card; subtitle template</x:t>
        </x:is>
      </x:c>
      <x:c r="V87" s="110" t="inlineStr">
        <x:is>
          <x:t xml:space="preserve">Founder</x:t>
        </x:is>
      </x:c>
      <x:c r="W87" s="110" t="inlineStr">
        <x:is>
          <x:t xml:space="preserve">Draft</x:t>
        </x:is>
      </x:c>
      <x:c r="X87" s="110" t="inlineStr">
        <x:is>
          <x:t xml:space="preserve">Not Started</x:t>
        </x:is>
      </x:c>
      <x:c r="Y87" s="110" t="n"/>
      <x:c r="Z87" s="111" t="n"/>
      <x:c r="AA87" s="111" t="n"/>
      <x:c r="AB87" s="111" t="n"/>
      <x:c r="AC87" s="111" t="n"/>
      <x:c r="AD87" s="111" t="n"/>
      <x:c r="AE87" s="110" t="n"/>
      <x:c r="AF87" s="112" t="inlineStr">
        <x:is>
          <x:t xml:space="preserve">Core</x:t>
        </x:is>
      </x:c>
      <x:c r="AG87" s="110" t="inlineStr">
        <x:is>
          <x:t xml:space="preserve">Field / community</x:t>
        </x:is>
      </x:c>
      <x:c r="AH87" s="113" t="n">
        <x:v>60</x:v>
      </x:c>
      <x:c r="AI87" s="114" t="n">
        <x:v>0</x:v>
      </x:c>
      <x:c r="AJ87" s="115" t="inlineStr">
        <x:is>
          <x:t xml:space="preserve"/>
        </x:is>
      </x:c>
      <x:c r="AK87" s="113" t="n">
        <x:v>0</x:v>
      </x:c>
      <x:c r="AL87" s="114" t="n">
        <x:v>0</x:v>
      </x:c>
    </x:row>
    <x:row r="88" ht="64" customHeight="1">
      <x:c r="A88" s="116" t="n">
        <x:v>46334</x:v>
      </x:c>
      <x:c r="B88" s="117" t="inlineStr">
        <x:is>
          <x:t xml:space="preserve">Sunday</x:t>
        </x:is>
      </x:c>
      <x:c r="C88" s="117" t="n">
        <x:v>84</x:v>
      </x:c>
      <x:c r="D88" s="117" t="n">
        <x:v>12</x:v>
      </x:c>
      <x:c r="E88" s="117" t="inlineStr">
        <x:is>
          <x:t xml:space="preserve">Insurance evidence without panic</x:t>
        </x:is>
      </x:c>
      <x:c r="F88" s="117" t="inlineStr">
        <x:is>
          <x:t xml:space="preserve">Evidence folder week</x:t>
        </x:is>
      </x:c>
      <x:c r="G88" s="117" t="inlineStr">
        <x:is>
          <x:t xml:space="preserve">Education / Safety</x:t>
        </x:is>
      </x:c>
      <x:c r="H88" s="117" t="inlineStr">
        <x:is>
          <x:t xml:space="preserve">Before You Drive</x:t>
        </x:is>
      </x:c>
      <x:c r="I88" s="117" t="inlineStr">
        <x:is>
          <x:t xml:space="preserve">Insurance-ready reports</x:t>
        </x:is>
      </x:c>
      <x:c r="J88" s="117" t="inlineStr">
        <x:is>
          <x:t xml:space="preserve">Car owner</x:t>
        </x:is>
      </x:c>
      <x:c r="K88" s="117" t="inlineStr">
        <x:is>
          <x:t xml:space="preserve">Retention</x:t>
        </x:is>
      </x:c>
      <x:c r="L88" s="117" t="inlineStr">
        <x:is>
          <x:t xml:space="preserve">Checklist Reel</x:t>
        </x:is>
      </x:c>
      <x:c r="M88" s="117" t="inlineStr">
        <x:is>
          <x:t xml:space="preserve">20–45 sec</x:t>
        </x:is>
      </x:c>
      <x:c r="N88" s="117" t="inlineStr">
        <x:is>
          <x:t xml:space="preserve">Instagram Reels</x:t>
        </x:is>
      </x:c>
      <x:c r="O88" s="117" t="inlineStr">
        <x:is>
          <x:t xml:space="preserve">TikTok | YouTube Shorts | Facebook Reels | Instagram Stories</x:t>
        </x:is>
      </x:c>
      <x:c r="P88" s="117" t="inlineStr">
        <x:is>
          <x:t xml:space="preserve">A saveable checklist people can use before a real drive.</x:t>
        </x:is>
      </x:c>
      <x:c r="Q88" s="117" t="inlineStr">
        <x:is>
          <x:t xml:space="preserve">Save this insurance evidence without panic checklist before your next drive.</x:t>
        </x:is>
      </x:c>
      <x:c r="R88" s="117" t="inlineStr">
        <x:is>
          <x:t xml:space="preserve">Checklist overlay, hands-on car/phone shots, one item per beat, final saved-card frame.</x:t>
        </x:is>
      </x:c>
      <x:c r="S88" s="117" t="inlineStr">
        <x:is>
          <x:t xml:space="preserve">A good drive often starts before the engine starts. Keep this simple checklist close.</x:t>
        </x:is>
      </x:c>
      <x:c r="T88" s="117" t="inlineStr">
        <x:is>
          <x:t xml:space="preserve">Save this before your next drive.</x:t>
        </x:is>
      </x:c>
      <x:c r="U88" s="117" t="inlineStr">
        <x:is>
          <x:t xml:space="preserve">Phone mount; Msafiri screen-record; Parking lots / low-speed incident examples B-roll; captions; branded end card</x:t>
        </x:is>
      </x:c>
      <x:c r="V88" s="117" t="inlineStr">
        <x:is>
          <x:t xml:space="preserve">Founder</x:t>
        </x:is>
      </x:c>
      <x:c r="W88" s="117" t="inlineStr">
        <x:is>
          <x:t xml:space="preserve">Backlog</x:t>
        </x:is>
      </x:c>
      <x:c r="X88" s="117" t="inlineStr">
        <x:is>
          <x:t xml:space="preserve">Not Started</x:t>
        </x:is>
      </x:c>
      <x:c r="Y88" s="117" t="n"/>
      <x:c r="Z88" s="118" t="n"/>
      <x:c r="AA88" s="118" t="n"/>
      <x:c r="AB88" s="118" t="n"/>
      <x:c r="AC88" s="118" t="n"/>
      <x:c r="AD88" s="118" t="n"/>
      <x:c r="AE88" s="117" t="n"/>
      <x:c r="AF88" s="122" t="inlineStr">
        <x:is>
          <x:t xml:space="preserve">Optional</x:t>
        </x:is>
      </x:c>
      <x:c r="AG88" s="117" t="inlineStr">
        <x:is>
          <x:t xml:space="preserve">Optional / planning</x:t>
        </x:is>
      </x:c>
      <x:c r="AH88" s="113" t="n">
        <x:v>20</x:v>
      </x:c>
      <x:c r="AI88" s="114" t="n">
        <x:v>0</x:v>
      </x:c>
      <x:c r="AJ88" s="120" t="inlineStr">
        <x:is>
          <x:t xml:space="preserve"/>
        </x:is>
      </x:c>
      <x:c r="AK88" s="113" t="n">
        <x:v>0</x:v>
      </x:c>
      <x:c r="AL88" s="114" t="n">
        <x:v>0</x:v>
      </x:c>
    </x:row>
    <x:row r="89" ht="64" customHeight="1">
      <x:c r="A89" s="109" t="n">
        <x:v>46335</x:v>
      </x:c>
      <x:c r="B89" s="110" t="inlineStr">
        <x:is>
          <x:t xml:space="preserve">Monday</x:t>
        </x:is>
      </x:c>
      <x:c r="C89" s="110" t="n">
        <x:v>85</x:v>
      </x:c>
      <x:c r="D89" s="110" t="n">
        <x:v>13</x:v>
      </x:c>
      <x:c r="E89" s="110" t="inlineStr">
        <x:is>
          <x:t xml:space="preserve">Community road check engine</x:t>
        </x:is>
      </x:c>
      <x:c r="F89" s="110" t="inlineStr">
        <x:is>
          <x:t xml:space="preserve">Tell us which road to check</x:t>
        </x:is>
      </x:c>
      <x:c r="G89" s="110" t="inlineStr">
        <x:is>
          <x:t xml:space="preserve">Road Intelligence</x:t>
        </x:is>
      </x:c>
      <x:c r="H89" s="110" t="inlineStr">
        <x:is>
          <x:t xml:space="preserve">Msafiri Road Check</x:t>
        </x:is>
      </x:c>
      <x:c r="I89" s="110" t="inlineStr">
        <x:is>
          <x:t xml:space="preserve">Community road intelligence</x:t>
        </x:is>
      </x:c>
      <x:c r="J89" s="110" t="inlineStr">
        <x:is>
          <x:t xml:space="preserve">Community / UGC</x:t>
        </x:is>
      </x:c>
      <x:c r="K89" s="110" t="inlineStr">
        <x:is>
          <x:t xml:space="preserve">Awareness</x:t>
        </x:is>
      </x:c>
      <x:c r="L89" s="110" t="inlineStr">
        <x:is>
          <x:t xml:space="preserve">Hero / Reel</x:t>
        </x:is>
      </x:c>
      <x:c r="M89" s="110" t="inlineStr">
        <x:is>
          <x:t xml:space="preserve">45–90 sec</x:t>
        </x:is>
      </x:c>
      <x:c r="N89" s="110" t="inlineStr">
        <x:is>
          <x:t xml:space="preserve">TikTok</x:t>
        </x:is>
      </x:c>
      <x:c r="O89" s="110" t="inlineStr">
        <x:is>
          <x:t xml:space="preserve">Instagram Reels | YouTube Shorts | Facebook Reels | YouTube</x:t>
        </x:is>
      </x:c>
      <x:c r="P89" s="110" t="inlineStr">
        <x:is>
          <x:t xml:space="preserve">Anchor episode that turns this week’s theme into a road story people can recognize.</x:t>
        </x:is>
      </x:c>
      <x:c r="Q89" s="110" t="inlineStr">
        <x:is>
          <x:t xml:space="preserve">We tested Audience-nominated roads: what should a community / ugc know before driving it this week?</x:t>
        </x:is>
      </x:c>
      <x:c r="R89" s="110" t="inlineStr">
        <x:is>
          <x:t xml:space="preserve">POV drive, 3 timestamped moments, map/context overlay, quick Msafiri screen, clear payoff.</x:t>
        </x:is>
      </x:c>
      <x:c r="S89" s="110" t="inlineStr">
        <x:is>
          <x:t xml:space="preserve">Road intelligence should feel practical, not complicated. Here is what stood out on Audience-nominated roads.</x:t>
        </x:is>
      </x:c>
      <x:c r="T89" s="110" t="inlineStr">
        <x:is>
          <x:t xml:space="preserve">Tell us which road we should check next.</x:t>
        </x:is>
      </x:c>
      <x:c r="U89" s="110" t="inlineStr">
        <x:is>
          <x:t xml:space="preserve">Phone mount; Msafiri screen-record; Audience-nominated roads B-roll; captions; branded end card</x:t>
        </x:is>
      </x:c>
      <x:c r="V89" s="110" t="inlineStr">
        <x:is>
          <x:t xml:space="preserve">Founder</x:t>
        </x:is>
      </x:c>
      <x:c r="W89" s="110" t="inlineStr">
        <x:is>
          <x:t xml:space="preserve">Draft</x:t>
        </x:is>
      </x:c>
      <x:c r="X89" s="110" t="inlineStr">
        <x:is>
          <x:t xml:space="preserve">Not Started</x:t>
        </x:is>
      </x:c>
      <x:c r="Y89" s="110" t="n"/>
      <x:c r="Z89" s="111" t="n"/>
      <x:c r="AA89" s="111" t="n"/>
      <x:c r="AB89" s="111" t="n"/>
      <x:c r="AC89" s="111" t="n"/>
      <x:c r="AD89" s="111" t="n"/>
      <x:c r="AE89" s="110" t="n"/>
      <x:c r="AF89" s="112" t="inlineStr">
        <x:is>
          <x:t xml:space="preserve">Core</x:t>
        </x:is>
      </x:c>
      <x:c r="AG89" s="110" t="inlineStr">
        <x:is>
          <x:t xml:space="preserve">Field / anchor</x:t>
        </x:is>
      </x:c>
      <x:c r="AH89" s="113" t="n">
        <x:v>75</x:v>
      </x:c>
      <x:c r="AI89" s="114" t="n">
        <x:v>0</x:v>
      </x:c>
      <x:c r="AJ89" s="115" t="inlineStr">
        <x:is>
          <x:t xml:space="preserve"/>
        </x:is>
      </x:c>
      <x:c r="AK89" s="113" t="n">
        <x:v>0</x:v>
      </x:c>
      <x:c r="AL89" s="114" t="n">
        <x:v>0</x:v>
      </x:c>
    </x:row>
    <x:row r="90" ht="64" customHeight="1">
      <x:c r="A90" s="116" t="n">
        <x:v>46336</x:v>
      </x:c>
      <x:c r="B90" s="117" t="inlineStr">
        <x:is>
          <x:t xml:space="preserve">Tuesday</x:t>
        </x:is>
      </x:c>
      <x:c r="C90" s="117" t="n">
        <x:v>86</x:v>
      </x:c>
      <x:c r="D90" s="117" t="n">
        <x:v>13</x:v>
      </x:c>
      <x:c r="E90" s="117" t="inlineStr">
        <x:is>
          <x:t xml:space="preserve">Community road check engine</x:t>
        </x:is>
      </x:c>
      <x:c r="F90" s="117" t="inlineStr">
        <x:is>
          <x:t xml:space="preserve">Tell us which road to check</x:t>
        </x:is>
      </x:c>
      <x:c r="G90" s="117" t="inlineStr">
        <x:is>
          <x:t xml:space="preserve">Product / Feature Proof</x:t>
        </x:is>
      </x:c>
      <x:c r="H90" s="117" t="inlineStr">
        <x:is>
          <x:t xml:space="preserve">Feature in the Wild</x:t>
        </x:is>
      </x:c>
      <x:c r="I90" s="117" t="inlineStr">
        <x:is>
          <x:t xml:space="preserve">Community road intelligence</x:t>
        </x:is>
      </x:c>
      <x:c r="J90" s="117" t="inlineStr">
        <x:is>
          <x:t xml:space="preserve">Community / UGC</x:t>
        </x:is>
      </x:c>
      <x:c r="K90" s="117" t="inlineStr">
        <x:is>
          <x:t xml:space="preserve">Feature Discovery</x:t>
        </x:is>
      </x:c>
      <x:c r="L90" s="117" t="inlineStr">
        <x:is>
          <x:t xml:space="preserve">Short-form video</x:t>
        </x:is>
      </x:c>
      <x:c r="M90" s="117" t="inlineStr">
        <x:is>
          <x:t xml:space="preserve">20–45 sec</x:t>
        </x:is>
      </x:c>
      <x:c r="N90" s="117" t="inlineStr">
        <x:is>
          <x:t xml:space="preserve">Instagram Reels</x:t>
        </x:is>
      </x:c>
      <x:c r="O90" s="117" t="inlineStr">
        <x:is>
          <x:t xml:space="preserve">TikTok | YouTube Shorts | Facebook Reels</x:t>
        </x:is>
      </x:c>
      <x:c r="P90" s="117" t="inlineStr">
        <x:is>
          <x:t xml:space="preserve">Show the feature solving one real driving moment without turning the video into an ad.</x:t>
        </x:is>
      </x:c>
      <x:c r="Q90" s="117" t="inlineStr">
        <x:is>
          <x:t xml:space="preserve">Community road intelligence only makes sense when drivers know things before official updates reach everyone; here is the 30-second version.</x:t>
        </x:is>
      </x:c>
      <x:c r="R90" s="117" t="inlineStr">
        <x:is>
          <x:t xml:space="preserve">Phone mount, screen-record, before/after comparison, one clean feature payoff.</x:t>
        </x:is>
      </x:c>
      <x:c r="S90" s="117" t="inlineStr">
        <x:is>
          <x:t xml:space="preserve">A feature is only useful if it helps in the exact moment a driver needs it.</x:t>
        </x:is>
      </x:c>
      <x:c r="T90" s="117" t="inlineStr">
        <x:is>
          <x:t xml:space="preserve">Try Msafiri on your next drive.</x:t>
        </x:is>
      </x:c>
      <x:c r="U90" s="117" t="inlineStr">
        <x:is>
          <x:t xml:space="preserve">Phone mount; Msafiri screen-record; Audience-nominated roads B-roll; captions; branded end card</x:t>
        </x:is>
      </x:c>
      <x:c r="V90" s="117" t="inlineStr">
        <x:is>
          <x:t xml:space="preserve">Founder</x:t>
        </x:is>
      </x:c>
      <x:c r="W90" s="117" t="inlineStr">
        <x:is>
          <x:t xml:space="preserve">Draft</x:t>
        </x:is>
      </x:c>
      <x:c r="X90" s="117" t="inlineStr">
        <x:is>
          <x:t xml:space="preserve">Not Started</x:t>
        </x:is>
      </x:c>
      <x:c r="Y90" s="117" t="n"/>
      <x:c r="Z90" s="118" t="n"/>
      <x:c r="AA90" s="118" t="n"/>
      <x:c r="AB90" s="118" t="n"/>
      <x:c r="AC90" s="118" t="n"/>
      <x:c r="AD90" s="118" t="n"/>
      <x:c r="AE90" s="117" t="n"/>
      <x:c r="AF90" s="119" t="inlineStr">
        <x:is>
          <x:t xml:space="preserve">Core</x:t>
        </x:is>
      </x:c>
      <x:c r="AG90" s="117" t="inlineStr">
        <x:is>
          <x:t xml:space="preserve">Screen demo</x:t>
        </x:is>
      </x:c>
      <x:c r="AH90" s="113" t="n">
        <x:v>45</x:v>
      </x:c>
      <x:c r="AI90" s="114" t="n">
        <x:v>0</x:v>
      </x:c>
      <x:c r="AJ90" s="120" t="inlineStr">
        <x:is>
          <x:t xml:space="preserve"/>
        </x:is>
      </x:c>
      <x:c r="AK90" s="113" t="n">
        <x:v>0</x:v>
      </x:c>
      <x:c r="AL90" s="114" t="n">
        <x:v>0</x:v>
      </x:c>
    </x:row>
    <x:row r="91" ht="64" customHeight="1">
      <x:c r="A91" s="109" t="n">
        <x:v>46337</x:v>
      </x:c>
      <x:c r="B91" s="110" t="inlineStr">
        <x:is>
          <x:t xml:space="preserve">Wednesday</x:t>
        </x:is>
      </x:c>
      <x:c r="C91" s="110" t="n">
        <x:v>87</x:v>
      </x:c>
      <x:c r="D91" s="110" t="n">
        <x:v>13</x:v>
      </x:c>
      <x:c r="E91" s="110" t="inlineStr">
        <x:is>
          <x:t xml:space="preserve">Community road check engine</x:t>
        </x:is>
      </x:c>
      <x:c r="F91" s="110" t="inlineStr">
        <x:is>
          <x:t xml:space="preserve">Tell us which road to check</x:t>
        </x:is>
      </x:c>
      <x:c r="G91" s="110" t="inlineStr">
        <x:is>
          <x:t xml:space="preserve">Kenyan Driving Reality</x:t>
        </x:is>
      </x:c>
      <x:c r="H91" s="110" t="inlineStr">
        <x:is>
          <x:t xml:space="preserve">Kenyan Driver Problems</x:t>
        </x:is>
      </x:c>
      <x:c r="I91" s="110" t="inlineStr">
        <x:is>
          <x:t xml:space="preserve">Community road intelligence</x:t>
        </x:is>
      </x:c>
      <x:c r="J91" s="110" t="inlineStr">
        <x:is>
          <x:t xml:space="preserve">Community / UGC</x:t>
        </x:is>
      </x:c>
      <x:c r="K91" s="110" t="inlineStr">
        <x:is>
          <x:t xml:space="preserve">Engagement</x:t>
        </x:is>
      </x:c>
      <x:c r="L91" s="110" t="inlineStr">
        <x:is>
          <x:t xml:space="preserve">Skit</x:t>
        </x:is>
      </x:c>
      <x:c r="M91" s="110" t="inlineStr">
        <x:is>
          <x:t xml:space="preserve">15–35 sec</x:t>
        </x:is>
      </x:c>
      <x:c r="N91" s="110" t="inlineStr">
        <x:is>
          <x:t xml:space="preserve">TikTok</x:t>
        </x:is>
      </x:c>
      <x:c r="O91" s="110" t="inlineStr">
        <x:is>
          <x:t xml:space="preserve">Instagram Reels | Facebook Reels | YouTube Shorts</x:t>
        </x:is>
      </x:c>
      <x:c r="P91" s="110" t="inlineStr">
        <x:is>
          <x:t xml:space="preserve">Relatable driver tension; make people laugh, then attach a practical Msafiri angle.</x:t>
        </x:is>
      </x:c>
      <x:c r="Q91" s="110" t="inlineStr">
        <x:is>
          <x:t xml:space="preserve">POV: drivers know things before official updates reach everyone and everyone in the car suddenly becomes a driving expert.</x:t>
        </x:is>
      </x:c>
      <x:c r="R91" s="110" t="inlineStr">
        <x:is>
          <x:t xml:space="preserve">Driver/passenger skit, quick reaction cuts, exaggerated but familiar Kenyan driving moment.</x:t>
        </x:is>
      </x:c>
      <x:c r="S91" s="110" t="inlineStr">
        <x:is>
          <x:t xml:space="preserve">Every driver knows this argument. The smart move is having better information before the argument starts.</x:t>
        </x:is>
      </x:c>
      <x:c r="T91" s="110" t="inlineStr">
        <x:is>
          <x:t xml:space="preserve">Tag the driver who does this.</x:t>
        </x:is>
      </x:c>
      <x:c r="U91" s="110" t="inlineStr">
        <x:is>
          <x:t xml:space="preserve">Phone mount; Msafiri screen-record; Audience-nominated roads B-roll; captions; branded end card</x:t>
        </x:is>
      </x:c>
      <x:c r="V91" s="110" t="inlineStr">
        <x:is>
          <x:t xml:space="preserve">Founder</x:t>
        </x:is>
      </x:c>
      <x:c r="W91" s="110" t="inlineStr">
        <x:is>
          <x:t xml:space="preserve">Backlog</x:t>
        </x:is>
      </x:c>
      <x:c r="X91" s="110" t="inlineStr">
        <x:is>
          <x:t xml:space="preserve">Not Started</x:t>
        </x:is>
      </x:c>
      <x:c r="Y91" s="110" t="n"/>
      <x:c r="Z91" s="111" t="n"/>
      <x:c r="AA91" s="111" t="n"/>
      <x:c r="AB91" s="111" t="n"/>
      <x:c r="AC91" s="111" t="n"/>
      <x:c r="AD91" s="111" t="n"/>
      <x:c r="AE91" s="110" t="n"/>
      <x:c r="AF91" s="121" t="inlineStr">
        <x:is>
          <x:t xml:space="preserve">Optional</x:t>
        </x:is>
      </x:c>
      <x:c r="AG91" s="110" t="inlineStr">
        <x:is>
          <x:t xml:space="preserve">Repurpose / story</x:t>
        </x:is>
      </x:c>
      <x:c r="AH91" s="113" t="n">
        <x:v>25</x:v>
      </x:c>
      <x:c r="AI91" s="114" t="n">
        <x:v>0</x:v>
      </x:c>
      <x:c r="AJ91" s="115" t="inlineStr">
        <x:is>
          <x:t xml:space="preserve"/>
        </x:is>
      </x:c>
      <x:c r="AK91" s="113" t="n">
        <x:v>0</x:v>
      </x:c>
      <x:c r="AL91" s="114" t="n">
        <x:v>0</x:v>
      </x:c>
    </x:row>
    <x:row r="92" ht="64" customHeight="1">
      <x:c r="A92" s="116" t="n">
        <x:v>46338</x:v>
      </x:c>
      <x:c r="B92" s="117" t="inlineStr">
        <x:is>
          <x:t xml:space="preserve">Thursday</x:t>
        </x:is>
      </x:c>
      <x:c r="C92" s="117" t="n">
        <x:v>88</x:v>
      </x:c>
      <x:c r="D92" s="117" t="n">
        <x:v>13</x:v>
      </x:c>
      <x:c r="E92" s="117" t="inlineStr">
        <x:is>
          <x:t xml:space="preserve">Community road check engine</x:t>
        </x:is>
      </x:c>
      <x:c r="F92" s="117" t="inlineStr">
        <x:is>
          <x:t xml:space="preserve">Tell us which road to check</x:t>
        </x:is>
      </x:c>
      <x:c r="G92" s="117" t="inlineStr">
        <x:is>
          <x:t xml:space="preserve">Founder / BTS</x:t>
        </x:is>
      </x:c>
      <x:c r="H92" s="117" t="inlineStr">
        <x:is>
          <x:t xml:space="preserve">Founder Files</x:t>
        </x:is>
      </x:c>
      <x:c r="I92" s="117" t="inlineStr">
        <x:is>
          <x:t xml:space="preserve">Community road intelligence</x:t>
        </x:is>
      </x:c>
      <x:c r="J92" s="117" t="inlineStr">
        <x:is>
          <x:t xml:space="preserve">Community / UGC</x:t>
        </x:is>
      </x:c>
      <x:c r="K92" s="117" t="inlineStr">
        <x:is>
          <x:t xml:space="preserve">Trust</x:t>
        </x:is>
      </x:c>
      <x:c r="L92" s="117" t="inlineStr">
        <x:is>
          <x:t xml:space="preserve">Founder-to-camera</x:t>
        </x:is>
      </x:c>
      <x:c r="M92" s="117" t="inlineStr">
        <x:is>
          <x:t xml:space="preserve">30–60 sec</x:t>
        </x:is>
      </x:c>
      <x:c r="N92" s="117" t="inlineStr">
        <x:is>
          <x:t xml:space="preserve">Instagram Reels</x:t>
        </x:is>
      </x:c>
      <x:c r="O92" s="117" t="inlineStr">
        <x:is>
          <x:t xml:space="preserve">TikTok | YouTube Shorts | LinkedIn</x:t>
        </x:is>
      </x:c>
      <x:c r="P92" s="117" t="inlineStr">
        <x:is>
          <x:t xml:space="preserve">Peter explains the product decision, tradeoff, or local insight behind the week’s feature.</x:t>
        </x:is>
      </x:c>
      <x:c r="Q92" s="117" t="inlineStr">
        <x:is>
          <x:t xml:space="preserve">Peter here — this is why we built Community road intelligence for Kenyan drivers, not just generic drivers.</x:t>
        </x:is>
      </x:c>
      <x:c r="R92" s="117" t="inlineStr">
        <x:is>
          <x:t xml:space="preserve">Peter in car or office, quick cutaways to road test, product screen and handwritten notes.</x:t>
        </x:is>
      </x:c>
      <x:c r="S92" s="117" t="inlineStr">
        <x:is>
          <x:t xml:space="preserve">The goal is not another app on your phone. The goal is a calmer, more prepared drive.</x:t>
        </x:is>
      </x:c>
      <x:c r="T92" s="117" t="inlineStr">
        <x:is>
          <x:t xml:space="preserve">Follow Msafiri as we build for Kenyan roads.</x:t>
        </x:is>
      </x:c>
      <x:c r="U92" s="117" t="inlineStr">
        <x:is>
          <x:t xml:space="preserve">Peter on-camera setup; car/office B-roll; product screen; simple lower-third</x:t>
        </x:is>
      </x:c>
      <x:c r="V92" s="117" t="inlineStr">
        <x:is>
          <x:t xml:space="preserve">Founder</x:t>
        </x:is>
      </x:c>
      <x:c r="W92" s="117" t="inlineStr">
        <x:is>
          <x:t xml:space="preserve">Draft</x:t>
        </x:is>
      </x:c>
      <x:c r="X92" s="117" t="inlineStr">
        <x:is>
          <x:t xml:space="preserve">Not Started</x:t>
        </x:is>
      </x:c>
      <x:c r="Y92" s="117" t="n"/>
      <x:c r="Z92" s="118" t="n"/>
      <x:c r="AA92" s="118" t="n"/>
      <x:c r="AB92" s="118" t="n"/>
      <x:c r="AC92" s="118" t="n"/>
      <x:c r="AD92" s="118" t="n"/>
      <x:c r="AE92" s="117" t="n"/>
      <x:c r="AF92" s="119" t="inlineStr">
        <x:is>
          <x:t xml:space="preserve">Core</x:t>
        </x:is>
      </x:c>
      <x:c r="AG92" s="117" t="inlineStr">
        <x:is>
          <x:t xml:space="preserve">Founder / education</x:t>
        </x:is>
      </x:c>
      <x:c r="AH92" s="113" t="n">
        <x:v>45</x:v>
      </x:c>
      <x:c r="AI92" s="114" t="n">
        <x:v>0</x:v>
      </x:c>
      <x:c r="AJ92" s="120" t="inlineStr">
        <x:is>
          <x:t xml:space="preserve"/>
        </x:is>
      </x:c>
      <x:c r="AK92" s="113" t="n">
        <x:v>0</x:v>
      </x:c>
      <x:c r="AL92" s="114" t="n">
        <x:v>0</x:v>
      </x:c>
    </x:row>
    <x:row r="93" ht="64" customHeight="1">
      <x:c r="A93" s="109" t="n">
        <x:v>46339</x:v>
      </x:c>
      <x:c r="B93" s="110" t="inlineStr">
        <x:is>
          <x:t xml:space="preserve">Friday</x:t>
        </x:is>
      </x:c>
      <x:c r="C93" s="110" t="n">
        <x:v>89</x:v>
      </x:c>
      <x:c r="D93" s="110" t="n">
        <x:v>13</x:v>
      </x:c>
      <x:c r="E93" s="110" t="inlineStr">
        <x:is>
          <x:t xml:space="preserve">Community road check engine</x:t>
        </x:is>
      </x:c>
      <x:c r="F93" s="110" t="inlineStr">
        <x:is>
          <x:t xml:space="preserve">Tell us which road to check</x:t>
        </x:is>
      </x:c>
      <x:c r="G93" s="110" t="inlineStr">
        <x:is>
          <x:t xml:space="preserve">Debate / Mythbusters</x:t>
        </x:is>
      </x:c>
      <x:c r="H93" s="110" t="inlineStr">
        <x:is>
          <x:t xml:space="preserve">Road Mythbusters</x:t>
        </x:is>
      </x:c>
      <x:c r="I93" s="110" t="inlineStr">
        <x:is>
          <x:t xml:space="preserve">Community road intelligence</x:t>
        </x:is>
      </x:c>
      <x:c r="J93" s="110" t="inlineStr">
        <x:is>
          <x:t xml:space="preserve">Community / UGC</x:t>
        </x:is>
      </x:c>
      <x:c r="K93" s="110" t="inlineStr">
        <x:is>
          <x:t xml:space="preserve">Engagement</x:t>
        </x:is>
      </x:c>
      <x:c r="L93" s="110" t="inlineStr">
        <x:is>
          <x:t xml:space="preserve">Short-form video</x:t>
        </x:is>
      </x:c>
      <x:c r="M93" s="110" t="inlineStr">
        <x:is>
          <x:t xml:space="preserve">20–45 sec</x:t>
        </x:is>
      </x:c>
      <x:c r="N93" s="110" t="inlineStr">
        <x:is>
          <x:t xml:space="preserve">TikTok</x:t>
        </x:is>
      </x:c>
      <x:c r="O93" s="110" t="inlineStr">
        <x:is>
          <x:t xml:space="preserve">Instagram Reels | YouTube Shorts | Facebook Reels</x:t>
        </x:is>
      </x:c>
      <x:c r="P93" s="110" t="inlineStr">
        <x:is>
          <x:t xml:space="preserve">Open a controlled debate while ending with responsible road-safety framing.</x:t>
        </x:is>
      </x:c>
      <x:c r="Q93" s="110" t="inlineStr">
        <x:is>
          <x:t xml:space="preserve">Hot take: Kenyan drivers already have the best road data; it just needs structure.</x:t>
        </x:is>
      </x:c>
      <x:c r="R93" s="110" t="inlineStr">
        <x:is>
          <x:t xml:space="preserve">Split screen: claim vs reality, quick poll sticker, Peter closing with safe takeaway.</x:t>
        </x:is>
      </x:c>
      <x:c r="S93" s="110" t="inlineStr">
        <x:is>
          <x:t xml:space="preserve">Debate is useful only if it makes us better drivers. What is your honest view?</x:t>
        </x:is>
      </x:c>
      <x:c r="T93" s="110" t="inlineStr">
        <x:is>
          <x:t xml:space="preserve">Agree or disagree? Give your reason.</x:t>
        </x:is>
      </x:c>
      <x:c r="U93" s="110" t="inlineStr">
        <x:is>
          <x:t xml:space="preserve">Phone mount; Msafiri screen-record; Audience-nominated roads B-roll; captions; branded end card</x:t>
        </x:is>
      </x:c>
      <x:c r="V93" s="110" t="inlineStr">
        <x:is>
          <x:t xml:space="preserve">Founder</x:t>
        </x:is>
      </x:c>
      <x:c r="W93" s="110" t="inlineStr">
        <x:is>
          <x:t xml:space="preserve">Backlog</x:t>
        </x:is>
      </x:c>
      <x:c r="X93" s="110" t="inlineStr">
        <x:is>
          <x:t xml:space="preserve">Not Started</x:t>
        </x:is>
      </x:c>
      <x:c r="Y93" s="110" t="n"/>
      <x:c r="Z93" s="111" t="n"/>
      <x:c r="AA93" s="111" t="n"/>
      <x:c r="AB93" s="111" t="n"/>
      <x:c r="AC93" s="111" t="n"/>
      <x:c r="AD93" s="111" t="n"/>
      <x:c r="AE93" s="110" t="n"/>
      <x:c r="AF93" s="121" t="inlineStr">
        <x:is>
          <x:t xml:space="preserve">Optional</x:t>
        </x:is>
      </x:c>
      <x:c r="AG93" s="110" t="inlineStr">
        <x:is>
          <x:t xml:space="preserve">Community reply</x:t>
        </x:is>
      </x:c>
      <x:c r="AH93" s="113" t="n">
        <x:v>25</x:v>
      </x:c>
      <x:c r="AI93" s="114" t="n">
        <x:v>0</x:v>
      </x:c>
      <x:c r="AJ93" s="115" t="inlineStr">
        <x:is>
          <x:t xml:space="preserve"/>
        </x:is>
      </x:c>
      <x:c r="AK93" s="113" t="n">
        <x:v>0</x:v>
      </x:c>
      <x:c r="AL93" s="114" t="n">
        <x:v>0</x:v>
      </x:c>
    </x:row>
    <x:row r="94" ht="64" customHeight="1">
      <x:c r="A94" s="116" t="n">
        <x:v>46340</x:v>
      </x:c>
      <x:c r="B94" s="117" t="inlineStr">
        <x:is>
          <x:t xml:space="preserve">Saturday</x:t>
        </x:is>
      </x:c>
      <x:c r="C94" s="117" t="n">
        <x:v>90</x:v>
      </x:c>
      <x:c r="D94" s="117" t="n">
        <x:v>13</x:v>
      </x:c>
      <x:c r="E94" s="117" t="inlineStr">
        <x:is>
          <x:t xml:space="preserve">Community road check engine</x:t>
        </x:is>
      </x:c>
      <x:c r="F94" s="117" t="inlineStr">
        <x:is>
          <x:t xml:space="preserve">Tell us which road to check</x:t>
        </x:is>
      </x:c>
      <x:c r="G94" s="117" t="inlineStr">
        <x:is>
          <x:t xml:space="preserve">Community / UGC</x:t>
        </x:is>
      </x:c>
      <x:c r="H94" s="117" t="inlineStr">
        <x:is>
          <x:t xml:space="preserve">Ask a Kenyan Driver</x:t>
        </x:is>
      </x:c>
      <x:c r="I94" s="117" t="inlineStr">
        <x:is>
          <x:t xml:space="preserve">Community road intelligence</x:t>
        </x:is>
      </x:c>
      <x:c r="J94" s="117" t="inlineStr">
        <x:is>
          <x:t xml:space="preserve">Community / UGC</x:t>
        </x:is>
      </x:c>
      <x:c r="K94" s="117" t="inlineStr">
        <x:is>
          <x:t xml:space="preserve">Community</x:t>
        </x:is>
      </x:c>
      <x:c r="L94" s="117" t="inlineStr">
        <x:is>
          <x:t xml:space="preserve">Street Interview</x:t>
        </x:is>
      </x:c>
      <x:c r="M94" s="117" t="inlineStr">
        <x:is>
          <x:t xml:space="preserve">20–60 sec</x:t>
        </x:is>
      </x:c>
      <x:c r="N94" s="117" t="inlineStr">
        <x:is>
          <x:t xml:space="preserve">TikTok</x:t>
        </x:is>
      </x:c>
      <x:c r="O94" s="117" t="inlineStr">
        <x:is>
          <x:t xml:space="preserve">Instagram Reels | Facebook Reels | YouTube Shorts</x:t>
        </x:is>
      </x:c>
      <x:c r="P94" s="117" t="inlineStr">
        <x:is>
          <x:t xml:space="preserve">Let drivers speak; collect comments and stories that can become future episodes.</x:t>
        </x:is>
      </x:c>
      <x:c r="Q94" s="117" t="inlineStr">
        <x:is>
          <x:t xml:space="preserve">We asked drivers: which road should Msafiri check next?</x:t>
        </x:is>
      </x:c>
      <x:c r="R94" s="117" t="inlineStr">
        <x:is>
          <x:t xml:space="preserve">Street interview, 3 fast answers, one unexpected answer, branded closing card.</x:t>
        </x:is>
      </x:c>
      <x:c r="S94" s="117" t="inlineStr">
        <x:is>
          <x:t xml:space="preserve">Kenyan drivers have stories. Msafiri wants to turn those stories into smarter road intelligence.</x:t>
        </x:is>
      </x:c>
      <x:c r="T94" s="117" t="inlineStr">
        <x:is>
          <x:t xml:space="preserve">Tell us your answer in the comments.</x:t>
        </x:is>
      </x:c>
      <x:c r="U94" s="117" t="inlineStr">
        <x:is>
          <x:t xml:space="preserve">Lapel mic; consent line; 3–5 driver answers; branded question card; subtitle template</x:t>
        </x:is>
      </x:c>
      <x:c r="V94" s="117" t="inlineStr">
        <x:is>
          <x:t xml:space="preserve">Founder</x:t>
        </x:is>
      </x:c>
      <x:c r="W94" s="117" t="inlineStr">
        <x:is>
          <x:t xml:space="preserve">Draft</x:t>
        </x:is>
      </x:c>
      <x:c r="X94" s="117" t="inlineStr">
        <x:is>
          <x:t xml:space="preserve">Not Started</x:t>
        </x:is>
      </x:c>
      <x:c r="Y94" s="117" t="n"/>
      <x:c r="Z94" s="118" t="n"/>
      <x:c r="AA94" s="118" t="n"/>
      <x:c r="AB94" s="118" t="n"/>
      <x:c r="AC94" s="118" t="n"/>
      <x:c r="AD94" s="118" t="n"/>
      <x:c r="AE94" s="117" t="n"/>
      <x:c r="AF94" s="119" t="inlineStr">
        <x:is>
          <x:t xml:space="preserve">Core</x:t>
        </x:is>
      </x:c>
      <x:c r="AG94" s="117" t="inlineStr">
        <x:is>
          <x:t xml:space="preserve">Field / community</x:t>
        </x:is>
      </x:c>
      <x:c r="AH94" s="113" t="n">
        <x:v>60</x:v>
      </x:c>
      <x:c r="AI94" s="114" t="n">
        <x:v>0</x:v>
      </x:c>
      <x:c r="AJ94" s="120" t="inlineStr">
        <x:is>
          <x:t xml:space="preserve"/>
        </x:is>
      </x:c>
      <x:c r="AK94" s="113" t="n">
        <x:v>0</x:v>
      </x:c>
      <x:c r="AL94" s="114" t="n">
        <x:v>0</x:v>
      </x:c>
    </x:row>
    <x:row r="95" ht="64" customHeight="1">
      <x:c r="A95" s="109" t="n">
        <x:v>46341</x:v>
      </x:c>
      <x:c r="B95" s="110" t="inlineStr">
        <x:is>
          <x:t xml:space="preserve">Sunday</x:t>
        </x:is>
      </x:c>
      <x:c r="C95" s="110" t="n">
        <x:v>91</x:v>
      </x:c>
      <x:c r="D95" s="110" t="n">
        <x:v>13</x:v>
      </x:c>
      <x:c r="E95" s="110" t="inlineStr">
        <x:is>
          <x:t xml:space="preserve">Community road check engine</x:t>
        </x:is>
      </x:c>
      <x:c r="F95" s="110" t="inlineStr">
        <x:is>
          <x:t xml:space="preserve">Tell us which road to check</x:t>
        </x:is>
      </x:c>
      <x:c r="G95" s="110" t="inlineStr">
        <x:is>
          <x:t xml:space="preserve">Education / Safety</x:t>
        </x:is>
      </x:c>
      <x:c r="H95" s="110" t="inlineStr">
        <x:is>
          <x:t xml:space="preserve">Before You Drive</x:t>
        </x:is>
      </x:c>
      <x:c r="I95" s="110" t="inlineStr">
        <x:is>
          <x:t xml:space="preserve">Community road intelligence</x:t>
        </x:is>
      </x:c>
      <x:c r="J95" s="110" t="inlineStr">
        <x:is>
          <x:t xml:space="preserve">Community / UGC</x:t>
        </x:is>
      </x:c>
      <x:c r="K95" s="110" t="inlineStr">
        <x:is>
          <x:t xml:space="preserve">Retention</x:t>
        </x:is>
      </x:c>
      <x:c r="L95" s="110" t="inlineStr">
        <x:is>
          <x:t xml:space="preserve">Checklist Reel</x:t>
        </x:is>
      </x:c>
      <x:c r="M95" s="110" t="inlineStr">
        <x:is>
          <x:t xml:space="preserve">20–45 sec</x:t>
        </x:is>
      </x:c>
      <x:c r="N95" s="110" t="inlineStr">
        <x:is>
          <x:t xml:space="preserve">Instagram Reels</x:t>
        </x:is>
      </x:c>
      <x:c r="O95" s="110" t="inlineStr">
        <x:is>
          <x:t xml:space="preserve">TikTok | YouTube Shorts | Facebook Reels | Instagram Stories</x:t>
        </x:is>
      </x:c>
      <x:c r="P95" s="110" t="inlineStr">
        <x:is>
          <x:t xml:space="preserve">A saveable checklist people can use before a real drive.</x:t>
        </x:is>
      </x:c>
      <x:c r="Q95" s="110" t="inlineStr">
        <x:is>
          <x:t xml:space="preserve">Save this community road check engine checklist before your next drive.</x:t>
        </x:is>
      </x:c>
      <x:c r="R95" s="110" t="inlineStr">
        <x:is>
          <x:t xml:space="preserve">Checklist overlay, hands-on car/phone shots, one item per beat, final saved-card frame.</x:t>
        </x:is>
      </x:c>
      <x:c r="S95" s="110" t="inlineStr">
        <x:is>
          <x:t xml:space="preserve">A good drive often starts before the engine starts. Keep this simple checklist close.</x:t>
        </x:is>
      </x:c>
      <x:c r="T95" s="110" t="inlineStr">
        <x:is>
          <x:t xml:space="preserve">Save this before your next drive.</x:t>
        </x:is>
      </x:c>
      <x:c r="U95" s="110" t="inlineStr">
        <x:is>
          <x:t xml:space="preserve">Phone mount; Msafiri screen-record; Audience-nominated roads B-roll; captions; branded end card</x:t>
        </x:is>
      </x:c>
      <x:c r="V95" s="110" t="inlineStr">
        <x:is>
          <x:t xml:space="preserve">Founder</x:t>
        </x:is>
      </x:c>
      <x:c r="W95" s="110" t="inlineStr">
        <x:is>
          <x:t xml:space="preserve">Backlog</x:t>
        </x:is>
      </x:c>
      <x:c r="X95" s="110" t="inlineStr">
        <x:is>
          <x:t xml:space="preserve">Not Started</x:t>
        </x:is>
      </x:c>
      <x:c r="Y95" s="110" t="n"/>
      <x:c r="Z95" s="111" t="n"/>
      <x:c r="AA95" s="111" t="n"/>
      <x:c r="AB95" s="111" t="n"/>
      <x:c r="AC95" s="111" t="n"/>
      <x:c r="AD95" s="111" t="n"/>
      <x:c r="AE95" s="110" t="n"/>
      <x:c r="AF95" s="121" t="inlineStr">
        <x:is>
          <x:t xml:space="preserve">Optional</x:t>
        </x:is>
      </x:c>
      <x:c r="AG95" s="110" t="inlineStr">
        <x:is>
          <x:t xml:space="preserve">Optional / planning</x:t>
        </x:is>
      </x:c>
      <x:c r="AH95" s="113" t="n">
        <x:v>20</x:v>
      </x:c>
      <x:c r="AI95" s="114" t="n">
        <x:v>0</x:v>
      </x:c>
      <x:c r="AJ95" s="115" t="inlineStr">
        <x:is>
          <x:t xml:space="preserve"/>
        </x:is>
      </x:c>
      <x:c r="AK95" s="113" t="n">
        <x:v>0</x:v>
      </x:c>
      <x:c r="AL95" s="114" t="n">
        <x:v>0</x:v>
      </x:c>
    </x:row>
    <x:row r="96" ht="64" customHeight="1">
      <x:c r="A96" s="116" t="n">
        <x:v>46342</x:v>
      </x:c>
      <x:c r="B96" s="117" t="inlineStr">
        <x:is>
          <x:t xml:space="preserve">Monday</x:t>
        </x:is>
      </x:c>
      <x:c r="C96" s="117" t="n">
        <x:v>92</x:v>
      </x:c>
      <x:c r="D96" s="117" t="n">
        <x:v>14</x:v>
      </x:c>
      <x:c r="E96" s="117" t="inlineStr">
        <x:is>
          <x:t xml:space="preserve">Night, rain and low-visibility driving</x:t>
        </x:is>
      </x:c>
      <x:c r="F96" s="117" t="inlineStr">
        <x:is>
          <x:t xml:space="preserve">Drive visible, drive calm</x:t>
        </x:is>
      </x:c>
      <x:c r="G96" s="117" t="inlineStr">
        <x:is>
          <x:t xml:space="preserve">Road Intelligence</x:t>
        </x:is>
      </x:c>
      <x:c r="H96" s="117" t="inlineStr">
        <x:is>
          <x:t xml:space="preserve">Msafiri Road Check</x:t>
        </x:is>
      </x:c>
      <x:c r="I96" s="117" t="inlineStr">
        <x:is>
          <x:t xml:space="preserve">Built-in Dashcam</x:t>
        </x:is>
      </x:c>
      <x:c r="J96" s="117" t="inlineStr">
        <x:is>
          <x:t xml:space="preserve">Long-distance driver</x:t>
        </x:is>
      </x:c>
      <x:c r="K96" s="117" t="inlineStr">
        <x:is>
          <x:t xml:space="preserve">Awareness</x:t>
        </x:is>
      </x:c>
      <x:c r="L96" s="117" t="inlineStr">
        <x:is>
          <x:t xml:space="preserve">Hero / Reel</x:t>
        </x:is>
      </x:c>
      <x:c r="M96" s="117" t="inlineStr">
        <x:is>
          <x:t xml:space="preserve">45–90 sec</x:t>
        </x:is>
      </x:c>
      <x:c r="N96" s="117" t="inlineStr">
        <x:is>
          <x:t xml:space="preserve">TikTok</x:t>
        </x:is>
      </x:c>
      <x:c r="O96" s="117" t="inlineStr">
        <x:is>
          <x:t xml:space="preserve">Instagram Reels | YouTube Shorts | Facebook Reels | YouTube</x:t>
        </x:is>
      </x:c>
      <x:c r="P96" s="117" t="inlineStr">
        <x:is>
          <x:t xml:space="preserve">Anchor episode that turns this week’s theme into a road story people can recognize.</x:t>
        </x:is>
      </x:c>
      <x:c r="Q96" s="117" t="inlineStr">
        <x:is>
          <x:t xml:space="preserve">We tested Night commute / rainy-day city drive: what should a long-distance driver know before driving it this week?</x:t>
        </x:is>
      </x:c>
      <x:c r="R96" s="117" t="inlineStr">
        <x:is>
          <x:t xml:space="preserve">POV drive, 3 timestamped moments, map/context overlay, quick Msafiri screen, clear payoff.</x:t>
        </x:is>
      </x:c>
      <x:c r="S96" s="117" t="inlineStr">
        <x:is>
          <x:t xml:space="preserve">Road intelligence should feel practical, not complicated. Here is what stood out on Night commute / rainy-day city drive.</x:t>
        </x:is>
      </x:c>
      <x:c r="T96" s="117" t="inlineStr">
        <x:is>
          <x:t xml:space="preserve">Tell us which road we should check next.</x:t>
        </x:is>
      </x:c>
      <x:c r="U96" s="117" t="inlineStr">
        <x:is>
          <x:t xml:space="preserve">Phone mount; Msafiri screen-record; Night commute / rainy-day city drive B-roll; captions; branded end card</x:t>
        </x:is>
      </x:c>
      <x:c r="V96" s="117" t="inlineStr">
        <x:is>
          <x:t xml:space="preserve">Founder</x:t>
        </x:is>
      </x:c>
      <x:c r="W96" s="117" t="inlineStr">
        <x:is>
          <x:t xml:space="preserve">Draft</x:t>
        </x:is>
      </x:c>
      <x:c r="X96" s="117" t="inlineStr">
        <x:is>
          <x:t xml:space="preserve">Not Started</x:t>
        </x:is>
      </x:c>
      <x:c r="Y96" s="117" t="n"/>
      <x:c r="Z96" s="118" t="n"/>
      <x:c r="AA96" s="118" t="n"/>
      <x:c r="AB96" s="118" t="n"/>
      <x:c r="AC96" s="118" t="n"/>
      <x:c r="AD96" s="118" t="n"/>
      <x:c r="AE96" s="117" t="n"/>
      <x:c r="AF96" s="119" t="inlineStr">
        <x:is>
          <x:t xml:space="preserve">Core</x:t>
        </x:is>
      </x:c>
      <x:c r="AG96" s="117" t="inlineStr">
        <x:is>
          <x:t xml:space="preserve">Field / anchor</x:t>
        </x:is>
      </x:c>
      <x:c r="AH96" s="113" t="n">
        <x:v>75</x:v>
      </x:c>
      <x:c r="AI96" s="114" t="n">
        <x:v>0</x:v>
      </x:c>
      <x:c r="AJ96" s="120" t="inlineStr">
        <x:is>
          <x:t xml:space="preserve"/>
        </x:is>
      </x:c>
      <x:c r="AK96" s="113" t="n">
        <x:v>0</x:v>
      </x:c>
      <x:c r="AL96" s="114" t="n">
        <x:v>0</x:v>
      </x:c>
    </x:row>
    <x:row r="97" ht="64" customHeight="1">
      <x:c r="A97" s="109" t="n">
        <x:v>46343</x:v>
      </x:c>
      <x:c r="B97" s="110" t="inlineStr">
        <x:is>
          <x:t xml:space="preserve">Tuesday</x:t>
        </x:is>
      </x:c>
      <x:c r="C97" s="110" t="n">
        <x:v>93</x:v>
      </x:c>
      <x:c r="D97" s="110" t="n">
        <x:v>14</x:v>
      </x:c>
      <x:c r="E97" s="110" t="inlineStr">
        <x:is>
          <x:t xml:space="preserve">Night, rain and low-visibility driving</x:t>
        </x:is>
      </x:c>
      <x:c r="F97" s="110" t="inlineStr">
        <x:is>
          <x:t xml:space="preserve">Drive visible, drive calm</x:t>
        </x:is>
      </x:c>
      <x:c r="G97" s="110" t="inlineStr">
        <x:is>
          <x:t xml:space="preserve">Product / Feature Proof</x:t>
        </x:is>
      </x:c>
      <x:c r="H97" s="110" t="inlineStr">
        <x:is>
          <x:t xml:space="preserve">Feature in the Wild</x:t>
        </x:is>
      </x:c>
      <x:c r="I97" s="110" t="inlineStr">
        <x:is>
          <x:t xml:space="preserve">Built-in Dashcam</x:t>
        </x:is>
      </x:c>
      <x:c r="J97" s="110" t="inlineStr">
        <x:is>
          <x:t xml:space="preserve">Long-distance driver</x:t>
        </x:is>
      </x:c>
      <x:c r="K97" s="110" t="inlineStr">
        <x:is>
          <x:t xml:space="preserve">Feature Discovery</x:t>
        </x:is>
      </x:c>
      <x:c r="L97" s="110" t="inlineStr">
        <x:is>
          <x:t xml:space="preserve">Short-form video</x:t>
        </x:is>
      </x:c>
      <x:c r="M97" s="110" t="inlineStr">
        <x:is>
          <x:t xml:space="preserve">20–45 sec</x:t>
        </x:is>
      </x:c>
      <x:c r="N97" s="110" t="inlineStr">
        <x:is>
          <x:t xml:space="preserve">Instagram Reels</x:t>
        </x:is>
      </x:c>
      <x:c r="O97" s="110" t="inlineStr">
        <x:is>
          <x:t xml:space="preserve">TikTok | YouTube Shorts | Facebook Reels</x:t>
        </x:is>
      </x:c>
      <x:c r="P97" s="110" t="inlineStr">
        <x:is>
          <x:t xml:space="preserve">Show the feature solving one real driving moment without turning the video into an ad.</x:t>
        </x:is>
      </x:c>
      <x:c r="Q97" s="110" t="inlineStr">
        <x:is>
          <x:t xml:space="preserve">Built-in Dashcam only makes sense when another driver tells a different story; here is the 30-second version.</x:t>
        </x:is>
      </x:c>
      <x:c r="R97" s="110" t="inlineStr">
        <x:is>
          <x:t xml:space="preserve">Phone mount, screen-record, before/after comparison, one clean feature payoff.</x:t>
        </x:is>
      </x:c>
      <x:c r="S97" s="110" t="inlineStr">
        <x:is>
          <x:t xml:space="preserve">A feature is only useful if it helps in the exact moment a driver needs it.</x:t>
        </x:is>
      </x:c>
      <x:c r="T97" s="110" t="inlineStr">
        <x:is>
          <x:t xml:space="preserve">Try Msafiri on your next drive.</x:t>
        </x:is>
      </x:c>
      <x:c r="U97" s="110" t="inlineStr">
        <x:is>
          <x:t xml:space="preserve">Phone mount; Msafiri screen-record; Night commute / rainy-day city drive B-roll; captions; branded end card</x:t>
        </x:is>
      </x:c>
      <x:c r="V97" s="110" t="inlineStr">
        <x:is>
          <x:t xml:space="preserve">Founder</x:t>
        </x:is>
      </x:c>
      <x:c r="W97" s="110" t="inlineStr">
        <x:is>
          <x:t xml:space="preserve">Draft</x:t>
        </x:is>
      </x:c>
      <x:c r="X97" s="110" t="inlineStr">
        <x:is>
          <x:t xml:space="preserve">Not Started</x:t>
        </x:is>
      </x:c>
      <x:c r="Y97" s="110" t="n"/>
      <x:c r="Z97" s="111" t="n"/>
      <x:c r="AA97" s="111" t="n"/>
      <x:c r="AB97" s="111" t="n"/>
      <x:c r="AC97" s="111" t="n"/>
      <x:c r="AD97" s="111" t="n"/>
      <x:c r="AE97" s="110" t="n"/>
      <x:c r="AF97" s="112" t="inlineStr">
        <x:is>
          <x:t xml:space="preserve">Core</x:t>
        </x:is>
      </x:c>
      <x:c r="AG97" s="110" t="inlineStr">
        <x:is>
          <x:t xml:space="preserve">Screen demo</x:t>
        </x:is>
      </x:c>
      <x:c r="AH97" s="113" t="n">
        <x:v>45</x:v>
      </x:c>
      <x:c r="AI97" s="114" t="n">
        <x:v>0</x:v>
      </x:c>
      <x:c r="AJ97" s="115" t="inlineStr">
        <x:is>
          <x:t xml:space="preserve"/>
        </x:is>
      </x:c>
      <x:c r="AK97" s="113" t="n">
        <x:v>0</x:v>
      </x:c>
      <x:c r="AL97" s="114" t="n">
        <x:v>0</x:v>
      </x:c>
    </x:row>
    <x:row r="98" ht="64" customHeight="1">
      <x:c r="A98" s="116" t="n">
        <x:v>46344</x:v>
      </x:c>
      <x:c r="B98" s="117" t="inlineStr">
        <x:is>
          <x:t xml:space="preserve">Wednesday</x:t>
        </x:is>
      </x:c>
      <x:c r="C98" s="117" t="n">
        <x:v>94</x:v>
      </x:c>
      <x:c r="D98" s="117" t="n">
        <x:v>14</x:v>
      </x:c>
      <x:c r="E98" s="117" t="inlineStr">
        <x:is>
          <x:t xml:space="preserve">Night, rain and low-visibility driving</x:t>
        </x:is>
      </x:c>
      <x:c r="F98" s="117" t="inlineStr">
        <x:is>
          <x:t xml:space="preserve">Drive visible, drive calm</x:t>
        </x:is>
      </x:c>
      <x:c r="G98" s="117" t="inlineStr">
        <x:is>
          <x:t xml:space="preserve">Kenyan Driving Reality</x:t>
        </x:is>
      </x:c>
      <x:c r="H98" s="117" t="inlineStr">
        <x:is>
          <x:t xml:space="preserve">Kenyan Driver Problems</x:t>
        </x:is>
      </x:c>
      <x:c r="I98" s="117" t="inlineStr">
        <x:is>
          <x:t xml:space="preserve">Built-in Dashcam</x:t>
        </x:is>
      </x:c>
      <x:c r="J98" s="117" t="inlineStr">
        <x:is>
          <x:t xml:space="preserve">Long-distance driver</x:t>
        </x:is>
      </x:c>
      <x:c r="K98" s="117" t="inlineStr">
        <x:is>
          <x:t xml:space="preserve">Engagement</x:t>
        </x:is>
      </x:c>
      <x:c r="L98" s="117" t="inlineStr">
        <x:is>
          <x:t xml:space="preserve">Skit</x:t>
        </x:is>
      </x:c>
      <x:c r="M98" s="117" t="inlineStr">
        <x:is>
          <x:t xml:space="preserve">15–35 sec</x:t>
        </x:is>
      </x:c>
      <x:c r="N98" s="117" t="inlineStr">
        <x:is>
          <x:t xml:space="preserve">TikTok</x:t>
        </x:is>
      </x:c>
      <x:c r="O98" s="117" t="inlineStr">
        <x:is>
          <x:t xml:space="preserve">Instagram Reels | Facebook Reels | YouTube Shorts</x:t>
        </x:is>
      </x:c>
      <x:c r="P98" s="117" t="inlineStr">
        <x:is>
          <x:t xml:space="preserve">Relatable driver tension; make people laugh, then attach a practical Msafiri angle.</x:t>
        </x:is>
      </x:c>
      <x:c r="Q98" s="117" t="inlineStr">
        <x:is>
          <x:t xml:space="preserve">POV: another driver tells a different story and everyone in the car suddenly becomes a driving expert.</x:t>
        </x:is>
      </x:c>
      <x:c r="R98" s="117" t="inlineStr">
        <x:is>
          <x:t xml:space="preserve">Driver/passenger skit, quick reaction cuts, exaggerated but familiar Kenyan driving moment.</x:t>
        </x:is>
      </x:c>
      <x:c r="S98" s="117" t="inlineStr">
        <x:is>
          <x:t xml:space="preserve">Every driver knows this argument. The smart move is having better information before the argument starts.</x:t>
        </x:is>
      </x:c>
      <x:c r="T98" s="117" t="inlineStr">
        <x:is>
          <x:t xml:space="preserve">Tag the driver who does this.</x:t>
        </x:is>
      </x:c>
      <x:c r="U98" s="117" t="inlineStr">
        <x:is>
          <x:t xml:space="preserve">Phone mount; Msafiri screen-record; Night commute / rainy-day city drive B-roll; captions; branded end card</x:t>
        </x:is>
      </x:c>
      <x:c r="V98" s="117" t="inlineStr">
        <x:is>
          <x:t xml:space="preserve">Founder</x:t>
        </x:is>
      </x:c>
      <x:c r="W98" s="117" t="inlineStr">
        <x:is>
          <x:t xml:space="preserve">Backlog</x:t>
        </x:is>
      </x:c>
      <x:c r="X98" s="117" t="inlineStr">
        <x:is>
          <x:t xml:space="preserve">Not Started</x:t>
        </x:is>
      </x:c>
      <x:c r="Y98" s="117" t="n"/>
      <x:c r="Z98" s="118" t="n"/>
      <x:c r="AA98" s="118" t="n"/>
      <x:c r="AB98" s="118" t="n"/>
      <x:c r="AC98" s="118" t="n"/>
      <x:c r="AD98" s="118" t="n"/>
      <x:c r="AE98" s="117" t="n"/>
      <x:c r="AF98" s="122" t="inlineStr">
        <x:is>
          <x:t xml:space="preserve">Optional</x:t>
        </x:is>
      </x:c>
      <x:c r="AG98" s="117" t="inlineStr">
        <x:is>
          <x:t xml:space="preserve">Repurpose / story</x:t>
        </x:is>
      </x:c>
      <x:c r="AH98" s="113" t="n">
        <x:v>25</x:v>
      </x:c>
      <x:c r="AI98" s="114" t="n">
        <x:v>0</x:v>
      </x:c>
      <x:c r="AJ98" s="120" t="inlineStr">
        <x:is>
          <x:t xml:space="preserve"/>
        </x:is>
      </x:c>
      <x:c r="AK98" s="113" t="n">
        <x:v>0</x:v>
      </x:c>
      <x:c r="AL98" s="114" t="n">
        <x:v>0</x:v>
      </x:c>
    </x:row>
    <x:row r="99" ht="64" customHeight="1">
      <x:c r="A99" s="109" t="n">
        <x:v>46345</x:v>
      </x:c>
      <x:c r="B99" s="110" t="inlineStr">
        <x:is>
          <x:t xml:space="preserve">Thursday</x:t>
        </x:is>
      </x:c>
      <x:c r="C99" s="110" t="n">
        <x:v>95</x:v>
      </x:c>
      <x:c r="D99" s="110" t="n">
        <x:v>14</x:v>
      </x:c>
      <x:c r="E99" s="110" t="inlineStr">
        <x:is>
          <x:t xml:space="preserve">Night, rain and low-visibility driving</x:t>
        </x:is>
      </x:c>
      <x:c r="F99" s="110" t="inlineStr">
        <x:is>
          <x:t xml:space="preserve">Drive visible, drive calm</x:t>
        </x:is>
      </x:c>
      <x:c r="G99" s="110" t="inlineStr">
        <x:is>
          <x:t xml:space="preserve">Founder / BTS</x:t>
        </x:is>
      </x:c>
      <x:c r="H99" s="110" t="inlineStr">
        <x:is>
          <x:t xml:space="preserve">Founder Files</x:t>
        </x:is>
      </x:c>
      <x:c r="I99" s="110" t="inlineStr">
        <x:is>
          <x:t xml:space="preserve">Built-in Dashcam</x:t>
        </x:is>
      </x:c>
      <x:c r="J99" s="110" t="inlineStr">
        <x:is>
          <x:t xml:space="preserve">Long-distance driver</x:t>
        </x:is>
      </x:c>
      <x:c r="K99" s="110" t="inlineStr">
        <x:is>
          <x:t xml:space="preserve">Trust</x:t>
        </x:is>
      </x:c>
      <x:c r="L99" s="110" t="inlineStr">
        <x:is>
          <x:t xml:space="preserve">Founder-to-camera</x:t>
        </x:is>
      </x:c>
      <x:c r="M99" s="110" t="inlineStr">
        <x:is>
          <x:t xml:space="preserve">30–60 sec</x:t>
        </x:is>
      </x:c>
      <x:c r="N99" s="110" t="inlineStr">
        <x:is>
          <x:t xml:space="preserve">Instagram Reels</x:t>
        </x:is>
      </x:c>
      <x:c r="O99" s="110" t="inlineStr">
        <x:is>
          <x:t xml:space="preserve">TikTok | YouTube Shorts | LinkedIn</x:t>
        </x:is>
      </x:c>
      <x:c r="P99" s="110" t="inlineStr">
        <x:is>
          <x:t xml:space="preserve">Peter explains the product decision, tradeoff, or local insight behind the week’s feature.</x:t>
        </x:is>
      </x:c>
      <x:c r="Q99" s="110" t="inlineStr">
        <x:is>
          <x:t xml:space="preserve">Peter here — this is why we built Built-in Dashcam for Kenyan drivers, not just generic drivers.</x:t>
        </x:is>
      </x:c>
      <x:c r="R99" s="110" t="inlineStr">
        <x:is>
          <x:t xml:space="preserve">Peter in car or office, quick cutaways to road test, product screen and handwritten notes.</x:t>
        </x:is>
      </x:c>
      <x:c r="S99" s="110" t="inlineStr">
        <x:is>
          <x:t xml:space="preserve">The goal is not another app on your phone. The goal is a calmer, more prepared drive.</x:t>
        </x:is>
      </x:c>
      <x:c r="T99" s="110" t="inlineStr">
        <x:is>
          <x:t xml:space="preserve">Follow Msafiri as we build for Kenyan roads.</x:t>
        </x:is>
      </x:c>
      <x:c r="U99" s="110" t="inlineStr">
        <x:is>
          <x:t xml:space="preserve">Peter on-camera setup; car/office B-roll; product screen; simple lower-third</x:t>
        </x:is>
      </x:c>
      <x:c r="V99" s="110" t="inlineStr">
        <x:is>
          <x:t xml:space="preserve">Founder</x:t>
        </x:is>
      </x:c>
      <x:c r="W99" s="110" t="inlineStr">
        <x:is>
          <x:t xml:space="preserve">Draft</x:t>
        </x:is>
      </x:c>
      <x:c r="X99" s="110" t="inlineStr">
        <x:is>
          <x:t xml:space="preserve">Not Started</x:t>
        </x:is>
      </x:c>
      <x:c r="Y99" s="110" t="n"/>
      <x:c r="Z99" s="111" t="n"/>
      <x:c r="AA99" s="111" t="n"/>
      <x:c r="AB99" s="111" t="n"/>
      <x:c r="AC99" s="111" t="n"/>
      <x:c r="AD99" s="111" t="n"/>
      <x:c r="AE99" s="110" t="n"/>
      <x:c r="AF99" s="112" t="inlineStr">
        <x:is>
          <x:t xml:space="preserve">Core</x:t>
        </x:is>
      </x:c>
      <x:c r="AG99" s="110" t="inlineStr">
        <x:is>
          <x:t xml:space="preserve">Founder / education</x:t>
        </x:is>
      </x:c>
      <x:c r="AH99" s="113" t="n">
        <x:v>45</x:v>
      </x:c>
      <x:c r="AI99" s="114" t="n">
        <x:v>0</x:v>
      </x:c>
      <x:c r="AJ99" s="115" t="inlineStr">
        <x:is>
          <x:t xml:space="preserve"/>
        </x:is>
      </x:c>
      <x:c r="AK99" s="113" t="n">
        <x:v>0</x:v>
      </x:c>
      <x:c r="AL99" s="114" t="n">
        <x:v>0</x:v>
      </x:c>
    </x:row>
    <x:row r="100" ht="64" customHeight="1">
      <x:c r="A100" s="116" t="n">
        <x:v>46346</x:v>
      </x:c>
      <x:c r="B100" s="117" t="inlineStr">
        <x:is>
          <x:t xml:space="preserve">Friday</x:t>
        </x:is>
      </x:c>
      <x:c r="C100" s="117" t="n">
        <x:v>96</x:v>
      </x:c>
      <x:c r="D100" s="117" t="n">
        <x:v>14</x:v>
      </x:c>
      <x:c r="E100" s="117" t="inlineStr">
        <x:is>
          <x:t xml:space="preserve">Night, rain and low-visibility driving</x:t>
        </x:is>
      </x:c>
      <x:c r="F100" s="117" t="inlineStr">
        <x:is>
          <x:t xml:space="preserve">Drive visible, drive calm</x:t>
        </x:is>
      </x:c>
      <x:c r="G100" s="117" t="inlineStr">
        <x:is>
          <x:t xml:space="preserve">Debate / Mythbusters</x:t>
        </x:is>
      </x:c>
      <x:c r="H100" s="117" t="inlineStr">
        <x:is>
          <x:t xml:space="preserve">Road Mythbusters</x:t>
        </x:is>
      </x:c>
      <x:c r="I100" s="117" t="inlineStr">
        <x:is>
          <x:t xml:space="preserve">Built-in Dashcam</x:t>
        </x:is>
      </x:c>
      <x:c r="J100" s="117" t="inlineStr">
        <x:is>
          <x:t xml:space="preserve">Long-distance driver</x:t>
        </x:is>
      </x:c>
      <x:c r="K100" s="117" t="inlineStr">
        <x:is>
          <x:t xml:space="preserve">Engagement</x:t>
        </x:is>
      </x:c>
      <x:c r="L100" s="117" t="inlineStr">
        <x:is>
          <x:t xml:space="preserve">Short-form video</x:t>
        </x:is>
      </x:c>
      <x:c r="M100" s="117" t="inlineStr">
        <x:is>
          <x:t xml:space="preserve">20–45 sec</x:t>
        </x:is>
      </x:c>
      <x:c r="N100" s="117" t="inlineStr">
        <x:is>
          <x:t xml:space="preserve">TikTok</x:t>
        </x:is>
      </x:c>
      <x:c r="O100" s="117" t="inlineStr">
        <x:is>
          <x:t xml:space="preserve">Instagram Reels | YouTube Shorts | Facebook Reels</x:t>
        </x:is>
      </x:c>
      <x:c r="P100" s="117" t="inlineStr">
        <x:is>
          <x:t xml:space="preserve">Open a controlled debate while ending with responsible road-safety framing.</x:t>
        </x:is>
      </x:c>
      <x:c r="Q100" s="117" t="inlineStr">
        <x:is>
          <x:t xml:space="preserve">Hot take: every daily driver should have video evidence, even for short trips.</x:t>
        </x:is>
      </x:c>
      <x:c r="R100" s="117" t="inlineStr">
        <x:is>
          <x:t xml:space="preserve">Split screen: claim vs reality, quick poll sticker, Peter closing with safe takeaway.</x:t>
        </x:is>
      </x:c>
      <x:c r="S100" s="117" t="inlineStr">
        <x:is>
          <x:t xml:space="preserve">Debate is useful only if it makes us better drivers. What is your honest view?</x:t>
        </x:is>
      </x:c>
      <x:c r="T100" s="117" t="inlineStr">
        <x:is>
          <x:t xml:space="preserve">Agree or disagree? Give your reason.</x:t>
        </x:is>
      </x:c>
      <x:c r="U100" s="117" t="inlineStr">
        <x:is>
          <x:t xml:space="preserve">Phone mount; Msafiri screen-record; Night commute / rainy-day city drive B-roll; captions; branded end card</x:t>
        </x:is>
      </x:c>
      <x:c r="V100" s="117" t="inlineStr">
        <x:is>
          <x:t xml:space="preserve">Founder</x:t>
        </x:is>
      </x:c>
      <x:c r="W100" s="117" t="inlineStr">
        <x:is>
          <x:t xml:space="preserve">Backlog</x:t>
        </x:is>
      </x:c>
      <x:c r="X100" s="117" t="inlineStr">
        <x:is>
          <x:t xml:space="preserve">Not Started</x:t>
        </x:is>
      </x:c>
      <x:c r="Y100" s="117" t="n"/>
      <x:c r="Z100" s="118" t="n"/>
      <x:c r="AA100" s="118" t="n"/>
      <x:c r="AB100" s="118" t="n"/>
      <x:c r="AC100" s="118" t="n"/>
      <x:c r="AD100" s="118" t="n"/>
      <x:c r="AE100" s="117" t="n"/>
      <x:c r="AF100" s="122" t="inlineStr">
        <x:is>
          <x:t xml:space="preserve">Optional</x:t>
        </x:is>
      </x:c>
      <x:c r="AG100" s="117" t="inlineStr">
        <x:is>
          <x:t xml:space="preserve">Community reply</x:t>
        </x:is>
      </x:c>
      <x:c r="AH100" s="113" t="n">
        <x:v>25</x:v>
      </x:c>
      <x:c r="AI100" s="114" t="n">
        <x:v>0</x:v>
      </x:c>
      <x:c r="AJ100" s="120" t="inlineStr">
        <x:is>
          <x:t xml:space="preserve"/>
        </x:is>
      </x:c>
      <x:c r="AK100" s="113" t="n">
        <x:v>0</x:v>
      </x:c>
      <x:c r="AL100" s="114" t="n">
        <x:v>0</x:v>
      </x:c>
    </x:row>
    <x:row r="101" ht="64" customHeight="1">
      <x:c r="A101" s="109" t="n">
        <x:v>46347</x:v>
      </x:c>
      <x:c r="B101" s="110" t="inlineStr">
        <x:is>
          <x:t xml:space="preserve">Saturday</x:t>
        </x:is>
      </x:c>
      <x:c r="C101" s="110" t="n">
        <x:v>97</x:v>
      </x:c>
      <x:c r="D101" s="110" t="n">
        <x:v>14</x:v>
      </x:c>
      <x:c r="E101" s="110" t="inlineStr">
        <x:is>
          <x:t xml:space="preserve">Night, rain and low-visibility driving</x:t>
        </x:is>
      </x:c>
      <x:c r="F101" s="110" t="inlineStr">
        <x:is>
          <x:t xml:space="preserve">Drive visible, drive calm</x:t>
        </x:is>
      </x:c>
      <x:c r="G101" s="110" t="inlineStr">
        <x:is>
          <x:t xml:space="preserve">Community / UGC</x:t>
        </x:is>
      </x:c>
      <x:c r="H101" s="110" t="inlineStr">
        <x:is>
          <x:t xml:space="preserve">Ask a Kenyan Driver</x:t>
        </x:is>
      </x:c>
      <x:c r="I101" s="110" t="inlineStr">
        <x:is>
          <x:t xml:space="preserve">Built-in Dashcam</x:t>
        </x:is>
      </x:c>
      <x:c r="J101" s="110" t="inlineStr">
        <x:is>
          <x:t xml:space="preserve">Long-distance driver</x:t>
        </x:is>
      </x:c>
      <x:c r="K101" s="110" t="inlineStr">
        <x:is>
          <x:t xml:space="preserve">Community</x:t>
        </x:is>
      </x:c>
      <x:c r="L101" s="110" t="inlineStr">
        <x:is>
          <x:t xml:space="preserve">Street Interview</x:t>
        </x:is>
      </x:c>
      <x:c r="M101" s="110" t="inlineStr">
        <x:is>
          <x:t xml:space="preserve">20–60 sec</x:t>
        </x:is>
      </x:c>
      <x:c r="N101" s="110" t="inlineStr">
        <x:is>
          <x:t xml:space="preserve">TikTok</x:t>
        </x:is>
      </x:c>
      <x:c r="O101" s="110" t="inlineStr">
        <x:is>
          <x:t xml:space="preserve">Instagram Reels | Facebook Reels | YouTube Shorts</x:t>
        </x:is>
      </x:c>
      <x:c r="P101" s="110" t="inlineStr">
        <x:is>
          <x:t xml:space="preserve">Let drivers speak; collect comments and stories that can become future episodes.</x:t>
        </x:is>
      </x:c>
      <x:c r="Q101" s="110" t="inlineStr">
        <x:is>
          <x:t xml:space="preserve">We asked drivers: have you ever wished you had recorded what happened?</x:t>
        </x:is>
      </x:c>
      <x:c r="R101" s="110" t="inlineStr">
        <x:is>
          <x:t xml:space="preserve">Street interview, 3 fast answers, one unexpected answer, branded closing card.</x:t>
        </x:is>
      </x:c>
      <x:c r="S101" s="110" t="inlineStr">
        <x:is>
          <x:t xml:space="preserve">Kenyan drivers have stories. Msafiri wants to turn those stories into smarter road intelligence.</x:t>
        </x:is>
      </x:c>
      <x:c r="T101" s="110" t="inlineStr">
        <x:is>
          <x:t xml:space="preserve">Tell us your answer in the comments.</x:t>
        </x:is>
      </x:c>
      <x:c r="U101" s="110" t="inlineStr">
        <x:is>
          <x:t xml:space="preserve">Lapel mic; consent line; 3–5 driver answers; branded question card; subtitle template</x:t>
        </x:is>
      </x:c>
      <x:c r="V101" s="110" t="inlineStr">
        <x:is>
          <x:t xml:space="preserve">Founder</x:t>
        </x:is>
      </x:c>
      <x:c r="W101" s="110" t="inlineStr">
        <x:is>
          <x:t xml:space="preserve">Draft</x:t>
        </x:is>
      </x:c>
      <x:c r="X101" s="110" t="inlineStr">
        <x:is>
          <x:t xml:space="preserve">Not Started</x:t>
        </x:is>
      </x:c>
      <x:c r="Y101" s="110" t="n"/>
      <x:c r="Z101" s="111" t="n"/>
      <x:c r="AA101" s="111" t="n"/>
      <x:c r="AB101" s="111" t="n"/>
      <x:c r="AC101" s="111" t="n"/>
      <x:c r="AD101" s="111" t="n"/>
      <x:c r="AE101" s="110" t="n"/>
      <x:c r="AF101" s="112" t="inlineStr">
        <x:is>
          <x:t xml:space="preserve">Core</x:t>
        </x:is>
      </x:c>
      <x:c r="AG101" s="110" t="inlineStr">
        <x:is>
          <x:t xml:space="preserve">Field / community</x:t>
        </x:is>
      </x:c>
      <x:c r="AH101" s="113" t="n">
        <x:v>60</x:v>
      </x:c>
      <x:c r="AI101" s="114" t="n">
        <x:v>0</x:v>
      </x:c>
      <x:c r="AJ101" s="115" t="inlineStr">
        <x:is>
          <x:t xml:space="preserve"/>
        </x:is>
      </x:c>
      <x:c r="AK101" s="113" t="n">
        <x:v>0</x:v>
      </x:c>
      <x:c r="AL101" s="114" t="n">
        <x:v>0</x:v>
      </x:c>
    </x:row>
    <x:row r="102" ht="64" customHeight="1">
      <x:c r="A102" s="116" t="n">
        <x:v>46348</x:v>
      </x:c>
      <x:c r="B102" s="117" t="inlineStr">
        <x:is>
          <x:t xml:space="preserve">Sunday</x:t>
        </x:is>
      </x:c>
      <x:c r="C102" s="117" t="n">
        <x:v>98</x:v>
      </x:c>
      <x:c r="D102" s="117" t="n">
        <x:v>14</x:v>
      </x:c>
      <x:c r="E102" s="117" t="inlineStr">
        <x:is>
          <x:t xml:space="preserve">Night, rain and low-visibility driving</x:t>
        </x:is>
      </x:c>
      <x:c r="F102" s="117" t="inlineStr">
        <x:is>
          <x:t xml:space="preserve">Drive visible, drive calm</x:t>
        </x:is>
      </x:c>
      <x:c r="G102" s="117" t="inlineStr">
        <x:is>
          <x:t xml:space="preserve">Education / Safety</x:t>
        </x:is>
      </x:c>
      <x:c r="H102" s="117" t="inlineStr">
        <x:is>
          <x:t xml:space="preserve">Before You Drive</x:t>
        </x:is>
      </x:c>
      <x:c r="I102" s="117" t="inlineStr">
        <x:is>
          <x:t xml:space="preserve">Built-in Dashcam</x:t>
        </x:is>
      </x:c>
      <x:c r="J102" s="117" t="inlineStr">
        <x:is>
          <x:t xml:space="preserve">Long-distance driver</x:t>
        </x:is>
      </x:c>
      <x:c r="K102" s="117" t="inlineStr">
        <x:is>
          <x:t xml:space="preserve">Retention</x:t>
        </x:is>
      </x:c>
      <x:c r="L102" s="117" t="inlineStr">
        <x:is>
          <x:t xml:space="preserve">Checklist Reel</x:t>
        </x:is>
      </x:c>
      <x:c r="M102" s="117" t="inlineStr">
        <x:is>
          <x:t xml:space="preserve">20–45 sec</x:t>
        </x:is>
      </x:c>
      <x:c r="N102" s="117" t="inlineStr">
        <x:is>
          <x:t xml:space="preserve">Instagram Reels</x:t>
        </x:is>
      </x:c>
      <x:c r="O102" s="117" t="inlineStr">
        <x:is>
          <x:t xml:space="preserve">TikTok | YouTube Shorts | Facebook Reels | Instagram Stories</x:t>
        </x:is>
      </x:c>
      <x:c r="P102" s="117" t="inlineStr">
        <x:is>
          <x:t xml:space="preserve">A saveable checklist people can use before a real drive.</x:t>
        </x:is>
      </x:c>
      <x:c r="Q102" s="117" t="inlineStr">
        <x:is>
          <x:t xml:space="preserve">Save this night, rain and low-visibility driving checklist before your next drive.</x:t>
        </x:is>
      </x:c>
      <x:c r="R102" s="117" t="inlineStr">
        <x:is>
          <x:t xml:space="preserve">Checklist overlay, hands-on car/phone shots, one item per beat, final saved-card frame.</x:t>
        </x:is>
      </x:c>
      <x:c r="S102" s="117" t="inlineStr">
        <x:is>
          <x:t xml:space="preserve">A good drive often starts before the engine starts. Keep this simple checklist close.</x:t>
        </x:is>
      </x:c>
      <x:c r="T102" s="117" t="inlineStr">
        <x:is>
          <x:t xml:space="preserve">Save this before your next drive.</x:t>
        </x:is>
      </x:c>
      <x:c r="U102" s="117" t="inlineStr">
        <x:is>
          <x:t xml:space="preserve">Phone mount; Msafiri screen-record; Night commute / rainy-day city drive B-roll; captions; branded end card</x:t>
        </x:is>
      </x:c>
      <x:c r="V102" s="117" t="inlineStr">
        <x:is>
          <x:t xml:space="preserve">Founder</x:t>
        </x:is>
      </x:c>
      <x:c r="W102" s="117" t="inlineStr">
        <x:is>
          <x:t xml:space="preserve">Backlog</x:t>
        </x:is>
      </x:c>
      <x:c r="X102" s="117" t="inlineStr">
        <x:is>
          <x:t xml:space="preserve">Not Started</x:t>
        </x:is>
      </x:c>
      <x:c r="Y102" s="117" t="n"/>
      <x:c r="Z102" s="118" t="n"/>
      <x:c r="AA102" s="118" t="n"/>
      <x:c r="AB102" s="118" t="n"/>
      <x:c r="AC102" s="118" t="n"/>
      <x:c r="AD102" s="118" t="n"/>
      <x:c r="AE102" s="117" t="n"/>
      <x:c r="AF102" s="122" t="inlineStr">
        <x:is>
          <x:t xml:space="preserve">Optional</x:t>
        </x:is>
      </x:c>
      <x:c r="AG102" s="117" t="inlineStr">
        <x:is>
          <x:t xml:space="preserve">Optional / planning</x:t>
        </x:is>
      </x:c>
      <x:c r="AH102" s="113" t="n">
        <x:v>20</x:v>
      </x:c>
      <x:c r="AI102" s="114" t="n">
        <x:v>0</x:v>
      </x:c>
      <x:c r="AJ102" s="120" t="inlineStr">
        <x:is>
          <x:t xml:space="preserve"/>
        </x:is>
      </x:c>
      <x:c r="AK102" s="113" t="n">
        <x:v>0</x:v>
      </x:c>
      <x:c r="AL102" s="114" t="n">
        <x:v>0</x:v>
      </x:c>
    </x:row>
    <x:row r="103" ht="64" customHeight="1">
      <x:c r="A103" s="109" t="n">
        <x:v>46349</x:v>
      </x:c>
      <x:c r="B103" s="110" t="inlineStr">
        <x:is>
          <x:t xml:space="preserve">Monday</x:t>
        </x:is>
      </x:c>
      <x:c r="C103" s="110" t="n">
        <x:v>99</x:v>
      </x:c>
      <x:c r="D103" s="110" t="n">
        <x:v>15</x:v>
      </x:c>
      <x:c r="E103" s="110" t="inlineStr">
        <x:is>
          <x:t xml:space="preserve">Build-in-public trust week</x:t>
        </x:is>
      </x:c>
      <x:c r="F103" s="110" t="inlineStr">
        <x:is>
          <x:t xml:space="preserve">Why we built this</x:t>
        </x:is>
      </x:c>
      <x:c r="G103" s="110" t="inlineStr">
        <x:is>
          <x:t xml:space="preserve">Road Intelligence</x:t>
        </x:is>
      </x:c>
      <x:c r="H103" s="110" t="inlineStr">
        <x:is>
          <x:t xml:space="preserve">Msafiri Road Check</x:t>
        </x:is>
      </x:c>
      <x:c r="I103" s="110" t="inlineStr">
        <x:is>
          <x:t xml:space="preserve">Msafiri brand trust</x:t>
        </x:is>
      </x:c>
      <x:c r="J103" s="110" t="inlineStr">
        <x:is>
          <x:t xml:space="preserve">Founder/tech audience</x:t>
        </x:is>
      </x:c>
      <x:c r="K103" s="110" t="inlineStr">
        <x:is>
          <x:t xml:space="preserve">Awareness</x:t>
        </x:is>
      </x:c>
      <x:c r="L103" s="110" t="inlineStr">
        <x:is>
          <x:t xml:space="preserve">Hero / Reel</x:t>
        </x:is>
      </x:c>
      <x:c r="M103" s="110" t="inlineStr">
        <x:is>
          <x:t xml:space="preserve">45–90 sec</x:t>
        </x:is>
      </x:c>
      <x:c r="N103" s="110" t="inlineStr">
        <x:is>
          <x:t xml:space="preserve">TikTok</x:t>
        </x:is>
      </x:c>
      <x:c r="O103" s="110" t="inlineStr">
        <x:is>
          <x:t xml:space="preserve">Instagram Reels | YouTube Shorts | Facebook Reels | YouTube</x:t>
        </x:is>
      </x:c>
      <x:c r="P103" s="110" t="inlineStr">
        <x:is>
          <x:t xml:space="preserve">Anchor episode that turns this week’s theme into a road story people can recognize.</x:t>
        </x:is>
      </x:c>
      <x:c r="Q103" s="110" t="inlineStr">
        <x:is>
          <x:t xml:space="preserve">We tested Office, car, road-test loop: what should a founder/tech audience know before driving it this week?</x:t>
        </x:is>
      </x:c>
      <x:c r="R103" s="110" t="inlineStr">
        <x:is>
          <x:t xml:space="preserve">POV drive, 3 timestamped moments, map/context overlay, quick Msafiri screen, clear payoff.</x:t>
        </x:is>
      </x:c>
      <x:c r="S103" s="110" t="inlineStr">
        <x:is>
          <x:t xml:space="preserve">Road intelligence should feel practical, not complicated. Here is what stood out on Office, car, road-test loop.</x:t>
        </x:is>
      </x:c>
      <x:c r="T103" s="110" t="inlineStr">
        <x:is>
          <x:t xml:space="preserve">Tell us which road we should check next.</x:t>
        </x:is>
      </x:c>
      <x:c r="U103" s="110" t="inlineStr">
        <x:is>
          <x:t xml:space="preserve">Phone mount; Msafiri screen-record; Office, car, road-test loop B-roll; captions; branded end card</x:t>
        </x:is>
      </x:c>
      <x:c r="V103" s="110" t="inlineStr">
        <x:is>
          <x:t xml:space="preserve">Founder</x:t>
        </x:is>
      </x:c>
      <x:c r="W103" s="110" t="inlineStr">
        <x:is>
          <x:t xml:space="preserve">Draft</x:t>
        </x:is>
      </x:c>
      <x:c r="X103" s="110" t="inlineStr">
        <x:is>
          <x:t xml:space="preserve">Not Started</x:t>
        </x:is>
      </x:c>
      <x:c r="Y103" s="110" t="n"/>
      <x:c r="Z103" s="111" t="n"/>
      <x:c r="AA103" s="111" t="n"/>
      <x:c r="AB103" s="111" t="n"/>
      <x:c r="AC103" s="111" t="n"/>
      <x:c r="AD103" s="111" t="n"/>
      <x:c r="AE103" s="110" t="n"/>
      <x:c r="AF103" s="112" t="inlineStr">
        <x:is>
          <x:t xml:space="preserve">Core</x:t>
        </x:is>
      </x:c>
      <x:c r="AG103" s="110" t="inlineStr">
        <x:is>
          <x:t xml:space="preserve">Field / anchor</x:t>
        </x:is>
      </x:c>
      <x:c r="AH103" s="113" t="n">
        <x:v>75</x:v>
      </x:c>
      <x:c r="AI103" s="114" t="n">
        <x:v>0</x:v>
      </x:c>
      <x:c r="AJ103" s="115" t="inlineStr">
        <x:is>
          <x:t xml:space="preserve"/>
        </x:is>
      </x:c>
      <x:c r="AK103" s="113" t="n">
        <x:v>0</x:v>
      </x:c>
      <x:c r="AL103" s="114" t="n">
        <x:v>0</x:v>
      </x:c>
    </x:row>
    <x:row r="104" ht="64" customHeight="1">
      <x:c r="A104" s="116" t="n">
        <x:v>46350</x:v>
      </x:c>
      <x:c r="B104" s="117" t="inlineStr">
        <x:is>
          <x:t xml:space="preserve">Tuesday</x:t>
        </x:is>
      </x:c>
      <x:c r="C104" s="117" t="n">
        <x:v>100</x:v>
      </x:c>
      <x:c r="D104" s="117" t="n">
        <x:v>15</x:v>
      </x:c>
      <x:c r="E104" s="117" t="inlineStr">
        <x:is>
          <x:t xml:space="preserve">Build-in-public trust week</x:t>
        </x:is>
      </x:c>
      <x:c r="F104" s="117" t="inlineStr">
        <x:is>
          <x:t xml:space="preserve">Why we built this</x:t>
        </x:is>
      </x:c>
      <x:c r="G104" s="117" t="inlineStr">
        <x:is>
          <x:t xml:space="preserve">Product / Feature Proof</x:t>
        </x:is>
      </x:c>
      <x:c r="H104" s="117" t="inlineStr">
        <x:is>
          <x:t xml:space="preserve">Feature in the Wild</x:t>
        </x:is>
      </x:c>
      <x:c r="I104" s="117" t="inlineStr">
        <x:is>
          <x:t xml:space="preserve">Msafiri brand trust</x:t>
        </x:is>
      </x:c>
      <x:c r="J104" s="117" t="inlineStr">
        <x:is>
          <x:t xml:space="preserve">Founder/tech audience</x:t>
        </x:is>
      </x:c>
      <x:c r="K104" s="117" t="inlineStr">
        <x:is>
          <x:t xml:space="preserve">Feature Discovery</x:t>
        </x:is>
      </x:c>
      <x:c r="L104" s="117" t="inlineStr">
        <x:is>
          <x:t xml:space="preserve">Short-form video</x:t>
        </x:is>
      </x:c>
      <x:c r="M104" s="117" t="inlineStr">
        <x:is>
          <x:t xml:space="preserve">20–45 sec</x:t>
        </x:is>
      </x:c>
      <x:c r="N104" s="117" t="inlineStr">
        <x:is>
          <x:t xml:space="preserve">Instagram Reels</x:t>
        </x:is>
      </x:c>
      <x:c r="O104" s="117" t="inlineStr">
        <x:is>
          <x:t xml:space="preserve">TikTok | YouTube Shorts | Facebook Reels</x:t>
        </x:is>
      </x:c>
      <x:c r="P104" s="117" t="inlineStr">
        <x:is>
          <x:t xml:space="preserve">Show the feature solving one real driving moment without turning the video into an ad.</x:t>
        </x:is>
      </x:c>
      <x:c r="Q104" s="117" t="inlineStr">
        <x:is>
          <x:t xml:space="preserve">Msafiri brand trust only makes sense when people need to trust the team behind the road tool; here is the 30-second version.</x:t>
        </x:is>
      </x:c>
      <x:c r="R104" s="117" t="inlineStr">
        <x:is>
          <x:t xml:space="preserve">Phone mount, screen-record, before/after comparison, one clean feature payoff.</x:t>
        </x:is>
      </x:c>
      <x:c r="S104" s="117" t="inlineStr">
        <x:is>
          <x:t xml:space="preserve">A feature is only useful if it helps in the exact moment a driver needs it.</x:t>
        </x:is>
      </x:c>
      <x:c r="T104" s="117" t="inlineStr">
        <x:is>
          <x:t xml:space="preserve">Try Msafiri on your next drive.</x:t>
        </x:is>
      </x:c>
      <x:c r="U104" s="117" t="inlineStr">
        <x:is>
          <x:t xml:space="preserve">Phone mount; Msafiri screen-record; Office, car, road-test loop B-roll; captions; branded end card</x:t>
        </x:is>
      </x:c>
      <x:c r="V104" s="117" t="inlineStr">
        <x:is>
          <x:t xml:space="preserve">Founder</x:t>
        </x:is>
      </x:c>
      <x:c r="W104" s="117" t="inlineStr">
        <x:is>
          <x:t xml:space="preserve">Draft</x:t>
        </x:is>
      </x:c>
      <x:c r="X104" s="117" t="inlineStr">
        <x:is>
          <x:t xml:space="preserve">Not Started</x:t>
        </x:is>
      </x:c>
      <x:c r="Y104" s="117" t="n"/>
      <x:c r="Z104" s="118" t="n"/>
      <x:c r="AA104" s="118" t="n"/>
      <x:c r="AB104" s="118" t="n"/>
      <x:c r="AC104" s="118" t="n"/>
      <x:c r="AD104" s="118" t="n"/>
      <x:c r="AE104" s="117" t="n"/>
      <x:c r="AF104" s="119" t="inlineStr">
        <x:is>
          <x:t xml:space="preserve">Core</x:t>
        </x:is>
      </x:c>
      <x:c r="AG104" s="117" t="inlineStr">
        <x:is>
          <x:t xml:space="preserve">Screen demo</x:t>
        </x:is>
      </x:c>
      <x:c r="AH104" s="113" t="n">
        <x:v>45</x:v>
      </x:c>
      <x:c r="AI104" s="114" t="n">
        <x:v>0</x:v>
      </x:c>
      <x:c r="AJ104" s="120" t="inlineStr">
        <x:is>
          <x:t xml:space="preserve"/>
        </x:is>
      </x:c>
      <x:c r="AK104" s="113" t="n">
        <x:v>0</x:v>
      </x:c>
      <x:c r="AL104" s="114" t="n">
        <x:v>0</x:v>
      </x:c>
    </x:row>
    <x:row r="105" ht="64" customHeight="1">
      <x:c r="A105" s="109" t="n">
        <x:v>46351</x:v>
      </x:c>
      <x:c r="B105" s="110" t="inlineStr">
        <x:is>
          <x:t xml:space="preserve">Wednesday</x:t>
        </x:is>
      </x:c>
      <x:c r="C105" s="110" t="n">
        <x:v>101</x:v>
      </x:c>
      <x:c r="D105" s="110" t="n">
        <x:v>15</x:v>
      </x:c>
      <x:c r="E105" s="110" t="inlineStr">
        <x:is>
          <x:t xml:space="preserve">Build-in-public trust week</x:t>
        </x:is>
      </x:c>
      <x:c r="F105" s="110" t="inlineStr">
        <x:is>
          <x:t xml:space="preserve">Why we built this</x:t>
        </x:is>
      </x:c>
      <x:c r="G105" s="110" t="inlineStr">
        <x:is>
          <x:t xml:space="preserve">Kenyan Driving Reality</x:t>
        </x:is>
      </x:c>
      <x:c r="H105" s="110" t="inlineStr">
        <x:is>
          <x:t xml:space="preserve">Kenyan Driver Problems</x:t>
        </x:is>
      </x:c>
      <x:c r="I105" s="110" t="inlineStr">
        <x:is>
          <x:t xml:space="preserve">Msafiri brand trust</x:t>
        </x:is>
      </x:c>
      <x:c r="J105" s="110" t="inlineStr">
        <x:is>
          <x:t xml:space="preserve">Founder/tech audience</x:t>
        </x:is>
      </x:c>
      <x:c r="K105" s="110" t="inlineStr">
        <x:is>
          <x:t xml:space="preserve">Engagement</x:t>
        </x:is>
      </x:c>
      <x:c r="L105" s="110" t="inlineStr">
        <x:is>
          <x:t xml:space="preserve">Skit</x:t>
        </x:is>
      </x:c>
      <x:c r="M105" s="110" t="inlineStr">
        <x:is>
          <x:t xml:space="preserve">15–35 sec</x:t>
        </x:is>
      </x:c>
      <x:c r="N105" s="110" t="inlineStr">
        <x:is>
          <x:t xml:space="preserve">TikTok</x:t>
        </x:is>
      </x:c>
      <x:c r="O105" s="110" t="inlineStr">
        <x:is>
          <x:t xml:space="preserve">Instagram Reels | Facebook Reels | YouTube Shorts</x:t>
        </x:is>
      </x:c>
      <x:c r="P105" s="110" t="inlineStr">
        <x:is>
          <x:t xml:space="preserve">Relatable driver tension; make people laugh, then attach a practical Msafiri angle.</x:t>
        </x:is>
      </x:c>
      <x:c r="Q105" s="110" t="inlineStr">
        <x:is>
          <x:t xml:space="preserve">POV: people need to trust the team behind the road tool and everyone in the car suddenly becomes a driving expert.</x:t>
        </x:is>
      </x:c>
      <x:c r="R105" s="110" t="inlineStr">
        <x:is>
          <x:t xml:space="preserve">Driver/passenger skit, quick reaction cuts, exaggerated but familiar Kenyan driving moment.</x:t>
        </x:is>
      </x:c>
      <x:c r="S105" s="110" t="inlineStr">
        <x:is>
          <x:t xml:space="preserve">Every driver knows this argument. The smart move is having better information before the argument starts.</x:t>
        </x:is>
      </x:c>
      <x:c r="T105" s="110" t="inlineStr">
        <x:is>
          <x:t xml:space="preserve">Tag the driver who does this.</x:t>
        </x:is>
      </x:c>
      <x:c r="U105" s="110" t="inlineStr">
        <x:is>
          <x:t xml:space="preserve">Phone mount; Msafiri screen-record; Office, car, road-test loop B-roll; captions; branded end card</x:t>
        </x:is>
      </x:c>
      <x:c r="V105" s="110" t="inlineStr">
        <x:is>
          <x:t xml:space="preserve">Founder</x:t>
        </x:is>
      </x:c>
      <x:c r="W105" s="110" t="inlineStr">
        <x:is>
          <x:t xml:space="preserve">Backlog</x:t>
        </x:is>
      </x:c>
      <x:c r="X105" s="110" t="inlineStr">
        <x:is>
          <x:t xml:space="preserve">Not Started</x:t>
        </x:is>
      </x:c>
      <x:c r="Y105" s="110" t="n"/>
      <x:c r="Z105" s="111" t="n"/>
      <x:c r="AA105" s="111" t="n"/>
      <x:c r="AB105" s="111" t="n"/>
      <x:c r="AC105" s="111" t="n"/>
      <x:c r="AD105" s="111" t="n"/>
      <x:c r="AE105" s="110" t="n"/>
      <x:c r="AF105" s="121" t="inlineStr">
        <x:is>
          <x:t xml:space="preserve">Optional</x:t>
        </x:is>
      </x:c>
      <x:c r="AG105" s="110" t="inlineStr">
        <x:is>
          <x:t xml:space="preserve">Repurpose / story</x:t>
        </x:is>
      </x:c>
      <x:c r="AH105" s="113" t="n">
        <x:v>25</x:v>
      </x:c>
      <x:c r="AI105" s="114" t="n">
        <x:v>0</x:v>
      </x:c>
      <x:c r="AJ105" s="115" t="inlineStr">
        <x:is>
          <x:t xml:space="preserve"/>
        </x:is>
      </x:c>
      <x:c r="AK105" s="113" t="n">
        <x:v>0</x:v>
      </x:c>
      <x:c r="AL105" s="114" t="n">
        <x:v>0</x:v>
      </x:c>
    </x:row>
    <x:row r="106" ht="64" customHeight="1">
      <x:c r="A106" s="116" t="n">
        <x:v>46352</x:v>
      </x:c>
      <x:c r="B106" s="117" t="inlineStr">
        <x:is>
          <x:t xml:space="preserve">Thursday</x:t>
        </x:is>
      </x:c>
      <x:c r="C106" s="117" t="n">
        <x:v>102</x:v>
      </x:c>
      <x:c r="D106" s="117" t="n">
        <x:v>15</x:v>
      </x:c>
      <x:c r="E106" s="117" t="inlineStr">
        <x:is>
          <x:t xml:space="preserve">Build-in-public trust week</x:t>
        </x:is>
      </x:c>
      <x:c r="F106" s="117" t="inlineStr">
        <x:is>
          <x:t xml:space="preserve">Why we built this</x:t>
        </x:is>
      </x:c>
      <x:c r="G106" s="117" t="inlineStr">
        <x:is>
          <x:t xml:space="preserve">Founder / BTS</x:t>
        </x:is>
      </x:c>
      <x:c r="H106" s="117" t="inlineStr">
        <x:is>
          <x:t xml:space="preserve">Founder Files</x:t>
        </x:is>
      </x:c>
      <x:c r="I106" s="117" t="inlineStr">
        <x:is>
          <x:t xml:space="preserve">Msafiri brand trust</x:t>
        </x:is>
      </x:c>
      <x:c r="J106" s="117" t="inlineStr">
        <x:is>
          <x:t xml:space="preserve">Founder/tech audience</x:t>
        </x:is>
      </x:c>
      <x:c r="K106" s="117" t="inlineStr">
        <x:is>
          <x:t xml:space="preserve">Trust</x:t>
        </x:is>
      </x:c>
      <x:c r="L106" s="117" t="inlineStr">
        <x:is>
          <x:t xml:space="preserve">Founder-to-camera</x:t>
        </x:is>
      </x:c>
      <x:c r="M106" s="117" t="inlineStr">
        <x:is>
          <x:t xml:space="preserve">30–60 sec</x:t>
        </x:is>
      </x:c>
      <x:c r="N106" s="117" t="inlineStr">
        <x:is>
          <x:t xml:space="preserve">Instagram Reels</x:t>
        </x:is>
      </x:c>
      <x:c r="O106" s="117" t="inlineStr">
        <x:is>
          <x:t xml:space="preserve">TikTok | YouTube Shorts | LinkedIn</x:t>
        </x:is>
      </x:c>
      <x:c r="P106" s="117" t="inlineStr">
        <x:is>
          <x:t xml:space="preserve">Peter explains the product decision, tradeoff, or local insight behind the week’s feature.</x:t>
        </x:is>
      </x:c>
      <x:c r="Q106" s="117" t="inlineStr">
        <x:is>
          <x:t xml:space="preserve">Peter here — this is why we built Msafiri brand trust for Kenyan drivers, not just generic drivers.</x:t>
        </x:is>
      </x:c>
      <x:c r="R106" s="117" t="inlineStr">
        <x:is>
          <x:t xml:space="preserve">Peter in car or office, quick cutaways to road test, product screen and handwritten notes.</x:t>
        </x:is>
      </x:c>
      <x:c r="S106" s="117" t="inlineStr">
        <x:is>
          <x:t xml:space="preserve">The goal is not another app on your phone. The goal is a calmer, more prepared drive.</x:t>
        </x:is>
      </x:c>
      <x:c r="T106" s="117" t="inlineStr">
        <x:is>
          <x:t xml:space="preserve">Follow Msafiri as we build for Kenyan roads.</x:t>
        </x:is>
      </x:c>
      <x:c r="U106" s="117" t="inlineStr">
        <x:is>
          <x:t xml:space="preserve">Peter on-camera setup; car/office B-roll; product screen; simple lower-third</x:t>
        </x:is>
      </x:c>
      <x:c r="V106" s="117" t="inlineStr">
        <x:is>
          <x:t xml:space="preserve">Founder</x:t>
        </x:is>
      </x:c>
      <x:c r="W106" s="117" t="inlineStr">
        <x:is>
          <x:t xml:space="preserve">Draft</x:t>
        </x:is>
      </x:c>
      <x:c r="X106" s="117" t="inlineStr">
        <x:is>
          <x:t xml:space="preserve">Not Started</x:t>
        </x:is>
      </x:c>
      <x:c r="Y106" s="117" t="n"/>
      <x:c r="Z106" s="118" t="n"/>
      <x:c r="AA106" s="118" t="n"/>
      <x:c r="AB106" s="118" t="n"/>
      <x:c r="AC106" s="118" t="n"/>
      <x:c r="AD106" s="118" t="n"/>
      <x:c r="AE106" s="117" t="n"/>
      <x:c r="AF106" s="119" t="inlineStr">
        <x:is>
          <x:t xml:space="preserve">Core</x:t>
        </x:is>
      </x:c>
      <x:c r="AG106" s="117" t="inlineStr">
        <x:is>
          <x:t xml:space="preserve">Founder / education</x:t>
        </x:is>
      </x:c>
      <x:c r="AH106" s="113" t="n">
        <x:v>45</x:v>
      </x:c>
      <x:c r="AI106" s="114" t="n">
        <x:v>0</x:v>
      </x:c>
      <x:c r="AJ106" s="120" t="inlineStr">
        <x:is>
          <x:t xml:space="preserve"/>
        </x:is>
      </x:c>
      <x:c r="AK106" s="113" t="n">
        <x:v>0</x:v>
      </x:c>
      <x:c r="AL106" s="114" t="n">
        <x:v>0</x:v>
      </x:c>
    </x:row>
    <x:row r="107" ht="64" customHeight="1">
      <x:c r="A107" s="109" t="n">
        <x:v>46353</x:v>
      </x:c>
      <x:c r="B107" s="110" t="inlineStr">
        <x:is>
          <x:t xml:space="preserve">Friday</x:t>
        </x:is>
      </x:c>
      <x:c r="C107" s="110" t="n">
        <x:v>103</x:v>
      </x:c>
      <x:c r="D107" s="110" t="n">
        <x:v>15</x:v>
      </x:c>
      <x:c r="E107" s="110" t="inlineStr">
        <x:is>
          <x:t xml:space="preserve">Build-in-public trust week</x:t>
        </x:is>
      </x:c>
      <x:c r="F107" s="110" t="inlineStr">
        <x:is>
          <x:t xml:space="preserve">Why we built this</x:t>
        </x:is>
      </x:c>
      <x:c r="G107" s="110" t="inlineStr">
        <x:is>
          <x:t xml:space="preserve">Debate / Mythbusters</x:t>
        </x:is>
      </x:c>
      <x:c r="H107" s="110" t="inlineStr">
        <x:is>
          <x:t xml:space="preserve">Road Mythbusters</x:t>
        </x:is>
      </x:c>
      <x:c r="I107" s="110" t="inlineStr">
        <x:is>
          <x:t xml:space="preserve">Msafiri brand trust</x:t>
        </x:is>
      </x:c>
      <x:c r="J107" s="110" t="inlineStr">
        <x:is>
          <x:t xml:space="preserve">Founder/tech audience</x:t>
        </x:is>
      </x:c>
      <x:c r="K107" s="110" t="inlineStr">
        <x:is>
          <x:t xml:space="preserve">Engagement</x:t>
        </x:is>
      </x:c>
      <x:c r="L107" s="110" t="inlineStr">
        <x:is>
          <x:t xml:space="preserve">Short-form video</x:t>
        </x:is>
      </x:c>
      <x:c r="M107" s="110" t="inlineStr">
        <x:is>
          <x:t xml:space="preserve">20–45 sec</x:t>
        </x:is>
      </x:c>
      <x:c r="N107" s="110" t="inlineStr">
        <x:is>
          <x:t xml:space="preserve">TikTok</x:t>
        </x:is>
      </x:c>
      <x:c r="O107" s="110" t="inlineStr">
        <x:is>
          <x:t xml:space="preserve">Instagram Reels | YouTube Shorts | Facebook Reels</x:t>
        </x:is>
      </x:c>
      <x:c r="P107" s="110" t="inlineStr">
        <x:is>
          <x:t xml:space="preserve">Open a controlled debate while ending with responsible road-safety framing.</x:t>
        </x:is>
      </x:c>
      <x:c r="Q107" s="110" t="inlineStr">
        <x:is>
          <x:t xml:space="preserve">Hot take: people trust a driving app more when the founder is visible.</x:t>
        </x:is>
      </x:c>
      <x:c r="R107" s="110" t="inlineStr">
        <x:is>
          <x:t xml:space="preserve">Split screen: claim vs reality, quick poll sticker, Peter closing with safe takeaway.</x:t>
        </x:is>
      </x:c>
      <x:c r="S107" s="110" t="inlineStr">
        <x:is>
          <x:t xml:space="preserve">Debate is useful only if it makes us better drivers. What is your honest view?</x:t>
        </x:is>
      </x:c>
      <x:c r="T107" s="110" t="inlineStr">
        <x:is>
          <x:t xml:space="preserve">Agree or disagree? Give your reason.</x:t>
        </x:is>
      </x:c>
      <x:c r="U107" s="110" t="inlineStr">
        <x:is>
          <x:t xml:space="preserve">Phone mount; Msafiri screen-record; Office, car, road-test loop B-roll; captions; branded end card</x:t>
        </x:is>
      </x:c>
      <x:c r="V107" s="110" t="inlineStr">
        <x:is>
          <x:t xml:space="preserve">Founder</x:t>
        </x:is>
      </x:c>
      <x:c r="W107" s="110" t="inlineStr">
        <x:is>
          <x:t xml:space="preserve">Backlog</x:t>
        </x:is>
      </x:c>
      <x:c r="X107" s="110" t="inlineStr">
        <x:is>
          <x:t xml:space="preserve">Not Started</x:t>
        </x:is>
      </x:c>
      <x:c r="Y107" s="110" t="n"/>
      <x:c r="Z107" s="111" t="n"/>
      <x:c r="AA107" s="111" t="n"/>
      <x:c r="AB107" s="111" t="n"/>
      <x:c r="AC107" s="111" t="n"/>
      <x:c r="AD107" s="111" t="n"/>
      <x:c r="AE107" s="110" t="n"/>
      <x:c r="AF107" s="121" t="inlineStr">
        <x:is>
          <x:t xml:space="preserve">Optional</x:t>
        </x:is>
      </x:c>
      <x:c r="AG107" s="110" t="inlineStr">
        <x:is>
          <x:t xml:space="preserve">Community reply</x:t>
        </x:is>
      </x:c>
      <x:c r="AH107" s="113" t="n">
        <x:v>25</x:v>
      </x:c>
      <x:c r="AI107" s="114" t="n">
        <x:v>0</x:v>
      </x:c>
      <x:c r="AJ107" s="115" t="inlineStr">
        <x:is>
          <x:t xml:space="preserve"/>
        </x:is>
      </x:c>
      <x:c r="AK107" s="113" t="n">
        <x:v>0</x:v>
      </x:c>
      <x:c r="AL107" s="114" t="n">
        <x:v>0</x:v>
      </x:c>
    </x:row>
    <x:row r="108" ht="64" customHeight="1">
      <x:c r="A108" s="116" t="n">
        <x:v>46354</x:v>
      </x:c>
      <x:c r="B108" s="117" t="inlineStr">
        <x:is>
          <x:t xml:space="preserve">Saturday</x:t>
        </x:is>
      </x:c>
      <x:c r="C108" s="117" t="n">
        <x:v>104</x:v>
      </x:c>
      <x:c r="D108" s="117" t="n">
        <x:v>15</x:v>
      </x:c>
      <x:c r="E108" s="117" t="inlineStr">
        <x:is>
          <x:t xml:space="preserve">Build-in-public trust week</x:t>
        </x:is>
      </x:c>
      <x:c r="F108" s="117" t="inlineStr">
        <x:is>
          <x:t xml:space="preserve">Why we built this</x:t>
        </x:is>
      </x:c>
      <x:c r="G108" s="117" t="inlineStr">
        <x:is>
          <x:t xml:space="preserve">Community / UGC</x:t>
        </x:is>
      </x:c>
      <x:c r="H108" s="117" t="inlineStr">
        <x:is>
          <x:t xml:space="preserve">Ask a Kenyan Driver</x:t>
        </x:is>
      </x:c>
      <x:c r="I108" s="117" t="inlineStr">
        <x:is>
          <x:t xml:space="preserve">Msafiri brand trust</x:t>
        </x:is>
      </x:c>
      <x:c r="J108" s="117" t="inlineStr">
        <x:is>
          <x:t xml:space="preserve">Founder/tech audience</x:t>
        </x:is>
      </x:c>
      <x:c r="K108" s="117" t="inlineStr">
        <x:is>
          <x:t xml:space="preserve">Community</x:t>
        </x:is>
      </x:c>
      <x:c r="L108" s="117" t="inlineStr">
        <x:is>
          <x:t xml:space="preserve">Street Interview</x:t>
        </x:is>
      </x:c>
      <x:c r="M108" s="117" t="inlineStr">
        <x:is>
          <x:t xml:space="preserve">20–60 sec</x:t>
        </x:is>
      </x:c>
      <x:c r="N108" s="117" t="inlineStr">
        <x:is>
          <x:t xml:space="preserve">TikTok</x:t>
        </x:is>
      </x:c>
      <x:c r="O108" s="117" t="inlineStr">
        <x:is>
          <x:t xml:space="preserve">Instagram Reels | Facebook Reels | YouTube Shorts</x:t>
        </x:is>
      </x:c>
      <x:c r="P108" s="117" t="inlineStr">
        <x:is>
          <x:t xml:space="preserve">Let drivers speak; collect comments and stories that can become future episodes.</x:t>
        </x:is>
      </x:c>
      <x:c r="Q108" s="117" t="inlineStr">
        <x:is>
          <x:t xml:space="preserve">We asked drivers: what would make you trust a Kenyan driving app?</x:t>
        </x:is>
      </x:c>
      <x:c r="R108" s="117" t="inlineStr">
        <x:is>
          <x:t xml:space="preserve">Street interview, 3 fast answers, one unexpected answer, branded closing card.</x:t>
        </x:is>
      </x:c>
      <x:c r="S108" s="117" t="inlineStr">
        <x:is>
          <x:t xml:space="preserve">Kenyan drivers have stories. Msafiri wants to turn those stories into smarter road intelligence.</x:t>
        </x:is>
      </x:c>
      <x:c r="T108" s="117" t="inlineStr">
        <x:is>
          <x:t xml:space="preserve">Tell us your answer in the comments.</x:t>
        </x:is>
      </x:c>
      <x:c r="U108" s="117" t="inlineStr">
        <x:is>
          <x:t xml:space="preserve">Lapel mic; consent line; 3–5 driver answers; branded question card; subtitle template</x:t>
        </x:is>
      </x:c>
      <x:c r="V108" s="117" t="inlineStr">
        <x:is>
          <x:t xml:space="preserve">Founder</x:t>
        </x:is>
      </x:c>
      <x:c r="W108" s="117" t="inlineStr">
        <x:is>
          <x:t xml:space="preserve">Draft</x:t>
        </x:is>
      </x:c>
      <x:c r="X108" s="117" t="inlineStr">
        <x:is>
          <x:t xml:space="preserve">Not Started</x:t>
        </x:is>
      </x:c>
      <x:c r="Y108" s="117" t="n"/>
      <x:c r="Z108" s="118" t="n"/>
      <x:c r="AA108" s="118" t="n"/>
      <x:c r="AB108" s="118" t="n"/>
      <x:c r="AC108" s="118" t="n"/>
      <x:c r="AD108" s="118" t="n"/>
      <x:c r="AE108" s="117" t="n"/>
      <x:c r="AF108" s="119" t="inlineStr">
        <x:is>
          <x:t xml:space="preserve">Core</x:t>
        </x:is>
      </x:c>
      <x:c r="AG108" s="117" t="inlineStr">
        <x:is>
          <x:t xml:space="preserve">Field / community</x:t>
        </x:is>
      </x:c>
      <x:c r="AH108" s="113" t="n">
        <x:v>60</x:v>
      </x:c>
      <x:c r="AI108" s="114" t="n">
        <x:v>0</x:v>
      </x:c>
      <x:c r="AJ108" s="120" t="inlineStr">
        <x:is>
          <x:t xml:space="preserve"/>
        </x:is>
      </x:c>
      <x:c r="AK108" s="113" t="n">
        <x:v>0</x:v>
      </x:c>
      <x:c r="AL108" s="114" t="n">
        <x:v>0</x:v>
      </x:c>
    </x:row>
    <x:row r="109" ht="64" customHeight="1">
      <x:c r="A109" s="109" t="n">
        <x:v>46355</x:v>
      </x:c>
      <x:c r="B109" s="110" t="inlineStr">
        <x:is>
          <x:t xml:space="preserve">Sunday</x:t>
        </x:is>
      </x:c>
      <x:c r="C109" s="110" t="n">
        <x:v>105</x:v>
      </x:c>
      <x:c r="D109" s="110" t="n">
        <x:v>15</x:v>
      </x:c>
      <x:c r="E109" s="110" t="inlineStr">
        <x:is>
          <x:t xml:space="preserve">Build-in-public trust week</x:t>
        </x:is>
      </x:c>
      <x:c r="F109" s="110" t="inlineStr">
        <x:is>
          <x:t xml:space="preserve">Why we built this</x:t>
        </x:is>
      </x:c>
      <x:c r="G109" s="110" t="inlineStr">
        <x:is>
          <x:t xml:space="preserve">Education / Safety</x:t>
        </x:is>
      </x:c>
      <x:c r="H109" s="110" t="inlineStr">
        <x:is>
          <x:t xml:space="preserve">Before You Drive</x:t>
        </x:is>
      </x:c>
      <x:c r="I109" s="110" t="inlineStr">
        <x:is>
          <x:t xml:space="preserve">Msafiri brand trust</x:t>
        </x:is>
      </x:c>
      <x:c r="J109" s="110" t="inlineStr">
        <x:is>
          <x:t xml:space="preserve">Founder/tech audience</x:t>
        </x:is>
      </x:c>
      <x:c r="K109" s="110" t="inlineStr">
        <x:is>
          <x:t xml:space="preserve">Retention</x:t>
        </x:is>
      </x:c>
      <x:c r="L109" s="110" t="inlineStr">
        <x:is>
          <x:t xml:space="preserve">Checklist Reel</x:t>
        </x:is>
      </x:c>
      <x:c r="M109" s="110" t="inlineStr">
        <x:is>
          <x:t xml:space="preserve">20–45 sec</x:t>
        </x:is>
      </x:c>
      <x:c r="N109" s="110" t="inlineStr">
        <x:is>
          <x:t xml:space="preserve">Instagram Reels</x:t>
        </x:is>
      </x:c>
      <x:c r="O109" s="110" t="inlineStr">
        <x:is>
          <x:t xml:space="preserve">TikTok | YouTube Shorts | Facebook Reels | Instagram Stories</x:t>
        </x:is>
      </x:c>
      <x:c r="P109" s="110" t="inlineStr">
        <x:is>
          <x:t xml:space="preserve">A saveable checklist people can use before a real drive.</x:t>
        </x:is>
      </x:c>
      <x:c r="Q109" s="110" t="inlineStr">
        <x:is>
          <x:t xml:space="preserve">Save this build-in-public trust week checklist before your next drive.</x:t>
        </x:is>
      </x:c>
      <x:c r="R109" s="110" t="inlineStr">
        <x:is>
          <x:t xml:space="preserve">Checklist overlay, hands-on car/phone shots, one item per beat, final saved-card frame.</x:t>
        </x:is>
      </x:c>
      <x:c r="S109" s="110" t="inlineStr">
        <x:is>
          <x:t xml:space="preserve">A good drive often starts before the engine starts. Keep this simple checklist close.</x:t>
        </x:is>
      </x:c>
      <x:c r="T109" s="110" t="inlineStr">
        <x:is>
          <x:t xml:space="preserve">Save this before your next drive.</x:t>
        </x:is>
      </x:c>
      <x:c r="U109" s="110" t="inlineStr">
        <x:is>
          <x:t xml:space="preserve">Phone mount; Msafiri screen-record; Office, car, road-test loop B-roll; captions; branded end card</x:t>
        </x:is>
      </x:c>
      <x:c r="V109" s="110" t="inlineStr">
        <x:is>
          <x:t xml:space="preserve">Founder</x:t>
        </x:is>
      </x:c>
      <x:c r="W109" s="110" t="inlineStr">
        <x:is>
          <x:t xml:space="preserve">Backlog</x:t>
        </x:is>
      </x:c>
      <x:c r="X109" s="110" t="inlineStr">
        <x:is>
          <x:t xml:space="preserve">Not Started</x:t>
        </x:is>
      </x:c>
      <x:c r="Y109" s="110" t="n"/>
      <x:c r="Z109" s="111" t="n"/>
      <x:c r="AA109" s="111" t="n"/>
      <x:c r="AB109" s="111" t="n"/>
      <x:c r="AC109" s="111" t="n"/>
      <x:c r="AD109" s="111" t="n"/>
      <x:c r="AE109" s="110" t="n"/>
      <x:c r="AF109" s="121" t="inlineStr">
        <x:is>
          <x:t xml:space="preserve">Optional</x:t>
        </x:is>
      </x:c>
      <x:c r="AG109" s="110" t="inlineStr">
        <x:is>
          <x:t xml:space="preserve">Optional / planning</x:t>
        </x:is>
      </x:c>
      <x:c r="AH109" s="113" t="n">
        <x:v>20</x:v>
      </x:c>
      <x:c r="AI109" s="114" t="n">
        <x:v>0</x:v>
      </x:c>
      <x:c r="AJ109" s="115" t="inlineStr">
        <x:is>
          <x:t xml:space="preserve"/>
        </x:is>
      </x:c>
      <x:c r="AK109" s="113" t="n">
        <x:v>0</x:v>
      </x:c>
      <x:c r="AL109" s="114" t="n">
        <x:v>0</x:v>
      </x:c>
    </x:row>
    <x:row r="110" ht="64" customHeight="1">
      <x:c r="A110" s="116" t="n">
        <x:v>46356</x:v>
      </x:c>
      <x:c r="B110" s="117" t="inlineStr">
        <x:is>
          <x:t xml:space="preserve">Monday</x:t>
        </x:is>
      </x:c>
      <x:c r="C110" s="117" t="n">
        <x:v>106</x:v>
      </x:c>
      <x:c r="D110" s="117" t="n">
        <x:v>16</x:v>
      </x:c>
      <x:c r="E110" s="117" t="inlineStr">
        <x:is>
          <x:t xml:space="preserve">December travel countdown</x:t>
        </x:is>
      </x:c>
      <x:c r="F110" s="117" t="inlineStr">
        <x:is>
          <x:t xml:space="preserve">December road readiness</x:t>
        </x:is>
      </x:c>
      <x:c r="G110" s="117" t="inlineStr">
        <x:is>
          <x:t xml:space="preserve">Road Intelligence</x:t>
        </x:is>
      </x:c>
      <x:c r="H110" s="117" t="inlineStr">
        <x:is>
          <x:t xml:space="preserve">Msafiri Road Check</x:t>
        </x:is>
      </x:c>
      <x:c r="I110" s="117" t="inlineStr">
        <x:is>
          <x:t xml:space="preserve">Trips / trip sharing</x:t>
        </x:is>
      </x:c>
      <x:c r="J110" s="117" t="inlineStr">
        <x:is>
          <x:t xml:space="preserve">Long-distance driver</x:t>
        </x:is>
      </x:c>
      <x:c r="K110" s="117" t="inlineStr">
        <x:is>
          <x:t xml:space="preserve">Awareness</x:t>
        </x:is>
      </x:c>
      <x:c r="L110" s="117" t="inlineStr">
        <x:is>
          <x:t xml:space="preserve">Hero / Reel</x:t>
        </x:is>
      </x:c>
      <x:c r="M110" s="117" t="inlineStr">
        <x:is>
          <x:t xml:space="preserve">45–90 sec</x:t>
        </x:is>
      </x:c>
      <x:c r="N110" s="117" t="inlineStr">
        <x:is>
          <x:t xml:space="preserve">TikTok</x:t>
        </x:is>
      </x:c>
      <x:c r="O110" s="117" t="inlineStr">
        <x:is>
          <x:t xml:space="preserve">Instagram Reels | YouTube Shorts | Facebook Reels | YouTube</x:t>
        </x:is>
      </x:c>
      <x:c r="P110" s="117" t="inlineStr">
        <x:is>
          <x:t xml:space="preserve">Anchor episode that turns this week’s theme into a road story people can recognize.</x:t>
        </x:is>
      </x:c>
      <x:c r="Q110" s="117" t="inlineStr">
        <x:is>
          <x:t xml:space="preserve">We tested Upcountry travel preparation: what should a long-distance driver know before driving it this week?</x:t>
        </x:is>
      </x:c>
      <x:c r="R110" s="117" t="inlineStr">
        <x:is>
          <x:t xml:space="preserve">POV drive, 3 timestamped moments, map/context overlay, quick Msafiri screen, clear payoff.</x:t>
        </x:is>
      </x:c>
      <x:c r="S110" s="117" t="inlineStr">
        <x:is>
          <x:t xml:space="preserve">Road intelligence should feel practical, not complicated. Here is what stood out on Upcountry travel preparation.</x:t>
        </x:is>
      </x:c>
      <x:c r="T110" s="117" t="inlineStr">
        <x:is>
          <x:t xml:space="preserve">Tell us which road we should check next.</x:t>
        </x:is>
      </x:c>
      <x:c r="U110" s="117" t="inlineStr">
        <x:is>
          <x:t xml:space="preserve">Phone mount; Msafiri screen-record; Upcountry travel preparation B-roll; captions; branded end card</x:t>
        </x:is>
      </x:c>
      <x:c r="V110" s="117" t="inlineStr">
        <x:is>
          <x:t xml:space="preserve">Founder</x:t>
        </x:is>
      </x:c>
      <x:c r="W110" s="117" t="inlineStr">
        <x:is>
          <x:t xml:space="preserve">Draft</x:t>
        </x:is>
      </x:c>
      <x:c r="X110" s="117" t="inlineStr">
        <x:is>
          <x:t xml:space="preserve">Not Started</x:t>
        </x:is>
      </x:c>
      <x:c r="Y110" s="117" t="n"/>
      <x:c r="Z110" s="118" t="n"/>
      <x:c r="AA110" s="118" t="n"/>
      <x:c r="AB110" s="118" t="n"/>
      <x:c r="AC110" s="118" t="n"/>
      <x:c r="AD110" s="118" t="n"/>
      <x:c r="AE110" s="117" t="n"/>
      <x:c r="AF110" s="119" t="inlineStr">
        <x:is>
          <x:t xml:space="preserve">Core</x:t>
        </x:is>
      </x:c>
      <x:c r="AG110" s="117" t="inlineStr">
        <x:is>
          <x:t xml:space="preserve">Field / anchor</x:t>
        </x:is>
      </x:c>
      <x:c r="AH110" s="113" t="n">
        <x:v>75</x:v>
      </x:c>
      <x:c r="AI110" s="114" t="n">
        <x:v>0</x:v>
      </x:c>
      <x:c r="AJ110" s="120" t="inlineStr">
        <x:is>
          <x:t xml:space="preserve"/>
        </x:is>
      </x:c>
      <x:c r="AK110" s="113" t="n">
        <x:v>0</x:v>
      </x:c>
      <x:c r="AL110" s="114" t="n">
        <x:v>0</x:v>
      </x:c>
    </x:row>
    <x:row r="111" ht="64" customHeight="1">
      <x:c r="A111" s="109" t="n">
        <x:v>46357</x:v>
      </x:c>
      <x:c r="B111" s="110" t="inlineStr">
        <x:is>
          <x:t xml:space="preserve">Tuesday</x:t>
        </x:is>
      </x:c>
      <x:c r="C111" s="110" t="n">
        <x:v>107</x:v>
      </x:c>
      <x:c r="D111" s="110" t="n">
        <x:v>16</x:v>
      </x:c>
      <x:c r="E111" s="110" t="inlineStr">
        <x:is>
          <x:t xml:space="preserve">December travel countdown</x:t>
        </x:is>
      </x:c>
      <x:c r="F111" s="110" t="inlineStr">
        <x:is>
          <x:t xml:space="preserve">December road readiness</x:t>
        </x:is>
      </x:c>
      <x:c r="G111" s="110" t="inlineStr">
        <x:is>
          <x:t xml:space="preserve">Product / Feature Proof</x:t>
        </x:is>
      </x:c>
      <x:c r="H111" s="110" t="inlineStr">
        <x:is>
          <x:t xml:space="preserve">Feature in the Wild</x:t>
        </x:is>
      </x:c>
      <x:c r="I111" s="110" t="inlineStr">
        <x:is>
          <x:t xml:space="preserve">Trips / trip sharing</x:t>
        </x:is>
      </x:c>
      <x:c r="J111" s="110" t="inlineStr">
        <x:is>
          <x:t xml:space="preserve">Long-distance driver</x:t>
        </x:is>
      </x:c>
      <x:c r="K111" s="110" t="inlineStr">
        <x:is>
          <x:t xml:space="preserve">Feature Discovery</x:t>
        </x:is>
      </x:c>
      <x:c r="L111" s="110" t="inlineStr">
        <x:is>
          <x:t xml:space="preserve">Short-form video</x:t>
        </x:is>
      </x:c>
      <x:c r="M111" s="110" t="inlineStr">
        <x:is>
          <x:t xml:space="preserve">20–45 sec</x:t>
        </x:is>
      </x:c>
      <x:c r="N111" s="110" t="inlineStr">
        <x:is>
          <x:t xml:space="preserve">Instagram Reels</x:t>
        </x:is>
      </x:c>
      <x:c r="O111" s="110" t="inlineStr">
        <x:is>
          <x:t xml:space="preserve">TikTok | YouTube Shorts | Facebook Reels</x:t>
        </x:is>
      </x:c>
      <x:c r="P111" s="110" t="inlineStr">
        <x:is>
          <x:t xml:space="preserve">Show the feature solving one real driving moment without turning the video into an ad.</x:t>
        </x:is>
      </x:c>
      <x:c r="Q111" s="110" t="inlineStr">
        <x:is>
          <x:t xml:space="preserve">Trips / trip sharing only makes sense when the group keeps calling because nobody knows the plan; here is the 30-second version.</x:t>
        </x:is>
      </x:c>
      <x:c r="R111" s="110" t="inlineStr">
        <x:is>
          <x:t xml:space="preserve">Phone mount, screen-record, before/after comparison, one clean feature payoff.</x:t>
        </x:is>
      </x:c>
      <x:c r="S111" s="110" t="inlineStr">
        <x:is>
          <x:t xml:space="preserve">A feature is only useful if it helps in the exact moment a driver needs it.</x:t>
        </x:is>
      </x:c>
      <x:c r="T111" s="110" t="inlineStr">
        <x:is>
          <x:t xml:space="preserve">Try Msafiri on your next drive.</x:t>
        </x:is>
      </x:c>
      <x:c r="U111" s="110" t="inlineStr">
        <x:is>
          <x:t xml:space="preserve">Phone mount; Msafiri screen-record; Upcountry travel preparation B-roll; captions; branded end card</x:t>
        </x:is>
      </x:c>
      <x:c r="V111" s="110" t="inlineStr">
        <x:is>
          <x:t xml:space="preserve">Founder</x:t>
        </x:is>
      </x:c>
      <x:c r="W111" s="110" t="inlineStr">
        <x:is>
          <x:t xml:space="preserve">Draft</x:t>
        </x:is>
      </x:c>
      <x:c r="X111" s="110" t="inlineStr">
        <x:is>
          <x:t xml:space="preserve">Not Started</x:t>
        </x:is>
      </x:c>
      <x:c r="Y111" s="110" t="n"/>
      <x:c r="Z111" s="111" t="n"/>
      <x:c r="AA111" s="111" t="n"/>
      <x:c r="AB111" s="111" t="n"/>
      <x:c r="AC111" s="111" t="n"/>
      <x:c r="AD111" s="111" t="n"/>
      <x:c r="AE111" s="110" t="n"/>
      <x:c r="AF111" s="112" t="inlineStr">
        <x:is>
          <x:t xml:space="preserve">Core</x:t>
        </x:is>
      </x:c>
      <x:c r="AG111" s="110" t="inlineStr">
        <x:is>
          <x:t xml:space="preserve">Screen demo</x:t>
        </x:is>
      </x:c>
      <x:c r="AH111" s="113" t="n">
        <x:v>45</x:v>
      </x:c>
      <x:c r="AI111" s="114" t="n">
        <x:v>0</x:v>
      </x:c>
      <x:c r="AJ111" s="115" t="inlineStr">
        <x:is>
          <x:t xml:space="preserve"/>
        </x:is>
      </x:c>
      <x:c r="AK111" s="113" t="n">
        <x:v>0</x:v>
      </x:c>
      <x:c r="AL111" s="114" t="n">
        <x:v>0</x:v>
      </x:c>
    </x:row>
    <x:row r="112" ht="64" customHeight="1">
      <x:c r="A112" s="116" t="n">
        <x:v>46358</x:v>
      </x:c>
      <x:c r="B112" s="117" t="inlineStr">
        <x:is>
          <x:t xml:space="preserve">Wednesday</x:t>
        </x:is>
      </x:c>
      <x:c r="C112" s="117" t="n">
        <x:v>108</x:v>
      </x:c>
      <x:c r="D112" s="117" t="n">
        <x:v>16</x:v>
      </x:c>
      <x:c r="E112" s="117" t="inlineStr">
        <x:is>
          <x:t xml:space="preserve">December travel countdown</x:t>
        </x:is>
      </x:c>
      <x:c r="F112" s="117" t="inlineStr">
        <x:is>
          <x:t xml:space="preserve">December road readiness</x:t>
        </x:is>
      </x:c>
      <x:c r="G112" s="117" t="inlineStr">
        <x:is>
          <x:t xml:space="preserve">Kenyan Driving Reality</x:t>
        </x:is>
      </x:c>
      <x:c r="H112" s="117" t="inlineStr">
        <x:is>
          <x:t xml:space="preserve">Kenyan Driver Problems</x:t>
        </x:is>
      </x:c>
      <x:c r="I112" s="117" t="inlineStr">
        <x:is>
          <x:t xml:space="preserve">Trips / trip sharing</x:t>
        </x:is>
      </x:c>
      <x:c r="J112" s="117" t="inlineStr">
        <x:is>
          <x:t xml:space="preserve">Long-distance driver</x:t>
        </x:is>
      </x:c>
      <x:c r="K112" s="117" t="inlineStr">
        <x:is>
          <x:t xml:space="preserve">Engagement</x:t>
        </x:is>
      </x:c>
      <x:c r="L112" s="117" t="inlineStr">
        <x:is>
          <x:t xml:space="preserve">Skit</x:t>
        </x:is>
      </x:c>
      <x:c r="M112" s="117" t="inlineStr">
        <x:is>
          <x:t xml:space="preserve">15–35 sec</x:t>
        </x:is>
      </x:c>
      <x:c r="N112" s="117" t="inlineStr">
        <x:is>
          <x:t xml:space="preserve">TikTok</x:t>
        </x:is>
      </x:c>
      <x:c r="O112" s="117" t="inlineStr">
        <x:is>
          <x:t xml:space="preserve">Instagram Reels | Facebook Reels | YouTube Shorts</x:t>
        </x:is>
      </x:c>
      <x:c r="P112" s="117" t="inlineStr">
        <x:is>
          <x:t xml:space="preserve">Relatable driver tension; make people laugh, then attach a practical Msafiri angle.</x:t>
        </x:is>
      </x:c>
      <x:c r="Q112" s="117" t="inlineStr">
        <x:is>
          <x:t xml:space="preserve">POV: the group keeps calling because nobody knows the plan and everyone in the car suddenly becomes a driving expert.</x:t>
        </x:is>
      </x:c>
      <x:c r="R112" s="117" t="inlineStr">
        <x:is>
          <x:t xml:space="preserve">Driver/passenger skit, quick reaction cuts, exaggerated but familiar Kenyan driving moment.</x:t>
        </x:is>
      </x:c>
      <x:c r="S112" s="117" t="inlineStr">
        <x:is>
          <x:t xml:space="preserve">Every driver knows this argument. The smart move is having better information before the argument starts.</x:t>
        </x:is>
      </x:c>
      <x:c r="T112" s="117" t="inlineStr">
        <x:is>
          <x:t xml:space="preserve">Tag the driver who does this.</x:t>
        </x:is>
      </x:c>
      <x:c r="U112" s="117" t="inlineStr">
        <x:is>
          <x:t xml:space="preserve">Phone mount; Msafiri screen-record; Upcountry travel preparation B-roll; captions; branded end card</x:t>
        </x:is>
      </x:c>
      <x:c r="V112" s="117" t="inlineStr">
        <x:is>
          <x:t xml:space="preserve">Founder</x:t>
        </x:is>
      </x:c>
      <x:c r="W112" s="117" t="inlineStr">
        <x:is>
          <x:t xml:space="preserve">Backlog</x:t>
        </x:is>
      </x:c>
      <x:c r="X112" s="117" t="inlineStr">
        <x:is>
          <x:t xml:space="preserve">Not Started</x:t>
        </x:is>
      </x:c>
      <x:c r="Y112" s="117" t="n"/>
      <x:c r="Z112" s="118" t="n"/>
      <x:c r="AA112" s="118" t="n"/>
      <x:c r="AB112" s="118" t="n"/>
      <x:c r="AC112" s="118" t="n"/>
      <x:c r="AD112" s="118" t="n"/>
      <x:c r="AE112" s="117" t="n"/>
      <x:c r="AF112" s="122" t="inlineStr">
        <x:is>
          <x:t xml:space="preserve">Optional</x:t>
        </x:is>
      </x:c>
      <x:c r="AG112" s="117" t="inlineStr">
        <x:is>
          <x:t xml:space="preserve">Repurpose / story</x:t>
        </x:is>
      </x:c>
      <x:c r="AH112" s="113" t="n">
        <x:v>25</x:v>
      </x:c>
      <x:c r="AI112" s="114" t="n">
        <x:v>0</x:v>
      </x:c>
      <x:c r="AJ112" s="120" t="inlineStr">
        <x:is>
          <x:t xml:space="preserve"/>
        </x:is>
      </x:c>
      <x:c r="AK112" s="113" t="n">
        <x:v>0</x:v>
      </x:c>
      <x:c r="AL112" s="114" t="n">
        <x:v>0</x:v>
      </x:c>
    </x:row>
    <x:row r="113" ht="64" customHeight="1">
      <x:c r="A113" s="109" t="n">
        <x:v>46359</x:v>
      </x:c>
      <x:c r="B113" s="110" t="inlineStr">
        <x:is>
          <x:t xml:space="preserve">Thursday</x:t>
        </x:is>
      </x:c>
      <x:c r="C113" s="110" t="n">
        <x:v>109</x:v>
      </x:c>
      <x:c r="D113" s="110" t="n">
        <x:v>16</x:v>
      </x:c>
      <x:c r="E113" s="110" t="inlineStr">
        <x:is>
          <x:t xml:space="preserve">December travel countdown</x:t>
        </x:is>
      </x:c>
      <x:c r="F113" s="110" t="inlineStr">
        <x:is>
          <x:t xml:space="preserve">December road readiness</x:t>
        </x:is>
      </x:c>
      <x:c r="G113" s="110" t="inlineStr">
        <x:is>
          <x:t xml:space="preserve">Founder / BTS</x:t>
        </x:is>
      </x:c>
      <x:c r="H113" s="110" t="inlineStr">
        <x:is>
          <x:t xml:space="preserve">Founder Files</x:t>
        </x:is>
      </x:c>
      <x:c r="I113" s="110" t="inlineStr">
        <x:is>
          <x:t xml:space="preserve">Trips / trip sharing</x:t>
        </x:is>
      </x:c>
      <x:c r="J113" s="110" t="inlineStr">
        <x:is>
          <x:t xml:space="preserve">Long-distance driver</x:t>
        </x:is>
      </x:c>
      <x:c r="K113" s="110" t="inlineStr">
        <x:is>
          <x:t xml:space="preserve">Trust</x:t>
        </x:is>
      </x:c>
      <x:c r="L113" s="110" t="inlineStr">
        <x:is>
          <x:t xml:space="preserve">Founder-to-camera</x:t>
        </x:is>
      </x:c>
      <x:c r="M113" s="110" t="inlineStr">
        <x:is>
          <x:t xml:space="preserve">30–60 sec</x:t>
        </x:is>
      </x:c>
      <x:c r="N113" s="110" t="inlineStr">
        <x:is>
          <x:t xml:space="preserve">Instagram Reels</x:t>
        </x:is>
      </x:c>
      <x:c r="O113" s="110" t="inlineStr">
        <x:is>
          <x:t xml:space="preserve">TikTok | YouTube Shorts | LinkedIn</x:t>
        </x:is>
      </x:c>
      <x:c r="P113" s="110" t="inlineStr">
        <x:is>
          <x:t xml:space="preserve">Peter explains the product decision, tradeoff, or local insight behind the week’s feature.</x:t>
        </x:is>
      </x:c>
      <x:c r="Q113" s="110" t="inlineStr">
        <x:is>
          <x:t xml:space="preserve">Peter here — this is why we built Trips / trip sharing for Kenyan drivers, not just generic drivers.</x:t>
        </x:is>
      </x:c>
      <x:c r="R113" s="110" t="inlineStr">
        <x:is>
          <x:t xml:space="preserve">Peter in car or office, quick cutaways to road test, product screen and handwritten notes.</x:t>
        </x:is>
      </x:c>
      <x:c r="S113" s="110" t="inlineStr">
        <x:is>
          <x:t xml:space="preserve">The goal is not another app on your phone. The goal is a calmer, more prepared drive.</x:t>
        </x:is>
      </x:c>
      <x:c r="T113" s="110" t="inlineStr">
        <x:is>
          <x:t xml:space="preserve">Follow Msafiri as we build for Kenyan roads.</x:t>
        </x:is>
      </x:c>
      <x:c r="U113" s="110" t="inlineStr">
        <x:is>
          <x:t xml:space="preserve">Peter on-camera setup; car/office B-roll; product screen; simple lower-third</x:t>
        </x:is>
      </x:c>
      <x:c r="V113" s="110" t="inlineStr">
        <x:is>
          <x:t xml:space="preserve">Founder</x:t>
        </x:is>
      </x:c>
      <x:c r="W113" s="110" t="inlineStr">
        <x:is>
          <x:t xml:space="preserve">Draft</x:t>
        </x:is>
      </x:c>
      <x:c r="X113" s="110" t="inlineStr">
        <x:is>
          <x:t xml:space="preserve">Not Started</x:t>
        </x:is>
      </x:c>
      <x:c r="Y113" s="110" t="n"/>
      <x:c r="Z113" s="111" t="n"/>
      <x:c r="AA113" s="111" t="n"/>
      <x:c r="AB113" s="111" t="n"/>
      <x:c r="AC113" s="111" t="n"/>
      <x:c r="AD113" s="111" t="n"/>
      <x:c r="AE113" s="110" t="n"/>
      <x:c r="AF113" s="112" t="inlineStr">
        <x:is>
          <x:t xml:space="preserve">Core</x:t>
        </x:is>
      </x:c>
      <x:c r="AG113" s="110" t="inlineStr">
        <x:is>
          <x:t xml:space="preserve">Founder / education</x:t>
        </x:is>
      </x:c>
      <x:c r="AH113" s="113" t="n">
        <x:v>45</x:v>
      </x:c>
      <x:c r="AI113" s="114" t="n">
        <x:v>0</x:v>
      </x:c>
      <x:c r="AJ113" s="115" t="inlineStr">
        <x:is>
          <x:t xml:space="preserve"/>
        </x:is>
      </x:c>
      <x:c r="AK113" s="113" t="n">
        <x:v>0</x:v>
      </x:c>
      <x:c r="AL113" s="114" t="n">
        <x:v>0</x:v>
      </x:c>
    </x:row>
    <x:row r="114" ht="64" customHeight="1">
      <x:c r="A114" s="116" t="n">
        <x:v>46360</x:v>
      </x:c>
      <x:c r="B114" s="117" t="inlineStr">
        <x:is>
          <x:t xml:space="preserve">Friday</x:t>
        </x:is>
      </x:c>
      <x:c r="C114" s="117" t="n">
        <x:v>110</x:v>
      </x:c>
      <x:c r="D114" s="117" t="n">
        <x:v>16</x:v>
      </x:c>
      <x:c r="E114" s="117" t="inlineStr">
        <x:is>
          <x:t xml:space="preserve">December travel countdown</x:t>
        </x:is>
      </x:c>
      <x:c r="F114" s="117" t="inlineStr">
        <x:is>
          <x:t xml:space="preserve">December road readiness</x:t>
        </x:is>
      </x:c>
      <x:c r="G114" s="117" t="inlineStr">
        <x:is>
          <x:t xml:space="preserve">Debate / Mythbusters</x:t>
        </x:is>
      </x:c>
      <x:c r="H114" s="117" t="inlineStr">
        <x:is>
          <x:t xml:space="preserve">Road Mythbusters</x:t>
        </x:is>
      </x:c>
      <x:c r="I114" s="117" t="inlineStr">
        <x:is>
          <x:t xml:space="preserve">Trips / trip sharing</x:t>
        </x:is>
      </x:c>
      <x:c r="J114" s="117" t="inlineStr">
        <x:is>
          <x:t xml:space="preserve">Long-distance driver</x:t>
        </x:is>
      </x:c>
      <x:c r="K114" s="117" t="inlineStr">
        <x:is>
          <x:t xml:space="preserve">Engagement</x:t>
        </x:is>
      </x:c>
      <x:c r="L114" s="117" t="inlineStr">
        <x:is>
          <x:t xml:space="preserve">Short-form video</x:t>
        </x:is>
      </x:c>
      <x:c r="M114" s="117" t="inlineStr">
        <x:is>
          <x:t xml:space="preserve">20–45 sec</x:t>
        </x:is>
      </x:c>
      <x:c r="N114" s="117" t="inlineStr">
        <x:is>
          <x:t xml:space="preserve">TikTok</x:t>
        </x:is>
      </x:c>
      <x:c r="O114" s="117" t="inlineStr">
        <x:is>
          <x:t xml:space="preserve">Instagram Reels | YouTube Shorts | Facebook Reels</x:t>
        </x:is>
      </x:c>
      <x:c r="P114" s="117" t="inlineStr">
        <x:is>
          <x:t xml:space="preserve">Open a controlled debate while ending with responsible road-safety framing.</x:t>
        </x:is>
      </x:c>
      <x:c r="Q114" s="117" t="inlineStr">
        <x:is>
          <x:t xml:space="preserve">Hot take: a good trip plan prevents half the group-chat drama.</x:t>
        </x:is>
      </x:c>
      <x:c r="R114" s="117" t="inlineStr">
        <x:is>
          <x:t xml:space="preserve">Split screen: claim vs reality, quick poll sticker, Peter closing with safe takeaway.</x:t>
        </x:is>
      </x:c>
      <x:c r="S114" s="117" t="inlineStr">
        <x:is>
          <x:t xml:space="preserve">Debate is useful only if it makes us better drivers. What is your honest view?</x:t>
        </x:is>
      </x:c>
      <x:c r="T114" s="117" t="inlineStr">
        <x:is>
          <x:t xml:space="preserve">Agree or disagree? Give your reason.</x:t>
        </x:is>
      </x:c>
      <x:c r="U114" s="117" t="inlineStr">
        <x:is>
          <x:t xml:space="preserve">Phone mount; Msafiri screen-record; Upcountry travel preparation B-roll; captions; branded end card</x:t>
        </x:is>
      </x:c>
      <x:c r="V114" s="117" t="inlineStr">
        <x:is>
          <x:t xml:space="preserve">Founder</x:t>
        </x:is>
      </x:c>
      <x:c r="W114" s="117" t="inlineStr">
        <x:is>
          <x:t xml:space="preserve">Backlog</x:t>
        </x:is>
      </x:c>
      <x:c r="X114" s="117" t="inlineStr">
        <x:is>
          <x:t xml:space="preserve">Not Started</x:t>
        </x:is>
      </x:c>
      <x:c r="Y114" s="117" t="n"/>
      <x:c r="Z114" s="118" t="n"/>
      <x:c r="AA114" s="118" t="n"/>
      <x:c r="AB114" s="118" t="n"/>
      <x:c r="AC114" s="118" t="n"/>
      <x:c r="AD114" s="118" t="n"/>
      <x:c r="AE114" s="117" t="n"/>
      <x:c r="AF114" s="122" t="inlineStr">
        <x:is>
          <x:t xml:space="preserve">Optional</x:t>
        </x:is>
      </x:c>
      <x:c r="AG114" s="117" t="inlineStr">
        <x:is>
          <x:t xml:space="preserve">Community reply</x:t>
        </x:is>
      </x:c>
      <x:c r="AH114" s="113" t="n">
        <x:v>25</x:v>
      </x:c>
      <x:c r="AI114" s="114" t="n">
        <x:v>0</x:v>
      </x:c>
      <x:c r="AJ114" s="120" t="inlineStr">
        <x:is>
          <x:t xml:space="preserve"/>
        </x:is>
      </x:c>
      <x:c r="AK114" s="113" t="n">
        <x:v>0</x:v>
      </x:c>
      <x:c r="AL114" s="114" t="n">
        <x:v>0</x:v>
      </x:c>
    </x:row>
    <x:row r="115" ht="64" customHeight="1">
      <x:c r="A115" s="109" t="n">
        <x:v>46361</x:v>
      </x:c>
      <x:c r="B115" s="110" t="inlineStr">
        <x:is>
          <x:t xml:space="preserve">Saturday</x:t>
        </x:is>
      </x:c>
      <x:c r="C115" s="110" t="n">
        <x:v>111</x:v>
      </x:c>
      <x:c r="D115" s="110" t="n">
        <x:v>16</x:v>
      </x:c>
      <x:c r="E115" s="110" t="inlineStr">
        <x:is>
          <x:t xml:space="preserve">December travel countdown</x:t>
        </x:is>
      </x:c>
      <x:c r="F115" s="110" t="inlineStr">
        <x:is>
          <x:t xml:space="preserve">December road readiness</x:t>
        </x:is>
      </x:c>
      <x:c r="G115" s="110" t="inlineStr">
        <x:is>
          <x:t xml:space="preserve">Community / UGC</x:t>
        </x:is>
      </x:c>
      <x:c r="H115" s="110" t="inlineStr">
        <x:is>
          <x:t xml:space="preserve">Ask a Kenyan Driver</x:t>
        </x:is>
      </x:c>
      <x:c r="I115" s="110" t="inlineStr">
        <x:is>
          <x:t xml:space="preserve">Trips / trip sharing</x:t>
        </x:is>
      </x:c>
      <x:c r="J115" s="110" t="inlineStr">
        <x:is>
          <x:t xml:space="preserve">Long-distance driver</x:t>
        </x:is>
      </x:c>
      <x:c r="K115" s="110" t="inlineStr">
        <x:is>
          <x:t xml:space="preserve">Community</x:t>
        </x:is>
      </x:c>
      <x:c r="L115" s="110" t="inlineStr">
        <x:is>
          <x:t xml:space="preserve">Street Interview</x:t>
        </x:is>
      </x:c>
      <x:c r="M115" s="110" t="inlineStr">
        <x:is>
          <x:t xml:space="preserve">20–60 sec</x:t>
        </x:is>
      </x:c>
      <x:c r="N115" s="110" t="inlineStr">
        <x:is>
          <x:t xml:space="preserve">TikTok</x:t>
        </x:is>
      </x:c>
      <x:c r="O115" s="110" t="inlineStr">
        <x:is>
          <x:t xml:space="preserve">Instagram Reels | Facebook Reels | YouTube Shorts</x:t>
        </x:is>
      </x:c>
      <x:c r="P115" s="110" t="inlineStr">
        <x:is>
          <x:t xml:space="preserve">Let drivers speak; collect comments and stories that can become future episodes.</x:t>
        </x:is>
      </x:c>
      <x:c r="Q115" s="110" t="inlineStr">
        <x:is>
          <x:t xml:space="preserve">We asked drivers: who in your group always asks for the route twice?</x:t>
        </x:is>
      </x:c>
      <x:c r="R115" s="110" t="inlineStr">
        <x:is>
          <x:t xml:space="preserve">Street interview, 3 fast answers, one unexpected answer, branded closing card.</x:t>
        </x:is>
      </x:c>
      <x:c r="S115" s="110" t="inlineStr">
        <x:is>
          <x:t xml:space="preserve">Kenyan drivers have stories. Msafiri wants to turn those stories into smarter road intelligence.</x:t>
        </x:is>
      </x:c>
      <x:c r="T115" s="110" t="inlineStr">
        <x:is>
          <x:t xml:space="preserve">Tell us your answer in the comments.</x:t>
        </x:is>
      </x:c>
      <x:c r="U115" s="110" t="inlineStr">
        <x:is>
          <x:t xml:space="preserve">Lapel mic; consent line; 3–5 driver answers; branded question card; subtitle template</x:t>
        </x:is>
      </x:c>
      <x:c r="V115" s="110" t="inlineStr">
        <x:is>
          <x:t xml:space="preserve">Founder</x:t>
        </x:is>
      </x:c>
      <x:c r="W115" s="110" t="inlineStr">
        <x:is>
          <x:t xml:space="preserve">Draft</x:t>
        </x:is>
      </x:c>
      <x:c r="X115" s="110" t="inlineStr">
        <x:is>
          <x:t xml:space="preserve">Not Started</x:t>
        </x:is>
      </x:c>
      <x:c r="Y115" s="110" t="n"/>
      <x:c r="Z115" s="111" t="n"/>
      <x:c r="AA115" s="111" t="n"/>
      <x:c r="AB115" s="111" t="n"/>
      <x:c r="AC115" s="111" t="n"/>
      <x:c r="AD115" s="111" t="n"/>
      <x:c r="AE115" s="110" t="n"/>
      <x:c r="AF115" s="112" t="inlineStr">
        <x:is>
          <x:t xml:space="preserve">Core</x:t>
        </x:is>
      </x:c>
      <x:c r="AG115" s="110" t="inlineStr">
        <x:is>
          <x:t xml:space="preserve">Field / community</x:t>
        </x:is>
      </x:c>
      <x:c r="AH115" s="113" t="n">
        <x:v>60</x:v>
      </x:c>
      <x:c r="AI115" s="114" t="n">
        <x:v>0</x:v>
      </x:c>
      <x:c r="AJ115" s="115" t="inlineStr">
        <x:is>
          <x:t xml:space="preserve"/>
        </x:is>
      </x:c>
      <x:c r="AK115" s="113" t="n">
        <x:v>0</x:v>
      </x:c>
      <x:c r="AL115" s="114" t="n">
        <x:v>0</x:v>
      </x:c>
    </x:row>
    <x:row r="116" ht="64" customHeight="1">
      <x:c r="A116" s="116" t="n">
        <x:v>46362</x:v>
      </x:c>
      <x:c r="B116" s="117" t="inlineStr">
        <x:is>
          <x:t xml:space="preserve">Sunday</x:t>
        </x:is>
      </x:c>
      <x:c r="C116" s="117" t="n">
        <x:v>112</x:v>
      </x:c>
      <x:c r="D116" s="117" t="n">
        <x:v>16</x:v>
      </x:c>
      <x:c r="E116" s="117" t="inlineStr">
        <x:is>
          <x:t xml:space="preserve">December travel countdown</x:t>
        </x:is>
      </x:c>
      <x:c r="F116" s="117" t="inlineStr">
        <x:is>
          <x:t xml:space="preserve">December road readiness</x:t>
        </x:is>
      </x:c>
      <x:c r="G116" s="117" t="inlineStr">
        <x:is>
          <x:t xml:space="preserve">Education / Safety</x:t>
        </x:is>
      </x:c>
      <x:c r="H116" s="117" t="inlineStr">
        <x:is>
          <x:t xml:space="preserve">Before You Drive</x:t>
        </x:is>
      </x:c>
      <x:c r="I116" s="117" t="inlineStr">
        <x:is>
          <x:t xml:space="preserve">Trips / trip sharing</x:t>
        </x:is>
      </x:c>
      <x:c r="J116" s="117" t="inlineStr">
        <x:is>
          <x:t xml:space="preserve">Long-distance driver</x:t>
        </x:is>
      </x:c>
      <x:c r="K116" s="117" t="inlineStr">
        <x:is>
          <x:t xml:space="preserve">Retention</x:t>
        </x:is>
      </x:c>
      <x:c r="L116" s="117" t="inlineStr">
        <x:is>
          <x:t xml:space="preserve">Checklist Reel</x:t>
        </x:is>
      </x:c>
      <x:c r="M116" s="117" t="inlineStr">
        <x:is>
          <x:t xml:space="preserve">20–45 sec</x:t>
        </x:is>
      </x:c>
      <x:c r="N116" s="117" t="inlineStr">
        <x:is>
          <x:t xml:space="preserve">Instagram Reels</x:t>
        </x:is>
      </x:c>
      <x:c r="O116" s="117" t="inlineStr">
        <x:is>
          <x:t xml:space="preserve">TikTok | YouTube Shorts | Facebook Reels | Instagram Stories</x:t>
        </x:is>
      </x:c>
      <x:c r="P116" s="117" t="inlineStr">
        <x:is>
          <x:t xml:space="preserve">A saveable checklist people can use before a real drive.</x:t>
        </x:is>
      </x:c>
      <x:c r="Q116" s="117" t="inlineStr">
        <x:is>
          <x:t xml:space="preserve">Save this december travel countdown checklist before your next drive.</x:t>
        </x:is>
      </x:c>
      <x:c r="R116" s="117" t="inlineStr">
        <x:is>
          <x:t xml:space="preserve">Checklist overlay, hands-on car/phone shots, one item per beat, final saved-card frame.</x:t>
        </x:is>
      </x:c>
      <x:c r="S116" s="117" t="inlineStr">
        <x:is>
          <x:t xml:space="preserve">A good drive often starts before the engine starts. Keep this simple checklist close.</x:t>
        </x:is>
      </x:c>
      <x:c r="T116" s="117" t="inlineStr">
        <x:is>
          <x:t xml:space="preserve">Save this before your next drive.</x:t>
        </x:is>
      </x:c>
      <x:c r="U116" s="117" t="inlineStr">
        <x:is>
          <x:t xml:space="preserve">Phone mount; Msafiri screen-record; Upcountry travel preparation B-roll; captions; branded end card</x:t>
        </x:is>
      </x:c>
      <x:c r="V116" s="117" t="inlineStr">
        <x:is>
          <x:t xml:space="preserve">Founder</x:t>
        </x:is>
      </x:c>
      <x:c r="W116" s="117" t="inlineStr">
        <x:is>
          <x:t xml:space="preserve">Backlog</x:t>
        </x:is>
      </x:c>
      <x:c r="X116" s="117" t="inlineStr">
        <x:is>
          <x:t xml:space="preserve">Not Started</x:t>
        </x:is>
      </x:c>
      <x:c r="Y116" s="117" t="n"/>
      <x:c r="Z116" s="118" t="n"/>
      <x:c r="AA116" s="118" t="n"/>
      <x:c r="AB116" s="118" t="n"/>
      <x:c r="AC116" s="118" t="n"/>
      <x:c r="AD116" s="118" t="n"/>
      <x:c r="AE116" s="117" t="n"/>
      <x:c r="AF116" s="122" t="inlineStr">
        <x:is>
          <x:t xml:space="preserve">Optional</x:t>
        </x:is>
      </x:c>
      <x:c r="AG116" s="117" t="inlineStr">
        <x:is>
          <x:t xml:space="preserve">Optional / planning</x:t>
        </x:is>
      </x:c>
      <x:c r="AH116" s="113" t="n">
        <x:v>20</x:v>
      </x:c>
      <x:c r="AI116" s="114" t="n">
        <x:v>0</x:v>
      </x:c>
      <x:c r="AJ116" s="120" t="inlineStr">
        <x:is>
          <x:t xml:space="preserve"/>
        </x:is>
      </x:c>
      <x:c r="AK116" s="113" t="n">
        <x:v>0</x:v>
      </x:c>
      <x:c r="AL116" s="114" t="n">
        <x:v>0</x:v>
      </x:c>
    </x:row>
    <x:row r="117" ht="64" customHeight="1">
      <x:c r="A117" s="109" t="n">
        <x:v>46363</x:v>
      </x:c>
      <x:c r="B117" s="110" t="inlineStr">
        <x:is>
          <x:t xml:space="preserve">Monday</x:t>
        </x:is>
      </x:c>
      <x:c r="C117" s="110" t="n">
        <x:v>113</x:v>
      </x:c>
      <x:c r="D117" s="110" t="n">
        <x:v>17</x:v>
      </x:c>
      <x:c r="E117" s="110" t="inlineStr">
        <x:is>
          <x:t xml:space="preserve">Jamhuri long-drive preparation</x:t>
        </x:is>
      </x:c>
      <x:c r="F117" s="110" t="inlineStr">
        <x:is>
          <x:t xml:space="preserve">Jamhuri road prep</x:t>
        </x:is>
      </x:c>
      <x:c r="G117" s="110" t="inlineStr">
        <x:is>
          <x:t xml:space="preserve">Road Intelligence</x:t>
        </x:is>
      </x:c>
      <x:c r="H117" s="110" t="inlineStr">
        <x:is>
          <x:t xml:space="preserve">Msafiri Road Check</x:t>
        </x:is>
      </x:c>
      <x:c r="I117" s="110" t="inlineStr">
        <x:is>
          <x:t xml:space="preserve">Road alerts</x:t>
        </x:is>
      </x:c>
      <x:c r="J117" s="110" t="inlineStr">
        <x:is>
          <x:t xml:space="preserve">Long-distance driver</x:t>
        </x:is>
      </x:c>
      <x:c r="K117" s="110" t="inlineStr">
        <x:is>
          <x:t xml:space="preserve">Awareness</x:t>
        </x:is>
      </x:c>
      <x:c r="L117" s="110" t="inlineStr">
        <x:is>
          <x:t xml:space="preserve">Hero / Reel</x:t>
        </x:is>
      </x:c>
      <x:c r="M117" s="110" t="inlineStr">
        <x:is>
          <x:t xml:space="preserve">45–90 sec</x:t>
        </x:is>
      </x:c>
      <x:c r="N117" s="110" t="inlineStr">
        <x:is>
          <x:t xml:space="preserve">TikTok</x:t>
        </x:is>
      </x:c>
      <x:c r="O117" s="110" t="inlineStr">
        <x:is>
          <x:t xml:space="preserve">Instagram Reels | YouTube Shorts | Facebook Reels | YouTube</x:t>
        </x:is>
      </x:c>
      <x:c r="P117" s="110" t="inlineStr">
        <x:is>
          <x:t xml:space="preserve">Anchor episode that turns this week’s theme into a road story people can recognize.</x:t>
        </x:is>
      </x:c>
      <x:c r="Q117" s="110" t="inlineStr">
        <x:is>
          <x:t xml:space="preserve">We tested Jamhuri Day weekend routes: what should a long-distance driver know before driving it this week?</x:t>
        </x:is>
      </x:c>
      <x:c r="R117" s="110" t="inlineStr">
        <x:is>
          <x:t xml:space="preserve">POV drive, 3 timestamped moments, map/context overlay, quick Msafiri screen, clear payoff.</x:t>
        </x:is>
      </x:c>
      <x:c r="S117" s="110" t="inlineStr">
        <x:is>
          <x:t xml:space="preserve">Road intelligence should feel practical, not complicated. Here is what stood out on Jamhuri Day weekend routes.</x:t>
        </x:is>
      </x:c>
      <x:c r="T117" s="110" t="inlineStr">
        <x:is>
          <x:t xml:space="preserve">Tell us which road we should check next.</x:t>
        </x:is>
      </x:c>
      <x:c r="U117" s="110" t="inlineStr">
        <x:is>
          <x:t xml:space="preserve">Phone mount; Msafiri screen-record; Jamhuri Day weekend routes B-roll; captions; branded end card</x:t>
        </x:is>
      </x:c>
      <x:c r="V117" s="110" t="inlineStr">
        <x:is>
          <x:t xml:space="preserve">Founder</x:t>
        </x:is>
      </x:c>
      <x:c r="W117" s="110" t="inlineStr">
        <x:is>
          <x:t xml:space="preserve">Draft</x:t>
        </x:is>
      </x:c>
      <x:c r="X117" s="110" t="inlineStr">
        <x:is>
          <x:t xml:space="preserve">Not Started</x:t>
        </x:is>
      </x:c>
      <x:c r="Y117" s="110" t="n"/>
      <x:c r="Z117" s="111" t="n"/>
      <x:c r="AA117" s="111" t="n"/>
      <x:c r="AB117" s="111" t="n"/>
      <x:c r="AC117" s="111" t="n"/>
      <x:c r="AD117" s="111" t="n"/>
      <x:c r="AE117" s="110" t="n"/>
      <x:c r="AF117" s="112" t="inlineStr">
        <x:is>
          <x:t xml:space="preserve">Core</x:t>
        </x:is>
      </x:c>
      <x:c r="AG117" s="110" t="inlineStr">
        <x:is>
          <x:t xml:space="preserve">Field / anchor</x:t>
        </x:is>
      </x:c>
      <x:c r="AH117" s="113" t="n">
        <x:v>75</x:v>
      </x:c>
      <x:c r="AI117" s="114" t="n">
        <x:v>0</x:v>
      </x:c>
      <x:c r="AJ117" s="115" t="inlineStr">
        <x:is>
          <x:t xml:space="preserve"/>
        </x:is>
      </x:c>
      <x:c r="AK117" s="113" t="n">
        <x:v>0</x:v>
      </x:c>
      <x:c r="AL117" s="114" t="n">
        <x:v>0</x:v>
      </x:c>
    </x:row>
    <x:row r="118" ht="64" customHeight="1">
      <x:c r="A118" s="116" t="n">
        <x:v>46364</x:v>
      </x:c>
      <x:c r="B118" s="117" t="inlineStr">
        <x:is>
          <x:t xml:space="preserve">Tuesday</x:t>
        </x:is>
      </x:c>
      <x:c r="C118" s="117" t="n">
        <x:v>114</x:v>
      </x:c>
      <x:c r="D118" s="117" t="n">
        <x:v>17</x:v>
      </x:c>
      <x:c r="E118" s="117" t="inlineStr">
        <x:is>
          <x:t xml:space="preserve">Jamhuri long-drive preparation</x:t>
        </x:is>
      </x:c>
      <x:c r="F118" s="117" t="inlineStr">
        <x:is>
          <x:t xml:space="preserve">Jamhuri road prep</x:t>
        </x:is>
      </x:c>
      <x:c r="G118" s="117" t="inlineStr">
        <x:is>
          <x:t xml:space="preserve">Product / Feature Proof</x:t>
        </x:is>
      </x:c>
      <x:c r="H118" s="117" t="inlineStr">
        <x:is>
          <x:t xml:space="preserve">Feature in the Wild</x:t>
        </x:is>
      </x:c>
      <x:c r="I118" s="117" t="inlineStr">
        <x:is>
          <x:t xml:space="preserve">Road alerts</x:t>
        </x:is>
      </x:c>
      <x:c r="J118" s="117" t="inlineStr">
        <x:is>
          <x:t xml:space="preserve">Long-distance driver</x:t>
        </x:is>
      </x:c>
      <x:c r="K118" s="117" t="inlineStr">
        <x:is>
          <x:t xml:space="preserve">Feature Discovery</x:t>
        </x:is>
      </x:c>
      <x:c r="L118" s="117" t="inlineStr">
        <x:is>
          <x:t xml:space="preserve">Short-form video</x:t>
        </x:is>
      </x:c>
      <x:c r="M118" s="117" t="inlineStr">
        <x:is>
          <x:t xml:space="preserve">20–45 sec</x:t>
        </x:is>
      </x:c>
      <x:c r="N118" s="117" t="inlineStr">
        <x:is>
          <x:t xml:space="preserve">Instagram Reels</x:t>
        </x:is>
      </x:c>
      <x:c r="O118" s="117" t="inlineStr">
        <x:is>
          <x:t xml:space="preserve">TikTok | YouTube Shorts | Facebook Reels</x:t>
        </x:is>
      </x:c>
      <x:c r="P118" s="117" t="inlineStr">
        <x:is>
          <x:t xml:space="preserve">Show the feature solving one real driving moment without turning the video into an ad.</x:t>
        </x:is>
      </x:c>
      <x:c r="Q118" s="117" t="inlineStr">
        <x:is>
          <x:t xml:space="preserve">Road alerts only makes sense when a familiar route suddenly changes; here is the 30-second version.</x:t>
        </x:is>
      </x:c>
      <x:c r="R118" s="117" t="inlineStr">
        <x:is>
          <x:t xml:space="preserve">Phone mount, screen-record, before/after comparison, one clean feature payoff.</x:t>
        </x:is>
      </x:c>
      <x:c r="S118" s="117" t="inlineStr">
        <x:is>
          <x:t xml:space="preserve">A feature is only useful if it helps in the exact moment a driver needs it.</x:t>
        </x:is>
      </x:c>
      <x:c r="T118" s="117" t="inlineStr">
        <x:is>
          <x:t xml:space="preserve">Try Msafiri on your next drive.</x:t>
        </x:is>
      </x:c>
      <x:c r="U118" s="117" t="inlineStr">
        <x:is>
          <x:t xml:space="preserve">Phone mount; Msafiri screen-record; Jamhuri Day weekend routes B-roll; captions; branded end card</x:t>
        </x:is>
      </x:c>
      <x:c r="V118" s="117" t="inlineStr">
        <x:is>
          <x:t xml:space="preserve">Founder</x:t>
        </x:is>
      </x:c>
      <x:c r="W118" s="117" t="inlineStr">
        <x:is>
          <x:t xml:space="preserve">Draft</x:t>
        </x:is>
      </x:c>
      <x:c r="X118" s="117" t="inlineStr">
        <x:is>
          <x:t xml:space="preserve">Not Started</x:t>
        </x:is>
      </x:c>
      <x:c r="Y118" s="117" t="n"/>
      <x:c r="Z118" s="118" t="n"/>
      <x:c r="AA118" s="118" t="n"/>
      <x:c r="AB118" s="118" t="n"/>
      <x:c r="AC118" s="118" t="n"/>
      <x:c r="AD118" s="118" t="n"/>
      <x:c r="AE118" s="117" t="n"/>
      <x:c r="AF118" s="119" t="inlineStr">
        <x:is>
          <x:t xml:space="preserve">Core</x:t>
        </x:is>
      </x:c>
      <x:c r="AG118" s="117" t="inlineStr">
        <x:is>
          <x:t xml:space="preserve">Screen demo</x:t>
        </x:is>
      </x:c>
      <x:c r="AH118" s="113" t="n">
        <x:v>45</x:v>
      </x:c>
      <x:c r="AI118" s="114" t="n">
        <x:v>0</x:v>
      </x:c>
      <x:c r="AJ118" s="120" t="inlineStr">
        <x:is>
          <x:t xml:space="preserve"/>
        </x:is>
      </x:c>
      <x:c r="AK118" s="113" t="n">
        <x:v>0</x:v>
      </x:c>
      <x:c r="AL118" s="114" t="n">
        <x:v>0</x:v>
      </x:c>
    </x:row>
    <x:row r="119" ht="64" customHeight="1">
      <x:c r="A119" s="109" t="n">
        <x:v>46365</x:v>
      </x:c>
      <x:c r="B119" s="110" t="inlineStr">
        <x:is>
          <x:t xml:space="preserve">Wednesday</x:t>
        </x:is>
      </x:c>
      <x:c r="C119" s="110" t="n">
        <x:v>115</x:v>
      </x:c>
      <x:c r="D119" s="110" t="n">
        <x:v>17</x:v>
      </x:c>
      <x:c r="E119" s="110" t="inlineStr">
        <x:is>
          <x:t xml:space="preserve">Jamhuri long-drive preparation</x:t>
        </x:is>
      </x:c>
      <x:c r="F119" s="110" t="inlineStr">
        <x:is>
          <x:t xml:space="preserve">Jamhuri road prep</x:t>
        </x:is>
      </x:c>
      <x:c r="G119" s="110" t="inlineStr">
        <x:is>
          <x:t xml:space="preserve">Kenyan Driving Reality</x:t>
        </x:is>
      </x:c>
      <x:c r="H119" s="110" t="inlineStr">
        <x:is>
          <x:t xml:space="preserve">Kenyan Driver Problems</x:t>
        </x:is>
      </x:c>
      <x:c r="I119" s="110" t="inlineStr">
        <x:is>
          <x:t xml:space="preserve">Road alerts</x:t>
        </x:is>
      </x:c>
      <x:c r="J119" s="110" t="inlineStr">
        <x:is>
          <x:t xml:space="preserve">Long-distance driver</x:t>
        </x:is>
      </x:c>
      <x:c r="K119" s="110" t="inlineStr">
        <x:is>
          <x:t xml:space="preserve">Engagement</x:t>
        </x:is>
      </x:c>
      <x:c r="L119" s="110" t="inlineStr">
        <x:is>
          <x:t xml:space="preserve">Skit</x:t>
        </x:is>
      </x:c>
      <x:c r="M119" s="110" t="inlineStr">
        <x:is>
          <x:t xml:space="preserve">15–35 sec</x:t>
        </x:is>
      </x:c>
      <x:c r="N119" s="110" t="inlineStr">
        <x:is>
          <x:t xml:space="preserve">TikTok</x:t>
        </x:is>
      </x:c>
      <x:c r="O119" s="110" t="inlineStr">
        <x:is>
          <x:t xml:space="preserve">Instagram Reels | Facebook Reels | YouTube Shorts</x:t>
        </x:is>
      </x:c>
      <x:c r="P119" s="110" t="inlineStr">
        <x:is>
          <x:t xml:space="preserve">Relatable driver tension; make people laugh, then attach a practical Msafiri angle.</x:t>
        </x:is>
      </x:c>
      <x:c r="Q119" s="110" t="inlineStr">
        <x:is>
          <x:t xml:space="preserve">POV: a familiar route suddenly changes and everyone in the car suddenly becomes a driving expert.</x:t>
        </x:is>
      </x:c>
      <x:c r="R119" s="110" t="inlineStr">
        <x:is>
          <x:t xml:space="preserve">Driver/passenger skit, quick reaction cuts, exaggerated but familiar Kenyan driving moment.</x:t>
        </x:is>
      </x:c>
      <x:c r="S119" s="110" t="inlineStr">
        <x:is>
          <x:t xml:space="preserve">Every driver knows this argument. The smart move is having better information before the argument starts.</x:t>
        </x:is>
      </x:c>
      <x:c r="T119" s="110" t="inlineStr">
        <x:is>
          <x:t xml:space="preserve">Tag the driver who does this.</x:t>
        </x:is>
      </x:c>
      <x:c r="U119" s="110" t="inlineStr">
        <x:is>
          <x:t xml:space="preserve">Phone mount; Msafiri screen-record; Jamhuri Day weekend routes B-roll; captions; branded end card</x:t>
        </x:is>
      </x:c>
      <x:c r="V119" s="110" t="inlineStr">
        <x:is>
          <x:t xml:space="preserve">Founder</x:t>
        </x:is>
      </x:c>
      <x:c r="W119" s="110" t="inlineStr">
        <x:is>
          <x:t xml:space="preserve">Backlog</x:t>
        </x:is>
      </x:c>
      <x:c r="X119" s="110" t="inlineStr">
        <x:is>
          <x:t xml:space="preserve">Not Started</x:t>
        </x:is>
      </x:c>
      <x:c r="Y119" s="110" t="n"/>
      <x:c r="Z119" s="111" t="n"/>
      <x:c r="AA119" s="111" t="n"/>
      <x:c r="AB119" s="111" t="n"/>
      <x:c r="AC119" s="111" t="n"/>
      <x:c r="AD119" s="111" t="n"/>
      <x:c r="AE119" s="110" t="n"/>
      <x:c r="AF119" s="121" t="inlineStr">
        <x:is>
          <x:t xml:space="preserve">Optional</x:t>
        </x:is>
      </x:c>
      <x:c r="AG119" s="110" t="inlineStr">
        <x:is>
          <x:t xml:space="preserve">Repurpose / story</x:t>
        </x:is>
      </x:c>
      <x:c r="AH119" s="113" t="n">
        <x:v>25</x:v>
      </x:c>
      <x:c r="AI119" s="114" t="n">
        <x:v>0</x:v>
      </x:c>
      <x:c r="AJ119" s="115" t="inlineStr">
        <x:is>
          <x:t xml:space="preserve"/>
        </x:is>
      </x:c>
      <x:c r="AK119" s="113" t="n">
        <x:v>0</x:v>
      </x:c>
      <x:c r="AL119" s="114" t="n">
        <x:v>0</x:v>
      </x:c>
    </x:row>
    <x:row r="120" ht="64" customHeight="1">
      <x:c r="A120" s="116" t="n">
        <x:v>46366</x:v>
      </x:c>
      <x:c r="B120" s="117" t="inlineStr">
        <x:is>
          <x:t xml:space="preserve">Thursday</x:t>
        </x:is>
      </x:c>
      <x:c r="C120" s="117" t="n">
        <x:v>116</x:v>
      </x:c>
      <x:c r="D120" s="117" t="n">
        <x:v>17</x:v>
      </x:c>
      <x:c r="E120" s="117" t="inlineStr">
        <x:is>
          <x:t xml:space="preserve">Jamhuri long-drive preparation</x:t>
        </x:is>
      </x:c>
      <x:c r="F120" s="117" t="inlineStr">
        <x:is>
          <x:t xml:space="preserve">Jamhuri road prep</x:t>
        </x:is>
      </x:c>
      <x:c r="G120" s="117" t="inlineStr">
        <x:is>
          <x:t xml:space="preserve">Founder / BTS</x:t>
        </x:is>
      </x:c>
      <x:c r="H120" s="117" t="inlineStr">
        <x:is>
          <x:t xml:space="preserve">Founder Files</x:t>
        </x:is>
      </x:c>
      <x:c r="I120" s="117" t="inlineStr">
        <x:is>
          <x:t xml:space="preserve">Road alerts</x:t>
        </x:is>
      </x:c>
      <x:c r="J120" s="117" t="inlineStr">
        <x:is>
          <x:t xml:space="preserve">Long-distance driver</x:t>
        </x:is>
      </x:c>
      <x:c r="K120" s="117" t="inlineStr">
        <x:is>
          <x:t xml:space="preserve">Trust</x:t>
        </x:is>
      </x:c>
      <x:c r="L120" s="117" t="inlineStr">
        <x:is>
          <x:t xml:space="preserve">Founder-to-camera</x:t>
        </x:is>
      </x:c>
      <x:c r="M120" s="117" t="inlineStr">
        <x:is>
          <x:t xml:space="preserve">30–60 sec</x:t>
        </x:is>
      </x:c>
      <x:c r="N120" s="117" t="inlineStr">
        <x:is>
          <x:t xml:space="preserve">Instagram Reels</x:t>
        </x:is>
      </x:c>
      <x:c r="O120" s="117" t="inlineStr">
        <x:is>
          <x:t xml:space="preserve">TikTok | YouTube Shorts | LinkedIn</x:t>
        </x:is>
      </x:c>
      <x:c r="P120" s="117" t="inlineStr">
        <x:is>
          <x:t xml:space="preserve">Peter explains the product decision, tradeoff, or local insight behind the week’s feature.</x:t>
        </x:is>
      </x:c>
      <x:c r="Q120" s="117" t="inlineStr">
        <x:is>
          <x:t xml:space="preserve">Peter here — this is why we built Road alerts for Kenyan drivers, not just generic drivers.</x:t>
        </x:is>
      </x:c>
      <x:c r="R120" s="117" t="inlineStr">
        <x:is>
          <x:t xml:space="preserve">Peter in car or office, quick cutaways to road test, product screen and handwritten notes.</x:t>
        </x:is>
      </x:c>
      <x:c r="S120" s="117" t="inlineStr">
        <x:is>
          <x:t xml:space="preserve">The goal is not another app on your phone. The goal is a calmer, more prepared drive.</x:t>
        </x:is>
      </x:c>
      <x:c r="T120" s="117" t="inlineStr">
        <x:is>
          <x:t xml:space="preserve">Follow Msafiri as we build for Kenyan roads.</x:t>
        </x:is>
      </x:c>
      <x:c r="U120" s="117" t="inlineStr">
        <x:is>
          <x:t xml:space="preserve">Peter on-camera setup; car/office B-roll; product screen; simple lower-third</x:t>
        </x:is>
      </x:c>
      <x:c r="V120" s="117" t="inlineStr">
        <x:is>
          <x:t xml:space="preserve">Founder</x:t>
        </x:is>
      </x:c>
      <x:c r="W120" s="117" t="inlineStr">
        <x:is>
          <x:t xml:space="preserve">Draft</x:t>
        </x:is>
      </x:c>
      <x:c r="X120" s="117" t="inlineStr">
        <x:is>
          <x:t xml:space="preserve">Not Started</x:t>
        </x:is>
      </x:c>
      <x:c r="Y120" s="117" t="n"/>
      <x:c r="Z120" s="118" t="n"/>
      <x:c r="AA120" s="118" t="n"/>
      <x:c r="AB120" s="118" t="n"/>
      <x:c r="AC120" s="118" t="n"/>
      <x:c r="AD120" s="118" t="n"/>
      <x:c r="AE120" s="117" t="n"/>
      <x:c r="AF120" s="119" t="inlineStr">
        <x:is>
          <x:t xml:space="preserve">Core</x:t>
        </x:is>
      </x:c>
      <x:c r="AG120" s="117" t="inlineStr">
        <x:is>
          <x:t xml:space="preserve">Founder / education</x:t>
        </x:is>
      </x:c>
      <x:c r="AH120" s="113" t="n">
        <x:v>45</x:v>
      </x:c>
      <x:c r="AI120" s="114" t="n">
        <x:v>0</x:v>
      </x:c>
      <x:c r="AJ120" s="120" t="inlineStr">
        <x:is>
          <x:t xml:space="preserve"/>
        </x:is>
      </x:c>
      <x:c r="AK120" s="113" t="n">
        <x:v>0</x:v>
      </x:c>
      <x:c r="AL120" s="114" t="n">
        <x:v>0</x:v>
      </x:c>
    </x:row>
    <x:row r="121" ht="64" customHeight="1">
      <x:c r="A121" s="109" t="n">
        <x:v>46367</x:v>
      </x:c>
      <x:c r="B121" s="110" t="inlineStr">
        <x:is>
          <x:t xml:space="preserve">Friday</x:t>
        </x:is>
      </x:c>
      <x:c r="C121" s="110" t="n">
        <x:v>117</x:v>
      </x:c>
      <x:c r="D121" s="110" t="n">
        <x:v>17</x:v>
      </x:c>
      <x:c r="E121" s="110" t="inlineStr">
        <x:is>
          <x:t xml:space="preserve">Jamhuri long-drive preparation</x:t>
        </x:is>
      </x:c>
      <x:c r="F121" s="110" t="inlineStr">
        <x:is>
          <x:t xml:space="preserve">Jamhuri road prep</x:t>
        </x:is>
      </x:c>
      <x:c r="G121" s="110" t="inlineStr">
        <x:is>
          <x:t xml:space="preserve">Debate / Mythbusters</x:t>
        </x:is>
      </x:c>
      <x:c r="H121" s="110" t="inlineStr">
        <x:is>
          <x:t xml:space="preserve">Road Mythbusters</x:t>
        </x:is>
      </x:c>
      <x:c r="I121" s="110" t="inlineStr">
        <x:is>
          <x:t xml:space="preserve">Road alerts</x:t>
        </x:is>
      </x:c>
      <x:c r="J121" s="110" t="inlineStr">
        <x:is>
          <x:t xml:space="preserve">Long-distance driver</x:t>
        </x:is>
      </x:c>
      <x:c r="K121" s="110" t="inlineStr">
        <x:is>
          <x:t xml:space="preserve">Engagement</x:t>
        </x:is>
      </x:c>
      <x:c r="L121" s="110" t="inlineStr">
        <x:is>
          <x:t xml:space="preserve">Short-form video</x:t>
        </x:is>
      </x:c>
      <x:c r="M121" s="110" t="inlineStr">
        <x:is>
          <x:t xml:space="preserve">20–45 sec</x:t>
        </x:is>
      </x:c>
      <x:c r="N121" s="110" t="inlineStr">
        <x:is>
          <x:t xml:space="preserve">TikTok</x:t>
        </x:is>
      </x:c>
      <x:c r="O121" s="110" t="inlineStr">
        <x:is>
          <x:t xml:space="preserve">Instagram Reels | YouTube Shorts | Facebook Reels</x:t>
        </x:is>
      </x:c>
      <x:c r="P121" s="110" t="inlineStr">
        <x:is>
          <x:t xml:space="preserve">Open a controlled debate while ending with responsible road-safety framing.</x:t>
        </x:is>
      </x:c>
      <x:c r="Q121" s="110" t="inlineStr">
        <x:is>
          <x:t xml:space="preserve">Hot take: community road reports are useful only when they are verified.</x:t>
        </x:is>
      </x:c>
      <x:c r="R121" s="110" t="inlineStr">
        <x:is>
          <x:t xml:space="preserve">Split screen: claim vs reality, quick poll sticker, Peter closing with safe takeaway.</x:t>
        </x:is>
      </x:c>
      <x:c r="S121" s="110" t="inlineStr">
        <x:is>
          <x:t xml:space="preserve">Debate is useful only if it makes us better drivers. What is your honest view?</x:t>
        </x:is>
      </x:c>
      <x:c r="T121" s="110" t="inlineStr">
        <x:is>
          <x:t xml:space="preserve">Agree or disagree? Give your reason.</x:t>
        </x:is>
      </x:c>
      <x:c r="U121" s="110" t="inlineStr">
        <x:is>
          <x:t xml:space="preserve">Phone mount; Msafiri screen-record; Jamhuri Day weekend routes B-roll; captions; branded end card</x:t>
        </x:is>
      </x:c>
      <x:c r="V121" s="110" t="inlineStr">
        <x:is>
          <x:t xml:space="preserve">Founder</x:t>
        </x:is>
      </x:c>
      <x:c r="W121" s="110" t="inlineStr">
        <x:is>
          <x:t xml:space="preserve">Backlog</x:t>
        </x:is>
      </x:c>
      <x:c r="X121" s="110" t="inlineStr">
        <x:is>
          <x:t xml:space="preserve">Not Started</x:t>
        </x:is>
      </x:c>
      <x:c r="Y121" s="110" t="n"/>
      <x:c r="Z121" s="111" t="n"/>
      <x:c r="AA121" s="111" t="n"/>
      <x:c r="AB121" s="111" t="n"/>
      <x:c r="AC121" s="111" t="n"/>
      <x:c r="AD121" s="111" t="n"/>
      <x:c r="AE121" s="110" t="n"/>
      <x:c r="AF121" s="121" t="inlineStr">
        <x:is>
          <x:t xml:space="preserve">Optional</x:t>
        </x:is>
      </x:c>
      <x:c r="AG121" s="110" t="inlineStr">
        <x:is>
          <x:t xml:space="preserve">Community reply</x:t>
        </x:is>
      </x:c>
      <x:c r="AH121" s="113" t="n">
        <x:v>25</x:v>
      </x:c>
      <x:c r="AI121" s="114" t="n">
        <x:v>0</x:v>
      </x:c>
      <x:c r="AJ121" s="115" t="inlineStr">
        <x:is>
          <x:t xml:space="preserve"/>
        </x:is>
      </x:c>
      <x:c r="AK121" s="113" t="n">
        <x:v>0</x:v>
      </x:c>
      <x:c r="AL121" s="114" t="n">
        <x:v>0</x:v>
      </x:c>
    </x:row>
    <x:row r="122" ht="64" customHeight="1">
      <x:c r="A122" s="116" t="n">
        <x:v>46368</x:v>
      </x:c>
      <x:c r="B122" s="117" t="inlineStr">
        <x:is>
          <x:t xml:space="preserve">Saturday</x:t>
        </x:is>
      </x:c>
      <x:c r="C122" s="117" t="n">
        <x:v>118</x:v>
      </x:c>
      <x:c r="D122" s="117" t="n">
        <x:v>17</x:v>
      </x:c>
      <x:c r="E122" s="117" t="inlineStr">
        <x:is>
          <x:t xml:space="preserve">Jamhuri long-drive preparation</x:t>
        </x:is>
      </x:c>
      <x:c r="F122" s="117" t="inlineStr">
        <x:is>
          <x:t xml:space="preserve">Jamhuri Day</x:t>
        </x:is>
      </x:c>
      <x:c r="G122" s="117" t="inlineStr">
        <x:is>
          <x:t xml:space="preserve">Seasonal Campaign</x:t>
        </x:is>
      </x:c>
      <x:c r="H122" s="117" t="inlineStr">
        <x:is>
          <x:t xml:space="preserve">Holiday Road Prep</x:t>
        </x:is>
      </x:c>
      <x:c r="I122" s="117" t="inlineStr">
        <x:is>
          <x:t xml:space="preserve">Trips / trip sharing</x:t>
        </x:is>
      </x:c>
      <x:c r="J122" s="117" t="inlineStr">
        <x:is>
          <x:t xml:space="preserve">Long-distance driver</x:t>
        </x:is>
      </x:c>
      <x:c r="K122" s="117" t="inlineStr">
        <x:is>
          <x:t xml:space="preserve">Community</x:t>
        </x:is>
      </x:c>
      <x:c r="L122" s="117" t="inlineStr">
        <x:is>
          <x:t xml:space="preserve">Hero / Reel</x:t>
        </x:is>
      </x:c>
      <x:c r="M122" s="117" t="inlineStr">
        <x:is>
          <x:t xml:space="preserve">20–60 sec</x:t>
        </x:is>
      </x:c>
      <x:c r="N122" s="117" t="inlineStr">
        <x:is>
          <x:t xml:space="preserve">TikTok</x:t>
        </x:is>
      </x:c>
      <x:c r="O122" s="117" t="inlineStr">
        <x:is>
          <x:t xml:space="preserve">Instagram Reels | Facebook Reels | YouTube Shorts</x:t>
        </x:is>
      </x:c>
      <x:c r="P122" s="117" t="inlineStr">
        <x:is>
          <x:t xml:space="preserve">Long-weekend trip plan: route, rest stops, contact, fuel and vehicle readiness.</x:t>
        </x:is>
      </x:c>
      <x:c r="Q122" s="117" t="inlineStr">
        <x:is>
          <x:t xml:space="preserve">Jamhuri drive? Do this before everyone enters the car.</x:t>
        </x:is>
      </x:c>
      <x:c r="R122" s="117" t="inlineStr">
        <x:is>
          <x:t xml:space="preserve">Checklist overlay, family/group planning, Msafiri trip view, car-prep shots.</x:t>
        </x:is>
      </x:c>
      <x:c r="S122" s="117" t="inlineStr">
        <x:is>
          <x:t xml:space="preserve">Seasonal road-safety moment: Jamhuri Day. Keep it useful, warm and verified.</x:t>
        </x:is>
      </x:c>
      <x:c r="T122" s="117" t="inlineStr">
        <x:is>
          <x:t xml:space="preserve">Send this to the person driving this weekend.</x:t>
        </x:is>
      </x:c>
      <x:c r="U122" s="117" t="inlineStr">
        <x:is>
          <x:t xml:space="preserve">Phone mount; Msafiri screen-record; Jamhuri Day weekend routes B-roll; captions; branded end card</x:t>
        </x:is>
      </x:c>
      <x:c r="V122" s="117" t="inlineStr">
        <x:is>
          <x:t xml:space="preserve">Founder</x:t>
        </x:is>
      </x:c>
      <x:c r="W122" s="117" t="inlineStr">
        <x:is>
          <x:t xml:space="preserve">Draft</x:t>
        </x:is>
      </x:c>
      <x:c r="X122" s="117" t="inlineStr">
        <x:is>
          <x:t xml:space="preserve">Not Started</x:t>
        </x:is>
      </x:c>
      <x:c r="Y122" s="117" t="n"/>
      <x:c r="Z122" s="118" t="n"/>
      <x:c r="AA122" s="118" t="n"/>
      <x:c r="AB122" s="118" t="n"/>
      <x:c r="AC122" s="118" t="n"/>
      <x:c r="AD122" s="118" t="n"/>
      <x:c r="AE122" s="117" t="n"/>
      <x:c r="AF122" s="119" t="inlineStr">
        <x:is>
          <x:t xml:space="preserve">Core</x:t>
        </x:is>
      </x:c>
      <x:c r="AG122" s="117" t="inlineStr">
        <x:is>
          <x:t xml:space="preserve">Field / community</x:t>
        </x:is>
      </x:c>
      <x:c r="AH122" s="113" t="n">
        <x:v>60</x:v>
      </x:c>
      <x:c r="AI122" s="114" t="n">
        <x:v>0</x:v>
      </x:c>
      <x:c r="AJ122" s="120" t="inlineStr">
        <x:is>
          <x:t xml:space="preserve"/>
        </x:is>
      </x:c>
      <x:c r="AK122" s="113" t="n">
        <x:v>0</x:v>
      </x:c>
      <x:c r="AL122" s="114" t="n">
        <x:v>0</x:v>
      </x:c>
    </x:row>
    <x:row r="123" ht="64" customHeight="1">
      <x:c r="A123" s="109" t="n">
        <x:v>46369</x:v>
      </x:c>
      <x:c r="B123" s="110" t="inlineStr">
        <x:is>
          <x:t xml:space="preserve">Sunday</x:t>
        </x:is>
      </x:c>
      <x:c r="C123" s="110" t="n">
        <x:v>119</x:v>
      </x:c>
      <x:c r="D123" s="110" t="n">
        <x:v>17</x:v>
      </x:c>
      <x:c r="E123" s="110" t="inlineStr">
        <x:is>
          <x:t xml:space="preserve">Jamhuri long-drive preparation</x:t>
        </x:is>
      </x:c>
      <x:c r="F123" s="110" t="inlineStr">
        <x:is>
          <x:t xml:space="preserve">Jamhuri road prep</x:t>
        </x:is>
      </x:c>
      <x:c r="G123" s="110" t="inlineStr">
        <x:is>
          <x:t xml:space="preserve">Education / Safety</x:t>
        </x:is>
      </x:c>
      <x:c r="H123" s="110" t="inlineStr">
        <x:is>
          <x:t xml:space="preserve">Before You Drive</x:t>
        </x:is>
      </x:c>
      <x:c r="I123" s="110" t="inlineStr">
        <x:is>
          <x:t xml:space="preserve">Road alerts</x:t>
        </x:is>
      </x:c>
      <x:c r="J123" s="110" t="inlineStr">
        <x:is>
          <x:t xml:space="preserve">Long-distance driver</x:t>
        </x:is>
      </x:c>
      <x:c r="K123" s="110" t="inlineStr">
        <x:is>
          <x:t xml:space="preserve">Retention</x:t>
        </x:is>
      </x:c>
      <x:c r="L123" s="110" t="inlineStr">
        <x:is>
          <x:t xml:space="preserve">Checklist Reel</x:t>
        </x:is>
      </x:c>
      <x:c r="M123" s="110" t="inlineStr">
        <x:is>
          <x:t xml:space="preserve">20–45 sec</x:t>
        </x:is>
      </x:c>
      <x:c r="N123" s="110" t="inlineStr">
        <x:is>
          <x:t xml:space="preserve">Instagram Reels</x:t>
        </x:is>
      </x:c>
      <x:c r="O123" s="110" t="inlineStr">
        <x:is>
          <x:t xml:space="preserve">TikTok | YouTube Shorts | Facebook Reels | Instagram Stories</x:t>
        </x:is>
      </x:c>
      <x:c r="P123" s="110" t="inlineStr">
        <x:is>
          <x:t xml:space="preserve">A saveable checklist people can use before a real drive.</x:t>
        </x:is>
      </x:c>
      <x:c r="Q123" s="110" t="inlineStr">
        <x:is>
          <x:t xml:space="preserve">Save this jamhuri long-drive preparation checklist before your next drive.</x:t>
        </x:is>
      </x:c>
      <x:c r="R123" s="110" t="inlineStr">
        <x:is>
          <x:t xml:space="preserve">Checklist overlay, hands-on car/phone shots, one item per beat, final saved-card frame.</x:t>
        </x:is>
      </x:c>
      <x:c r="S123" s="110" t="inlineStr">
        <x:is>
          <x:t xml:space="preserve">A good drive often starts before the engine starts. Keep this simple checklist close.</x:t>
        </x:is>
      </x:c>
      <x:c r="T123" s="110" t="inlineStr">
        <x:is>
          <x:t xml:space="preserve">Save this before your next drive.</x:t>
        </x:is>
      </x:c>
      <x:c r="U123" s="110" t="inlineStr">
        <x:is>
          <x:t xml:space="preserve">Phone mount; Msafiri screen-record; Jamhuri Day weekend routes B-roll; captions; branded end card</x:t>
        </x:is>
      </x:c>
      <x:c r="V123" s="110" t="inlineStr">
        <x:is>
          <x:t xml:space="preserve">Founder</x:t>
        </x:is>
      </x:c>
      <x:c r="W123" s="110" t="inlineStr">
        <x:is>
          <x:t xml:space="preserve">Backlog</x:t>
        </x:is>
      </x:c>
      <x:c r="X123" s="110" t="inlineStr">
        <x:is>
          <x:t xml:space="preserve">Not Started</x:t>
        </x:is>
      </x:c>
      <x:c r="Y123" s="110" t="n"/>
      <x:c r="Z123" s="111" t="n"/>
      <x:c r="AA123" s="111" t="n"/>
      <x:c r="AB123" s="111" t="n"/>
      <x:c r="AC123" s="111" t="n"/>
      <x:c r="AD123" s="111" t="n"/>
      <x:c r="AE123" s="110" t="n"/>
      <x:c r="AF123" s="121" t="inlineStr">
        <x:is>
          <x:t xml:space="preserve">Optional</x:t>
        </x:is>
      </x:c>
      <x:c r="AG123" s="110" t="inlineStr">
        <x:is>
          <x:t xml:space="preserve">Optional / planning</x:t>
        </x:is>
      </x:c>
      <x:c r="AH123" s="113" t="n">
        <x:v>20</x:v>
      </x:c>
      <x:c r="AI123" s="114" t="n">
        <x:v>0</x:v>
      </x:c>
      <x:c r="AJ123" s="115" t="inlineStr">
        <x:is>
          <x:t xml:space="preserve"/>
        </x:is>
      </x:c>
      <x:c r="AK123" s="113" t="n">
        <x:v>0</x:v>
      </x:c>
      <x:c r="AL123" s="114" t="n">
        <x:v>0</x:v>
      </x:c>
    </x:row>
    <x:row r="124" ht="64" customHeight="1">
      <x:c r="A124" s="116" t="n">
        <x:v>46370</x:v>
      </x:c>
      <x:c r="B124" s="117" t="inlineStr">
        <x:is>
          <x:t xml:space="preserve">Monday</x:t>
        </x:is>
      </x:c>
      <x:c r="C124" s="117" t="n">
        <x:v>120</x:v>
      </x:c>
      <x:c r="D124" s="117" t="n">
        <x:v>18</x:v>
      </x:c>
      <x:c r="E124" s="117" t="inlineStr">
        <x:is>
          <x:t xml:space="preserve">End-year road-trip confidence</x:t>
        </x:is>
      </x:c>
      <x:c r="F124" s="117" t="inlineStr">
        <x:is>
          <x:t xml:space="preserve">Road trip, but prepared</x:t>
        </x:is>
      </x:c>
      <x:c r="G124" s="117" t="inlineStr">
        <x:is>
          <x:t xml:space="preserve">Road Intelligence</x:t>
        </x:is>
      </x:c>
      <x:c r="H124" s="117" t="inlineStr">
        <x:is>
          <x:t xml:space="preserve">Msafiri Road Check</x:t>
        </x:is>
      </x:c>
      <x:c r="I124" s="117" t="inlineStr">
        <x:is>
          <x:t xml:space="preserve">Find Nearby</x:t>
        </x:is>
      </x:c>
      <x:c r="J124" s="117" t="inlineStr">
        <x:is>
          <x:t xml:space="preserve">Road-trip group</x:t>
        </x:is>
      </x:c>
      <x:c r="K124" s="117" t="inlineStr">
        <x:is>
          <x:t xml:space="preserve">Awareness</x:t>
        </x:is>
      </x:c>
      <x:c r="L124" s="117" t="inlineStr">
        <x:is>
          <x:t xml:space="preserve">Hero / Reel</x:t>
        </x:is>
      </x:c>
      <x:c r="M124" s="117" t="inlineStr">
        <x:is>
          <x:t xml:space="preserve">45–90 sec</x:t>
        </x:is>
      </x:c>
      <x:c r="N124" s="117" t="inlineStr">
        <x:is>
          <x:t xml:space="preserve">TikTok</x:t>
        </x:is>
      </x:c>
      <x:c r="O124" s="117" t="inlineStr">
        <x:is>
          <x:t xml:space="preserve">Instagram Reels | YouTube Shorts | Facebook Reels | YouTube</x:t>
        </x:is>
      </x:c>
      <x:c r="P124" s="117" t="inlineStr">
        <x:is>
          <x:t xml:space="preserve">Anchor episode that turns this week’s theme into a road story people can recognize.</x:t>
        </x:is>
      </x:c>
      <x:c r="Q124" s="117" t="inlineStr">
        <x:is>
          <x:t xml:space="preserve">We tested Coast/upcountry route planning: what should a road-trip group know before driving it this week?</x:t>
        </x:is>
      </x:c>
      <x:c r="R124" s="117" t="inlineStr">
        <x:is>
          <x:t xml:space="preserve">POV drive, 3 timestamped moments, map/context overlay, quick Msafiri screen, clear payoff.</x:t>
        </x:is>
      </x:c>
      <x:c r="S124" s="117" t="inlineStr">
        <x:is>
          <x:t xml:space="preserve">Road intelligence should feel practical, not complicated. Here is what stood out on Coast/upcountry route planning.</x:t>
        </x:is>
      </x:c>
      <x:c r="T124" s="117" t="inlineStr">
        <x:is>
          <x:t xml:space="preserve">Tell us which road we should check next.</x:t>
        </x:is>
      </x:c>
      <x:c r="U124" s="117" t="inlineStr">
        <x:is>
          <x:t xml:space="preserve">Phone mount; Msafiri screen-record; Coast/upcountry route planning B-roll; captions; branded end card</x:t>
        </x:is>
      </x:c>
      <x:c r="V124" s="117" t="inlineStr">
        <x:is>
          <x:t xml:space="preserve">Founder</x:t>
        </x:is>
      </x:c>
      <x:c r="W124" s="117" t="inlineStr">
        <x:is>
          <x:t xml:space="preserve">Draft</x:t>
        </x:is>
      </x:c>
      <x:c r="X124" s="117" t="inlineStr">
        <x:is>
          <x:t xml:space="preserve">Not Started</x:t>
        </x:is>
      </x:c>
      <x:c r="Y124" s="117" t="n"/>
      <x:c r="Z124" s="118" t="n"/>
      <x:c r="AA124" s="118" t="n"/>
      <x:c r="AB124" s="118" t="n"/>
      <x:c r="AC124" s="118" t="n"/>
      <x:c r="AD124" s="118" t="n"/>
      <x:c r="AE124" s="117" t="n"/>
      <x:c r="AF124" s="119" t="inlineStr">
        <x:is>
          <x:t xml:space="preserve">Core</x:t>
        </x:is>
      </x:c>
      <x:c r="AG124" s="117" t="inlineStr">
        <x:is>
          <x:t xml:space="preserve">Field / anchor</x:t>
        </x:is>
      </x:c>
      <x:c r="AH124" s="113" t="n">
        <x:v>75</x:v>
      </x:c>
      <x:c r="AI124" s="114" t="n">
        <x:v>0</x:v>
      </x:c>
      <x:c r="AJ124" s="120" t="inlineStr">
        <x:is>
          <x:t xml:space="preserve"/>
        </x:is>
      </x:c>
      <x:c r="AK124" s="113" t="n">
        <x:v>0</x:v>
      </x:c>
      <x:c r="AL124" s="114" t="n">
        <x:v>0</x:v>
      </x:c>
    </x:row>
    <x:row r="125" ht="64" customHeight="1">
      <x:c r="A125" s="109" t="n">
        <x:v>46371</x:v>
      </x:c>
      <x:c r="B125" s="110" t="inlineStr">
        <x:is>
          <x:t xml:space="preserve">Tuesday</x:t>
        </x:is>
      </x:c>
      <x:c r="C125" s="110" t="n">
        <x:v>121</x:v>
      </x:c>
      <x:c r="D125" s="110" t="n">
        <x:v>18</x:v>
      </x:c>
      <x:c r="E125" s="110" t="inlineStr">
        <x:is>
          <x:t xml:space="preserve">End-year road-trip confidence</x:t>
        </x:is>
      </x:c>
      <x:c r="F125" s="110" t="inlineStr">
        <x:is>
          <x:t xml:space="preserve">Road trip, but prepared</x:t>
        </x:is>
      </x:c>
      <x:c r="G125" s="110" t="inlineStr">
        <x:is>
          <x:t xml:space="preserve">Product / Feature Proof</x:t>
        </x:is>
      </x:c>
      <x:c r="H125" s="110" t="inlineStr">
        <x:is>
          <x:t xml:space="preserve">Feature in the Wild</x:t>
        </x:is>
      </x:c>
      <x:c r="I125" s="110" t="inlineStr">
        <x:is>
          <x:t xml:space="preserve">Find Nearby</x:t>
        </x:is>
      </x:c>
      <x:c r="J125" s="110" t="inlineStr">
        <x:is>
          <x:t xml:space="preserve">Road-trip group</x:t>
        </x:is>
      </x:c>
      <x:c r="K125" s="110" t="inlineStr">
        <x:is>
          <x:t xml:space="preserve">Feature Discovery</x:t>
        </x:is>
      </x:c>
      <x:c r="L125" s="110" t="inlineStr">
        <x:is>
          <x:t xml:space="preserve">Short-form video</x:t>
        </x:is>
      </x:c>
      <x:c r="M125" s="110" t="inlineStr">
        <x:is>
          <x:t xml:space="preserve">20–45 sec</x:t>
        </x:is>
      </x:c>
      <x:c r="N125" s="110" t="inlineStr">
        <x:is>
          <x:t xml:space="preserve">Instagram Reels</x:t>
        </x:is>
      </x:c>
      <x:c r="O125" s="110" t="inlineStr">
        <x:is>
          <x:t xml:space="preserve">TikTok | YouTube Shorts | Facebook Reels</x:t>
        </x:is>
      </x:c>
      <x:c r="P125" s="110" t="inlineStr">
        <x:is>
          <x:t xml:space="preserve">Show the feature solving one real driving moment without turning the video into an ad.</x:t>
        </x:is>
      </x:c>
      <x:c r="Q125" s="110" t="inlineStr">
        <x:is>
          <x:t xml:space="preserve">Find Nearby only makes sense when plans change and you need a safe, useful stop; here is the 30-second version.</x:t>
        </x:is>
      </x:c>
      <x:c r="R125" s="110" t="inlineStr">
        <x:is>
          <x:t xml:space="preserve">Phone mount, screen-record, before/after comparison, one clean feature payoff.</x:t>
        </x:is>
      </x:c>
      <x:c r="S125" s="110" t="inlineStr">
        <x:is>
          <x:t xml:space="preserve">A feature is only useful if it helps in the exact moment a driver needs it.</x:t>
        </x:is>
      </x:c>
      <x:c r="T125" s="110" t="inlineStr">
        <x:is>
          <x:t xml:space="preserve">Try Msafiri on your next drive.</x:t>
        </x:is>
      </x:c>
      <x:c r="U125" s="110" t="inlineStr">
        <x:is>
          <x:t xml:space="preserve">Phone mount; Msafiri screen-record; Coast/upcountry route planning B-roll; captions; branded end card</x:t>
        </x:is>
      </x:c>
      <x:c r="V125" s="110" t="inlineStr">
        <x:is>
          <x:t xml:space="preserve">Founder</x:t>
        </x:is>
      </x:c>
      <x:c r="W125" s="110" t="inlineStr">
        <x:is>
          <x:t xml:space="preserve">Draft</x:t>
        </x:is>
      </x:c>
      <x:c r="X125" s="110" t="inlineStr">
        <x:is>
          <x:t xml:space="preserve">Not Started</x:t>
        </x:is>
      </x:c>
      <x:c r="Y125" s="110" t="n"/>
      <x:c r="Z125" s="111" t="n"/>
      <x:c r="AA125" s="111" t="n"/>
      <x:c r="AB125" s="111" t="n"/>
      <x:c r="AC125" s="111" t="n"/>
      <x:c r="AD125" s="111" t="n"/>
      <x:c r="AE125" s="110" t="n"/>
      <x:c r="AF125" s="112" t="inlineStr">
        <x:is>
          <x:t xml:space="preserve">Core</x:t>
        </x:is>
      </x:c>
      <x:c r="AG125" s="110" t="inlineStr">
        <x:is>
          <x:t xml:space="preserve">Screen demo</x:t>
        </x:is>
      </x:c>
      <x:c r="AH125" s="113" t="n">
        <x:v>45</x:v>
      </x:c>
      <x:c r="AI125" s="114" t="n">
        <x:v>0</x:v>
      </x:c>
      <x:c r="AJ125" s="115" t="inlineStr">
        <x:is>
          <x:t xml:space="preserve"/>
        </x:is>
      </x:c>
      <x:c r="AK125" s="113" t="n">
        <x:v>0</x:v>
      </x:c>
      <x:c r="AL125" s="114" t="n">
        <x:v>0</x:v>
      </x:c>
    </x:row>
    <x:row r="126" ht="64" customHeight="1">
      <x:c r="A126" s="116" t="n">
        <x:v>46372</x:v>
      </x:c>
      <x:c r="B126" s="117" t="inlineStr">
        <x:is>
          <x:t xml:space="preserve">Wednesday</x:t>
        </x:is>
      </x:c>
      <x:c r="C126" s="117" t="n">
        <x:v>122</x:v>
      </x:c>
      <x:c r="D126" s="117" t="n">
        <x:v>18</x:v>
      </x:c>
      <x:c r="E126" s="117" t="inlineStr">
        <x:is>
          <x:t xml:space="preserve">End-year road-trip confidence</x:t>
        </x:is>
      </x:c>
      <x:c r="F126" s="117" t="inlineStr">
        <x:is>
          <x:t xml:space="preserve">Road trip, but prepared</x:t>
        </x:is>
      </x:c>
      <x:c r="G126" s="117" t="inlineStr">
        <x:is>
          <x:t xml:space="preserve">Kenyan Driving Reality</x:t>
        </x:is>
      </x:c>
      <x:c r="H126" s="117" t="inlineStr">
        <x:is>
          <x:t xml:space="preserve">Kenyan Driver Problems</x:t>
        </x:is>
      </x:c>
      <x:c r="I126" s="117" t="inlineStr">
        <x:is>
          <x:t xml:space="preserve">Find Nearby</x:t>
        </x:is>
      </x:c>
      <x:c r="J126" s="117" t="inlineStr">
        <x:is>
          <x:t xml:space="preserve">Road-trip group</x:t>
        </x:is>
      </x:c>
      <x:c r="K126" s="117" t="inlineStr">
        <x:is>
          <x:t xml:space="preserve">Engagement</x:t>
        </x:is>
      </x:c>
      <x:c r="L126" s="117" t="inlineStr">
        <x:is>
          <x:t xml:space="preserve">Skit</x:t>
        </x:is>
      </x:c>
      <x:c r="M126" s="117" t="inlineStr">
        <x:is>
          <x:t xml:space="preserve">15–35 sec</x:t>
        </x:is>
      </x:c>
      <x:c r="N126" s="117" t="inlineStr">
        <x:is>
          <x:t xml:space="preserve">TikTok</x:t>
        </x:is>
      </x:c>
      <x:c r="O126" s="117" t="inlineStr">
        <x:is>
          <x:t xml:space="preserve">Instagram Reels | Facebook Reels | YouTube Shorts</x:t>
        </x:is>
      </x:c>
      <x:c r="P126" s="117" t="inlineStr">
        <x:is>
          <x:t xml:space="preserve">Relatable driver tension; make people laugh, then attach a practical Msafiri angle.</x:t>
        </x:is>
      </x:c>
      <x:c r="Q126" s="117" t="inlineStr">
        <x:is>
          <x:t xml:space="preserve">POV: plans change and you need a safe, useful stop and everyone in the car suddenly becomes a driving expert.</x:t>
        </x:is>
      </x:c>
      <x:c r="R126" s="117" t="inlineStr">
        <x:is>
          <x:t xml:space="preserve">Driver/passenger skit, quick reaction cuts, exaggerated but familiar Kenyan driving moment.</x:t>
        </x:is>
      </x:c>
      <x:c r="S126" s="117" t="inlineStr">
        <x:is>
          <x:t xml:space="preserve">Every driver knows this argument. The smart move is having better information before the argument starts.</x:t>
        </x:is>
      </x:c>
      <x:c r="T126" s="117" t="inlineStr">
        <x:is>
          <x:t xml:space="preserve">Tag the driver who does this.</x:t>
        </x:is>
      </x:c>
      <x:c r="U126" s="117" t="inlineStr">
        <x:is>
          <x:t xml:space="preserve">Phone mount; Msafiri screen-record; Coast/upcountry route planning B-roll; captions; branded end card</x:t>
        </x:is>
      </x:c>
      <x:c r="V126" s="117" t="inlineStr">
        <x:is>
          <x:t xml:space="preserve">Founder</x:t>
        </x:is>
      </x:c>
      <x:c r="W126" s="117" t="inlineStr">
        <x:is>
          <x:t xml:space="preserve">Backlog</x:t>
        </x:is>
      </x:c>
      <x:c r="X126" s="117" t="inlineStr">
        <x:is>
          <x:t xml:space="preserve">Not Started</x:t>
        </x:is>
      </x:c>
      <x:c r="Y126" s="117" t="n"/>
      <x:c r="Z126" s="118" t="n"/>
      <x:c r="AA126" s="118" t="n"/>
      <x:c r="AB126" s="118" t="n"/>
      <x:c r="AC126" s="118" t="n"/>
      <x:c r="AD126" s="118" t="n"/>
      <x:c r="AE126" s="117" t="n"/>
      <x:c r="AF126" s="122" t="inlineStr">
        <x:is>
          <x:t xml:space="preserve">Optional</x:t>
        </x:is>
      </x:c>
      <x:c r="AG126" s="117" t="inlineStr">
        <x:is>
          <x:t xml:space="preserve">Repurpose / story</x:t>
        </x:is>
      </x:c>
      <x:c r="AH126" s="113" t="n">
        <x:v>25</x:v>
      </x:c>
      <x:c r="AI126" s="114" t="n">
        <x:v>0</x:v>
      </x:c>
      <x:c r="AJ126" s="120" t="inlineStr">
        <x:is>
          <x:t xml:space="preserve"/>
        </x:is>
      </x:c>
      <x:c r="AK126" s="113" t="n">
        <x:v>0</x:v>
      </x:c>
      <x:c r="AL126" s="114" t="n">
        <x:v>0</x:v>
      </x:c>
    </x:row>
    <x:row r="127" ht="64" customHeight="1">
      <x:c r="A127" s="109" t="n">
        <x:v>46373</x:v>
      </x:c>
      <x:c r="B127" s="110" t="inlineStr">
        <x:is>
          <x:t xml:space="preserve">Thursday</x:t>
        </x:is>
      </x:c>
      <x:c r="C127" s="110" t="n">
        <x:v>123</x:v>
      </x:c>
      <x:c r="D127" s="110" t="n">
        <x:v>18</x:v>
      </x:c>
      <x:c r="E127" s="110" t="inlineStr">
        <x:is>
          <x:t xml:space="preserve">End-year road-trip confidence</x:t>
        </x:is>
      </x:c>
      <x:c r="F127" s="110" t="inlineStr">
        <x:is>
          <x:t xml:space="preserve">Road trip, but prepared</x:t>
        </x:is>
      </x:c>
      <x:c r="G127" s="110" t="inlineStr">
        <x:is>
          <x:t xml:space="preserve">Founder / BTS</x:t>
        </x:is>
      </x:c>
      <x:c r="H127" s="110" t="inlineStr">
        <x:is>
          <x:t xml:space="preserve">Founder Files</x:t>
        </x:is>
      </x:c>
      <x:c r="I127" s="110" t="inlineStr">
        <x:is>
          <x:t xml:space="preserve">Find Nearby</x:t>
        </x:is>
      </x:c>
      <x:c r="J127" s="110" t="inlineStr">
        <x:is>
          <x:t xml:space="preserve">Road-trip group</x:t>
        </x:is>
      </x:c>
      <x:c r="K127" s="110" t="inlineStr">
        <x:is>
          <x:t xml:space="preserve">Trust</x:t>
        </x:is>
      </x:c>
      <x:c r="L127" s="110" t="inlineStr">
        <x:is>
          <x:t xml:space="preserve">Founder-to-camera</x:t>
        </x:is>
      </x:c>
      <x:c r="M127" s="110" t="inlineStr">
        <x:is>
          <x:t xml:space="preserve">30–60 sec</x:t>
        </x:is>
      </x:c>
      <x:c r="N127" s="110" t="inlineStr">
        <x:is>
          <x:t xml:space="preserve">Instagram Reels</x:t>
        </x:is>
      </x:c>
      <x:c r="O127" s="110" t="inlineStr">
        <x:is>
          <x:t xml:space="preserve">TikTok | YouTube Shorts | LinkedIn</x:t>
        </x:is>
      </x:c>
      <x:c r="P127" s="110" t="inlineStr">
        <x:is>
          <x:t xml:space="preserve">Peter explains the product decision, tradeoff, or local insight behind the week’s feature.</x:t>
        </x:is>
      </x:c>
      <x:c r="Q127" s="110" t="inlineStr">
        <x:is>
          <x:t xml:space="preserve">Peter here — this is why we built Find Nearby for Kenyan drivers, not just generic drivers.</x:t>
        </x:is>
      </x:c>
      <x:c r="R127" s="110" t="inlineStr">
        <x:is>
          <x:t xml:space="preserve">Peter in car or office, quick cutaways to road test, product screen and handwritten notes.</x:t>
        </x:is>
      </x:c>
      <x:c r="S127" s="110" t="inlineStr">
        <x:is>
          <x:t xml:space="preserve">The goal is not another app on your phone. The goal is a calmer, more prepared drive.</x:t>
        </x:is>
      </x:c>
      <x:c r="T127" s="110" t="inlineStr">
        <x:is>
          <x:t xml:space="preserve">Follow Msafiri as we build for Kenyan roads.</x:t>
        </x:is>
      </x:c>
      <x:c r="U127" s="110" t="inlineStr">
        <x:is>
          <x:t xml:space="preserve">Peter on-camera setup; car/office B-roll; product screen; simple lower-third</x:t>
        </x:is>
      </x:c>
      <x:c r="V127" s="110" t="inlineStr">
        <x:is>
          <x:t xml:space="preserve">Founder</x:t>
        </x:is>
      </x:c>
      <x:c r="W127" s="110" t="inlineStr">
        <x:is>
          <x:t xml:space="preserve">Draft</x:t>
        </x:is>
      </x:c>
      <x:c r="X127" s="110" t="inlineStr">
        <x:is>
          <x:t xml:space="preserve">Not Started</x:t>
        </x:is>
      </x:c>
      <x:c r="Y127" s="110" t="n"/>
      <x:c r="Z127" s="111" t="n"/>
      <x:c r="AA127" s="111" t="n"/>
      <x:c r="AB127" s="111" t="n"/>
      <x:c r="AC127" s="111" t="n"/>
      <x:c r="AD127" s="111" t="n"/>
      <x:c r="AE127" s="110" t="n"/>
      <x:c r="AF127" s="112" t="inlineStr">
        <x:is>
          <x:t xml:space="preserve">Core</x:t>
        </x:is>
      </x:c>
      <x:c r="AG127" s="110" t="inlineStr">
        <x:is>
          <x:t xml:space="preserve">Founder / education</x:t>
        </x:is>
      </x:c>
      <x:c r="AH127" s="113" t="n">
        <x:v>45</x:v>
      </x:c>
      <x:c r="AI127" s="114" t="n">
        <x:v>0</x:v>
      </x:c>
      <x:c r="AJ127" s="115" t="inlineStr">
        <x:is>
          <x:t xml:space="preserve"/>
        </x:is>
      </x:c>
      <x:c r="AK127" s="113" t="n">
        <x:v>0</x:v>
      </x:c>
      <x:c r="AL127" s="114" t="n">
        <x:v>0</x:v>
      </x:c>
    </x:row>
    <x:row r="128" ht="64" customHeight="1">
      <x:c r="A128" s="116" t="n">
        <x:v>46374</x:v>
      </x:c>
      <x:c r="B128" s="117" t="inlineStr">
        <x:is>
          <x:t xml:space="preserve">Friday</x:t>
        </x:is>
      </x:c>
      <x:c r="C128" s="117" t="n">
        <x:v>124</x:v>
      </x:c>
      <x:c r="D128" s="117" t="n">
        <x:v>18</x:v>
      </x:c>
      <x:c r="E128" s="117" t="inlineStr">
        <x:is>
          <x:t xml:space="preserve">End-year road-trip confidence</x:t>
        </x:is>
      </x:c>
      <x:c r="F128" s="117" t="inlineStr">
        <x:is>
          <x:t xml:space="preserve">Road trip, but prepared</x:t>
        </x:is>
      </x:c>
      <x:c r="G128" s="117" t="inlineStr">
        <x:is>
          <x:t xml:space="preserve">Debate / Mythbusters</x:t>
        </x:is>
      </x:c>
      <x:c r="H128" s="117" t="inlineStr">
        <x:is>
          <x:t xml:space="preserve">Road Mythbusters</x:t>
        </x:is>
      </x:c>
      <x:c r="I128" s="117" t="inlineStr">
        <x:is>
          <x:t xml:space="preserve">Find Nearby</x:t>
        </x:is>
      </x:c>
      <x:c r="J128" s="117" t="inlineStr">
        <x:is>
          <x:t xml:space="preserve">Road-trip group</x:t>
        </x:is>
      </x:c>
      <x:c r="K128" s="117" t="inlineStr">
        <x:is>
          <x:t xml:space="preserve">Engagement</x:t>
        </x:is>
      </x:c>
      <x:c r="L128" s="117" t="inlineStr">
        <x:is>
          <x:t xml:space="preserve">Short-form video</x:t>
        </x:is>
      </x:c>
      <x:c r="M128" s="117" t="inlineStr">
        <x:is>
          <x:t xml:space="preserve">20–45 sec</x:t>
        </x:is>
      </x:c>
      <x:c r="N128" s="117" t="inlineStr">
        <x:is>
          <x:t xml:space="preserve">TikTok</x:t>
        </x:is>
      </x:c>
      <x:c r="O128" s="117" t="inlineStr">
        <x:is>
          <x:t xml:space="preserve">Instagram Reels | YouTube Shorts | Facebook Reels</x:t>
        </x:is>
      </x:c>
      <x:c r="P128" s="117" t="inlineStr">
        <x:is>
          <x:t xml:space="preserve">Open a controlled debate while ending with responsible road-safety framing.</x:t>
        </x:is>
      </x:c>
      <x:c r="Q128" s="117" t="inlineStr">
        <x:is>
          <x:t xml:space="preserve">Hot take: the best road-trip stop is the one you can find quickly and safely.</x:t>
        </x:is>
      </x:c>
      <x:c r="R128" s="117" t="inlineStr">
        <x:is>
          <x:t xml:space="preserve">Split screen: claim vs reality, quick poll sticker, Peter closing with safe takeaway.</x:t>
        </x:is>
      </x:c>
      <x:c r="S128" s="117" t="inlineStr">
        <x:is>
          <x:t xml:space="preserve">Debate is useful only if it makes us better drivers. What is your honest view?</x:t>
        </x:is>
      </x:c>
      <x:c r="T128" s="117" t="inlineStr">
        <x:is>
          <x:t xml:space="preserve">Agree or disagree? Give your reason.</x:t>
        </x:is>
      </x:c>
      <x:c r="U128" s="117" t="inlineStr">
        <x:is>
          <x:t xml:space="preserve">Phone mount; Msafiri screen-record; Coast/upcountry route planning B-roll; captions; branded end card</x:t>
        </x:is>
      </x:c>
      <x:c r="V128" s="117" t="inlineStr">
        <x:is>
          <x:t xml:space="preserve">Founder</x:t>
        </x:is>
      </x:c>
      <x:c r="W128" s="117" t="inlineStr">
        <x:is>
          <x:t xml:space="preserve">Backlog</x:t>
        </x:is>
      </x:c>
      <x:c r="X128" s="117" t="inlineStr">
        <x:is>
          <x:t xml:space="preserve">Not Started</x:t>
        </x:is>
      </x:c>
      <x:c r="Y128" s="117" t="n"/>
      <x:c r="Z128" s="118" t="n"/>
      <x:c r="AA128" s="118" t="n"/>
      <x:c r="AB128" s="118" t="n"/>
      <x:c r="AC128" s="118" t="n"/>
      <x:c r="AD128" s="118" t="n"/>
      <x:c r="AE128" s="117" t="n"/>
      <x:c r="AF128" s="122" t="inlineStr">
        <x:is>
          <x:t xml:space="preserve">Optional</x:t>
        </x:is>
      </x:c>
      <x:c r="AG128" s="117" t="inlineStr">
        <x:is>
          <x:t xml:space="preserve">Community reply</x:t>
        </x:is>
      </x:c>
      <x:c r="AH128" s="113" t="n">
        <x:v>25</x:v>
      </x:c>
      <x:c r="AI128" s="114" t="n">
        <x:v>0</x:v>
      </x:c>
      <x:c r="AJ128" s="120" t="inlineStr">
        <x:is>
          <x:t xml:space="preserve"/>
        </x:is>
      </x:c>
      <x:c r="AK128" s="113" t="n">
        <x:v>0</x:v>
      </x:c>
      <x:c r="AL128" s="114" t="n">
        <x:v>0</x:v>
      </x:c>
    </x:row>
    <x:row r="129" ht="64" customHeight="1">
      <x:c r="A129" s="109" t="n">
        <x:v>46375</x:v>
      </x:c>
      <x:c r="B129" s="110" t="inlineStr">
        <x:is>
          <x:t xml:space="preserve">Saturday</x:t>
        </x:is>
      </x:c>
      <x:c r="C129" s="110" t="n">
        <x:v>125</x:v>
      </x:c>
      <x:c r="D129" s="110" t="n">
        <x:v>18</x:v>
      </x:c>
      <x:c r="E129" s="110" t="inlineStr">
        <x:is>
          <x:t xml:space="preserve">End-year road-trip confidence</x:t>
        </x:is>
      </x:c>
      <x:c r="F129" s="110" t="inlineStr">
        <x:is>
          <x:t xml:space="preserve">Road trip, but prepared</x:t>
        </x:is>
      </x:c>
      <x:c r="G129" s="110" t="inlineStr">
        <x:is>
          <x:t xml:space="preserve">Community / UGC</x:t>
        </x:is>
      </x:c>
      <x:c r="H129" s="110" t="inlineStr">
        <x:is>
          <x:t xml:space="preserve">Ask a Kenyan Driver</x:t>
        </x:is>
      </x:c>
      <x:c r="I129" s="110" t="inlineStr">
        <x:is>
          <x:t xml:space="preserve">Find Nearby</x:t>
        </x:is>
      </x:c>
      <x:c r="J129" s="110" t="inlineStr">
        <x:is>
          <x:t xml:space="preserve">Road-trip group</x:t>
        </x:is>
      </x:c>
      <x:c r="K129" s="110" t="inlineStr">
        <x:is>
          <x:t xml:space="preserve">Community</x:t>
        </x:is>
      </x:c>
      <x:c r="L129" s="110" t="inlineStr">
        <x:is>
          <x:t xml:space="preserve">Street Interview</x:t>
        </x:is>
      </x:c>
      <x:c r="M129" s="110" t="inlineStr">
        <x:is>
          <x:t xml:space="preserve">20–60 sec</x:t>
        </x:is>
      </x:c>
      <x:c r="N129" s="110" t="inlineStr">
        <x:is>
          <x:t xml:space="preserve">TikTok</x:t>
        </x:is>
      </x:c>
      <x:c r="O129" s="110" t="inlineStr">
        <x:is>
          <x:t xml:space="preserve">Instagram Reels | Facebook Reels | YouTube Shorts</x:t>
        </x:is>
      </x:c>
      <x:c r="P129" s="110" t="inlineStr">
        <x:is>
          <x:t xml:space="preserve">Let drivers speak; collect comments and stories that can become future episodes.</x:t>
        </x:is>
      </x:c>
      <x:c r="Q129" s="110" t="inlineStr">
        <x:is>
          <x:t xml:space="preserve">We asked drivers: what do you usually need to find mid-trip?</x:t>
        </x:is>
      </x:c>
      <x:c r="R129" s="110" t="inlineStr">
        <x:is>
          <x:t xml:space="preserve">Street interview, 3 fast answers, one unexpected answer, branded closing card.</x:t>
        </x:is>
      </x:c>
      <x:c r="S129" s="110" t="inlineStr">
        <x:is>
          <x:t xml:space="preserve">Kenyan drivers have stories. Msafiri wants to turn those stories into smarter road intelligence.</x:t>
        </x:is>
      </x:c>
      <x:c r="T129" s="110" t="inlineStr">
        <x:is>
          <x:t xml:space="preserve">Tell us your answer in the comments.</x:t>
        </x:is>
      </x:c>
      <x:c r="U129" s="110" t="inlineStr">
        <x:is>
          <x:t xml:space="preserve">Lapel mic; consent line; 3–5 driver answers; branded question card; subtitle template</x:t>
        </x:is>
      </x:c>
      <x:c r="V129" s="110" t="inlineStr">
        <x:is>
          <x:t xml:space="preserve">Founder</x:t>
        </x:is>
      </x:c>
      <x:c r="W129" s="110" t="inlineStr">
        <x:is>
          <x:t xml:space="preserve">Draft</x:t>
        </x:is>
      </x:c>
      <x:c r="X129" s="110" t="inlineStr">
        <x:is>
          <x:t xml:space="preserve">Not Started</x:t>
        </x:is>
      </x:c>
      <x:c r="Y129" s="110" t="n"/>
      <x:c r="Z129" s="111" t="n"/>
      <x:c r="AA129" s="111" t="n"/>
      <x:c r="AB129" s="111" t="n"/>
      <x:c r="AC129" s="111" t="n"/>
      <x:c r="AD129" s="111" t="n"/>
      <x:c r="AE129" s="110" t="n"/>
      <x:c r="AF129" s="112" t="inlineStr">
        <x:is>
          <x:t xml:space="preserve">Core</x:t>
        </x:is>
      </x:c>
      <x:c r="AG129" s="110" t="inlineStr">
        <x:is>
          <x:t xml:space="preserve">Field / community</x:t>
        </x:is>
      </x:c>
      <x:c r="AH129" s="113" t="n">
        <x:v>60</x:v>
      </x:c>
      <x:c r="AI129" s="114" t="n">
        <x:v>0</x:v>
      </x:c>
      <x:c r="AJ129" s="115" t="inlineStr">
        <x:is>
          <x:t xml:space="preserve"/>
        </x:is>
      </x:c>
      <x:c r="AK129" s="113" t="n">
        <x:v>0</x:v>
      </x:c>
      <x:c r="AL129" s="114" t="n">
        <x:v>0</x:v>
      </x:c>
    </x:row>
    <x:row r="130" ht="64" customHeight="1">
      <x:c r="A130" s="116" t="n">
        <x:v>46376</x:v>
      </x:c>
      <x:c r="B130" s="117" t="inlineStr">
        <x:is>
          <x:t xml:space="preserve">Sunday</x:t>
        </x:is>
      </x:c>
      <x:c r="C130" s="117" t="n">
        <x:v>126</x:v>
      </x:c>
      <x:c r="D130" s="117" t="n">
        <x:v>18</x:v>
      </x:c>
      <x:c r="E130" s="117" t="inlineStr">
        <x:is>
          <x:t xml:space="preserve">End-year road-trip confidence</x:t>
        </x:is>
      </x:c>
      <x:c r="F130" s="117" t="inlineStr">
        <x:is>
          <x:t xml:space="preserve">Road trip, but prepared</x:t>
        </x:is>
      </x:c>
      <x:c r="G130" s="117" t="inlineStr">
        <x:is>
          <x:t xml:space="preserve">Education / Safety</x:t>
        </x:is>
      </x:c>
      <x:c r="H130" s="117" t="inlineStr">
        <x:is>
          <x:t xml:space="preserve">Before You Drive</x:t>
        </x:is>
      </x:c>
      <x:c r="I130" s="117" t="inlineStr">
        <x:is>
          <x:t xml:space="preserve">Find Nearby</x:t>
        </x:is>
      </x:c>
      <x:c r="J130" s="117" t="inlineStr">
        <x:is>
          <x:t xml:space="preserve">Road-trip group</x:t>
        </x:is>
      </x:c>
      <x:c r="K130" s="117" t="inlineStr">
        <x:is>
          <x:t xml:space="preserve">Retention</x:t>
        </x:is>
      </x:c>
      <x:c r="L130" s="117" t="inlineStr">
        <x:is>
          <x:t xml:space="preserve">Checklist Reel</x:t>
        </x:is>
      </x:c>
      <x:c r="M130" s="117" t="inlineStr">
        <x:is>
          <x:t xml:space="preserve">20–45 sec</x:t>
        </x:is>
      </x:c>
      <x:c r="N130" s="117" t="inlineStr">
        <x:is>
          <x:t xml:space="preserve">Instagram Reels</x:t>
        </x:is>
      </x:c>
      <x:c r="O130" s="117" t="inlineStr">
        <x:is>
          <x:t xml:space="preserve">TikTok | YouTube Shorts | Facebook Reels | Instagram Stories</x:t>
        </x:is>
      </x:c>
      <x:c r="P130" s="117" t="inlineStr">
        <x:is>
          <x:t xml:space="preserve">A saveable checklist people can use before a real drive.</x:t>
        </x:is>
      </x:c>
      <x:c r="Q130" s="117" t="inlineStr">
        <x:is>
          <x:t xml:space="preserve">Save this end-year road-trip confidence checklist before your next drive.</x:t>
        </x:is>
      </x:c>
      <x:c r="R130" s="117" t="inlineStr">
        <x:is>
          <x:t xml:space="preserve">Checklist overlay, hands-on car/phone shots, one item per beat, final saved-card frame.</x:t>
        </x:is>
      </x:c>
      <x:c r="S130" s="117" t="inlineStr">
        <x:is>
          <x:t xml:space="preserve">A good drive often starts before the engine starts. Keep this simple checklist close.</x:t>
        </x:is>
      </x:c>
      <x:c r="T130" s="117" t="inlineStr">
        <x:is>
          <x:t xml:space="preserve">Save this before your next drive.</x:t>
        </x:is>
      </x:c>
      <x:c r="U130" s="117" t="inlineStr">
        <x:is>
          <x:t xml:space="preserve">Phone mount; Msafiri screen-record; Coast/upcountry route planning B-roll; captions; branded end card</x:t>
        </x:is>
      </x:c>
      <x:c r="V130" s="117" t="inlineStr">
        <x:is>
          <x:t xml:space="preserve">Founder</x:t>
        </x:is>
      </x:c>
      <x:c r="W130" s="117" t="inlineStr">
        <x:is>
          <x:t xml:space="preserve">Backlog</x:t>
        </x:is>
      </x:c>
      <x:c r="X130" s="117" t="inlineStr">
        <x:is>
          <x:t xml:space="preserve">Not Started</x:t>
        </x:is>
      </x:c>
      <x:c r="Y130" s="117" t="n"/>
      <x:c r="Z130" s="118" t="n"/>
      <x:c r="AA130" s="118" t="n"/>
      <x:c r="AB130" s="118" t="n"/>
      <x:c r="AC130" s="118" t="n"/>
      <x:c r="AD130" s="118" t="n"/>
      <x:c r="AE130" s="117" t="n"/>
      <x:c r="AF130" s="122" t="inlineStr">
        <x:is>
          <x:t xml:space="preserve">Optional</x:t>
        </x:is>
      </x:c>
      <x:c r="AG130" s="117" t="inlineStr">
        <x:is>
          <x:t xml:space="preserve">Optional / planning</x:t>
        </x:is>
      </x:c>
      <x:c r="AH130" s="113" t="n">
        <x:v>20</x:v>
      </x:c>
      <x:c r="AI130" s="114" t="n">
        <x:v>0</x:v>
      </x:c>
      <x:c r="AJ130" s="120" t="inlineStr">
        <x:is>
          <x:t xml:space="preserve"/>
        </x:is>
      </x:c>
      <x:c r="AK130" s="113" t="n">
        <x:v>0</x:v>
      </x:c>
      <x:c r="AL130" s="114" t="n">
        <x:v>0</x:v>
      </x:c>
    </x:row>
    <x:row r="131" ht="64" customHeight="1">
      <x:c r="A131" s="109" t="n">
        <x:v>46377</x:v>
      </x:c>
      <x:c r="B131" s="110" t="inlineStr">
        <x:is>
          <x:t xml:space="preserve">Monday</x:t>
        </x:is>
      </x:c>
      <x:c r="C131" s="110" t="n">
        <x:v>127</x:v>
      </x:c>
      <x:c r="D131" s="110" t="n">
        <x:v>19</x:v>
      </x:c>
      <x:c r="E131" s="110" t="inlineStr">
        <x:is>
          <x:t xml:space="preserve">Christmas week arrival-safe campaign</x:t>
        </x:is>
      </x:c>
      <x:c r="F131" s="110" t="inlineStr">
        <x:is>
          <x:t xml:space="preserve">Arrive safe for the people waiting</x:t>
        </x:is>
      </x:c>
      <x:c r="G131" s="110" t="inlineStr">
        <x:is>
          <x:t xml:space="preserve">Road Intelligence</x:t>
        </x:is>
      </x:c>
      <x:c r="H131" s="110" t="inlineStr">
        <x:is>
          <x:t xml:space="preserve">Msafiri Road Check</x:t>
        </x:is>
      </x:c>
      <x:c r="I131" s="110" t="inlineStr">
        <x:is>
          <x:t xml:space="preserve">Accident Assistant</x:t>
        </x:is>
      </x:c>
      <x:c r="J131" s="110" t="inlineStr">
        <x:is>
          <x:t xml:space="preserve">Family driver</x:t>
        </x:is>
      </x:c>
      <x:c r="K131" s="110" t="inlineStr">
        <x:is>
          <x:t xml:space="preserve">Awareness</x:t>
        </x:is>
      </x:c>
      <x:c r="L131" s="110" t="inlineStr">
        <x:is>
          <x:t xml:space="preserve">Hero / Reel</x:t>
        </x:is>
      </x:c>
      <x:c r="M131" s="110" t="inlineStr">
        <x:is>
          <x:t xml:space="preserve">45–90 sec</x:t>
        </x:is>
      </x:c>
      <x:c r="N131" s="110" t="inlineStr">
        <x:is>
          <x:t xml:space="preserve">TikTok</x:t>
        </x:is>
      </x:c>
      <x:c r="O131" s="110" t="inlineStr">
        <x:is>
          <x:t xml:space="preserve">Instagram Reels | YouTube Shorts | Facebook Reels | YouTube</x:t>
        </x:is>
      </x:c>
      <x:c r="P131" s="110" t="inlineStr">
        <x:is>
          <x:t xml:space="preserve">Anchor episode that turns this week’s theme into a road story people can recognize.</x:t>
        </x:is>
      </x:c>
      <x:c r="Q131" s="110" t="inlineStr">
        <x:is>
          <x:t xml:space="preserve">We tested Christmas travel window: what should a family driver know before driving it this week?</x:t>
        </x:is>
      </x:c>
      <x:c r="R131" s="110" t="inlineStr">
        <x:is>
          <x:t xml:space="preserve">POV drive, 3 timestamped moments, map/context overlay, quick Msafiri screen, clear payoff.</x:t>
        </x:is>
      </x:c>
      <x:c r="S131" s="110" t="inlineStr">
        <x:is>
          <x:t xml:space="preserve">Road intelligence should feel practical, not complicated. Here is what stood out on Christmas travel window.</x:t>
        </x:is>
      </x:c>
      <x:c r="T131" s="110" t="inlineStr">
        <x:is>
          <x:t xml:space="preserve">Tell us which road we should check next.</x:t>
        </x:is>
      </x:c>
      <x:c r="U131" s="110" t="inlineStr">
        <x:is>
          <x:t xml:space="preserve">Phone mount; Msafiri screen-record; Christmas travel window B-roll; captions; branded end card</x:t>
        </x:is>
      </x:c>
      <x:c r="V131" s="110" t="inlineStr">
        <x:is>
          <x:t xml:space="preserve">Founder</x:t>
        </x:is>
      </x:c>
      <x:c r="W131" s="110" t="inlineStr">
        <x:is>
          <x:t xml:space="preserve">Draft</x:t>
        </x:is>
      </x:c>
      <x:c r="X131" s="110" t="inlineStr">
        <x:is>
          <x:t xml:space="preserve">Not Started</x:t>
        </x:is>
      </x:c>
      <x:c r="Y131" s="110" t="n"/>
      <x:c r="Z131" s="111" t="n"/>
      <x:c r="AA131" s="111" t="n"/>
      <x:c r="AB131" s="111" t="n"/>
      <x:c r="AC131" s="111" t="n"/>
      <x:c r="AD131" s="111" t="n"/>
      <x:c r="AE131" s="110" t="n"/>
      <x:c r="AF131" s="112" t="inlineStr">
        <x:is>
          <x:t xml:space="preserve">Core</x:t>
        </x:is>
      </x:c>
      <x:c r="AG131" s="110" t="inlineStr">
        <x:is>
          <x:t xml:space="preserve">Field / anchor</x:t>
        </x:is>
      </x:c>
      <x:c r="AH131" s="113" t="n">
        <x:v>75</x:v>
      </x:c>
      <x:c r="AI131" s="114" t="n">
        <x:v>0</x:v>
      </x:c>
      <x:c r="AJ131" s="115" t="inlineStr">
        <x:is>
          <x:t xml:space="preserve"/>
        </x:is>
      </x:c>
      <x:c r="AK131" s="113" t="n">
        <x:v>0</x:v>
      </x:c>
      <x:c r="AL131" s="114" t="n">
        <x:v>0</x:v>
      </x:c>
    </x:row>
    <x:row r="132" ht="64" customHeight="1">
      <x:c r="A132" s="116" t="n">
        <x:v>46378</x:v>
      </x:c>
      <x:c r="B132" s="117" t="inlineStr">
        <x:is>
          <x:t xml:space="preserve">Tuesday</x:t>
        </x:is>
      </x:c>
      <x:c r="C132" s="117" t="n">
        <x:v>128</x:v>
      </x:c>
      <x:c r="D132" s="117" t="n">
        <x:v>19</x:v>
      </x:c>
      <x:c r="E132" s="117" t="inlineStr">
        <x:is>
          <x:t xml:space="preserve">Christmas week arrival-safe campaign</x:t>
        </x:is>
      </x:c>
      <x:c r="F132" s="117" t="inlineStr">
        <x:is>
          <x:t xml:space="preserve">Arrive safe for the people waiting</x:t>
        </x:is>
      </x:c>
      <x:c r="G132" s="117" t="inlineStr">
        <x:is>
          <x:t xml:space="preserve">Product / Feature Proof</x:t>
        </x:is>
      </x:c>
      <x:c r="H132" s="117" t="inlineStr">
        <x:is>
          <x:t xml:space="preserve">Feature in the Wild</x:t>
        </x:is>
      </x:c>
      <x:c r="I132" s="117" t="inlineStr">
        <x:is>
          <x:t xml:space="preserve">Accident Assistant</x:t>
        </x:is>
      </x:c>
      <x:c r="J132" s="117" t="inlineStr">
        <x:is>
          <x:t xml:space="preserve">Family driver</x:t>
        </x:is>
      </x:c>
      <x:c r="K132" s="117" t="inlineStr">
        <x:is>
          <x:t xml:space="preserve">Feature Discovery</x:t>
        </x:is>
      </x:c>
      <x:c r="L132" s="117" t="inlineStr">
        <x:is>
          <x:t xml:space="preserve">Short-form video</x:t>
        </x:is>
      </x:c>
      <x:c r="M132" s="117" t="inlineStr">
        <x:is>
          <x:t xml:space="preserve">20–45 sec</x:t>
        </x:is>
      </x:c>
      <x:c r="N132" s="117" t="inlineStr">
        <x:is>
          <x:t xml:space="preserve">Instagram Reels</x:t>
        </x:is>
      </x:c>
      <x:c r="O132" s="117" t="inlineStr">
        <x:is>
          <x:t xml:space="preserve">TikTok | YouTube Shorts | Facebook Reels</x:t>
        </x:is>
      </x:c>
      <x:c r="P132" s="117" t="inlineStr">
        <x:is>
          <x:t xml:space="preserve">Show the feature solving one real driving moment without turning the video into an ad.</x:t>
        </x:is>
      </x:c>
      <x:c r="Q132" s="117" t="inlineStr">
        <x:is>
          <x:t xml:space="preserve">Accident Assistant only makes sense when everyone is shaken and nobody knows what to collect first; here is the 30-second version.</x:t>
        </x:is>
      </x:c>
      <x:c r="R132" s="117" t="inlineStr">
        <x:is>
          <x:t xml:space="preserve">Phone mount, screen-record, before/after comparison, one clean feature payoff.</x:t>
        </x:is>
      </x:c>
      <x:c r="S132" s="117" t="inlineStr">
        <x:is>
          <x:t xml:space="preserve">A feature is only useful if it helps in the exact moment a driver needs it.</x:t>
        </x:is>
      </x:c>
      <x:c r="T132" s="117" t="inlineStr">
        <x:is>
          <x:t xml:space="preserve">Try Msafiri on your next drive.</x:t>
        </x:is>
      </x:c>
      <x:c r="U132" s="117" t="inlineStr">
        <x:is>
          <x:t xml:space="preserve">Phone mount; Msafiri screen-record; Christmas travel window B-roll; captions; branded end card</x:t>
        </x:is>
      </x:c>
      <x:c r="V132" s="117" t="inlineStr">
        <x:is>
          <x:t xml:space="preserve">Founder</x:t>
        </x:is>
      </x:c>
      <x:c r="W132" s="117" t="inlineStr">
        <x:is>
          <x:t xml:space="preserve">Draft</x:t>
        </x:is>
      </x:c>
      <x:c r="X132" s="117" t="inlineStr">
        <x:is>
          <x:t xml:space="preserve">Not Started</x:t>
        </x:is>
      </x:c>
      <x:c r="Y132" s="117" t="n"/>
      <x:c r="Z132" s="118" t="n"/>
      <x:c r="AA132" s="118" t="n"/>
      <x:c r="AB132" s="118" t="n"/>
      <x:c r="AC132" s="118" t="n"/>
      <x:c r="AD132" s="118" t="n"/>
      <x:c r="AE132" s="117" t="n"/>
      <x:c r="AF132" s="119" t="inlineStr">
        <x:is>
          <x:t xml:space="preserve">Core</x:t>
        </x:is>
      </x:c>
      <x:c r="AG132" s="117" t="inlineStr">
        <x:is>
          <x:t xml:space="preserve">Screen demo</x:t>
        </x:is>
      </x:c>
      <x:c r="AH132" s="113" t="n">
        <x:v>45</x:v>
      </x:c>
      <x:c r="AI132" s="114" t="n">
        <x:v>0</x:v>
      </x:c>
      <x:c r="AJ132" s="120" t="inlineStr">
        <x:is>
          <x:t xml:space="preserve"/>
        </x:is>
      </x:c>
      <x:c r="AK132" s="113" t="n">
        <x:v>0</x:v>
      </x:c>
      <x:c r="AL132" s="114" t="n">
        <x:v>0</x:v>
      </x:c>
    </x:row>
    <x:row r="133" ht="64" customHeight="1">
      <x:c r="A133" s="109" t="n">
        <x:v>46379</x:v>
      </x:c>
      <x:c r="B133" s="110" t="inlineStr">
        <x:is>
          <x:t xml:space="preserve">Wednesday</x:t>
        </x:is>
      </x:c>
      <x:c r="C133" s="110" t="n">
        <x:v>129</x:v>
      </x:c>
      <x:c r="D133" s="110" t="n">
        <x:v>19</x:v>
      </x:c>
      <x:c r="E133" s="110" t="inlineStr">
        <x:is>
          <x:t xml:space="preserve">Christmas week arrival-safe campaign</x:t>
        </x:is>
      </x:c>
      <x:c r="F133" s="110" t="inlineStr">
        <x:is>
          <x:t xml:space="preserve">Arrive safe for the people waiting</x:t>
        </x:is>
      </x:c>
      <x:c r="G133" s="110" t="inlineStr">
        <x:is>
          <x:t xml:space="preserve">Kenyan Driving Reality</x:t>
        </x:is>
      </x:c>
      <x:c r="H133" s="110" t="inlineStr">
        <x:is>
          <x:t xml:space="preserve">Kenyan Driver Problems</x:t>
        </x:is>
      </x:c>
      <x:c r="I133" s="110" t="inlineStr">
        <x:is>
          <x:t xml:space="preserve">Accident Assistant</x:t>
        </x:is>
      </x:c>
      <x:c r="J133" s="110" t="inlineStr">
        <x:is>
          <x:t xml:space="preserve">Family driver</x:t>
        </x:is>
      </x:c>
      <x:c r="K133" s="110" t="inlineStr">
        <x:is>
          <x:t xml:space="preserve">Engagement</x:t>
        </x:is>
      </x:c>
      <x:c r="L133" s="110" t="inlineStr">
        <x:is>
          <x:t xml:space="preserve">Skit</x:t>
        </x:is>
      </x:c>
      <x:c r="M133" s="110" t="inlineStr">
        <x:is>
          <x:t xml:space="preserve">15–35 sec</x:t>
        </x:is>
      </x:c>
      <x:c r="N133" s="110" t="inlineStr">
        <x:is>
          <x:t xml:space="preserve">TikTok</x:t>
        </x:is>
      </x:c>
      <x:c r="O133" s="110" t="inlineStr">
        <x:is>
          <x:t xml:space="preserve">Instagram Reels | Facebook Reels | YouTube Shorts</x:t>
        </x:is>
      </x:c>
      <x:c r="P133" s="110" t="inlineStr">
        <x:is>
          <x:t xml:space="preserve">Relatable driver tension; make people laugh, then attach a practical Msafiri angle.</x:t>
        </x:is>
      </x:c>
      <x:c r="Q133" s="110" t="inlineStr">
        <x:is>
          <x:t xml:space="preserve">POV: everyone is shaken and nobody knows what to collect first and everyone in the car suddenly becomes a driving expert.</x:t>
        </x:is>
      </x:c>
      <x:c r="R133" s="110" t="inlineStr">
        <x:is>
          <x:t xml:space="preserve">Driver/passenger skit, quick reaction cuts, exaggerated but familiar Kenyan driving moment.</x:t>
        </x:is>
      </x:c>
      <x:c r="S133" s="110" t="inlineStr">
        <x:is>
          <x:t xml:space="preserve">Every driver knows this argument. The smart move is having better information before the argument starts.</x:t>
        </x:is>
      </x:c>
      <x:c r="T133" s="110" t="inlineStr">
        <x:is>
          <x:t xml:space="preserve">Tag the driver who does this.</x:t>
        </x:is>
      </x:c>
      <x:c r="U133" s="110" t="inlineStr">
        <x:is>
          <x:t xml:space="preserve">Phone mount; Msafiri screen-record; Christmas travel window B-roll; captions; branded end card</x:t>
        </x:is>
      </x:c>
      <x:c r="V133" s="110" t="inlineStr">
        <x:is>
          <x:t xml:space="preserve">Founder</x:t>
        </x:is>
      </x:c>
      <x:c r="W133" s="110" t="inlineStr">
        <x:is>
          <x:t xml:space="preserve">Backlog</x:t>
        </x:is>
      </x:c>
      <x:c r="X133" s="110" t="inlineStr">
        <x:is>
          <x:t xml:space="preserve">Not Started</x:t>
        </x:is>
      </x:c>
      <x:c r="Y133" s="110" t="n"/>
      <x:c r="Z133" s="111" t="n"/>
      <x:c r="AA133" s="111" t="n"/>
      <x:c r="AB133" s="111" t="n"/>
      <x:c r="AC133" s="111" t="n"/>
      <x:c r="AD133" s="111" t="n"/>
      <x:c r="AE133" s="110" t="n"/>
      <x:c r="AF133" s="121" t="inlineStr">
        <x:is>
          <x:t xml:space="preserve">Optional</x:t>
        </x:is>
      </x:c>
      <x:c r="AG133" s="110" t="inlineStr">
        <x:is>
          <x:t xml:space="preserve">Repurpose / story</x:t>
        </x:is>
      </x:c>
      <x:c r="AH133" s="113" t="n">
        <x:v>25</x:v>
      </x:c>
      <x:c r="AI133" s="114" t="n">
        <x:v>0</x:v>
      </x:c>
      <x:c r="AJ133" s="115" t="inlineStr">
        <x:is>
          <x:t xml:space="preserve"/>
        </x:is>
      </x:c>
      <x:c r="AK133" s="113" t="n">
        <x:v>0</x:v>
      </x:c>
      <x:c r="AL133" s="114" t="n">
        <x:v>0</x:v>
      </x:c>
    </x:row>
    <x:row r="134" ht="64" customHeight="1">
      <x:c r="A134" s="116" t="n">
        <x:v>46380</x:v>
      </x:c>
      <x:c r="B134" s="117" t="inlineStr">
        <x:is>
          <x:t xml:space="preserve">Thursday</x:t>
        </x:is>
      </x:c>
      <x:c r="C134" s="117" t="n">
        <x:v>130</x:v>
      </x:c>
      <x:c r="D134" s="117" t="n">
        <x:v>19</x:v>
      </x:c>
      <x:c r="E134" s="117" t="inlineStr">
        <x:is>
          <x:t xml:space="preserve">Christmas week arrival-safe campaign</x:t>
        </x:is>
      </x:c>
      <x:c r="F134" s="117" t="inlineStr">
        <x:is>
          <x:t xml:space="preserve">Christmas Eve travel prep</x:t>
        </x:is>
      </x:c>
      <x:c r="G134" s="117" t="inlineStr">
        <x:is>
          <x:t xml:space="preserve">Seasonal Campaign</x:t>
        </x:is>
      </x:c>
      <x:c r="H134" s="117" t="inlineStr">
        <x:is>
          <x:t xml:space="preserve">Holiday Road Prep</x:t>
        </x:is>
      </x:c>
      <x:c r="I134" s="117" t="inlineStr">
        <x:is>
          <x:t xml:space="preserve">Road alerts</x:t>
        </x:is>
      </x:c>
      <x:c r="J134" s="117" t="inlineStr">
        <x:is>
          <x:t xml:space="preserve">Family driver</x:t>
        </x:is>
      </x:c>
      <x:c r="K134" s="117" t="inlineStr">
        <x:is>
          <x:t xml:space="preserve">Trust</x:t>
        </x:is>
      </x:c>
      <x:c r="L134" s="117" t="inlineStr">
        <x:is>
          <x:t xml:space="preserve">Founder-to-camera</x:t>
        </x:is>
      </x:c>
      <x:c r="M134" s="117" t="inlineStr">
        <x:is>
          <x:t xml:space="preserve">30–60 sec</x:t>
        </x:is>
      </x:c>
      <x:c r="N134" s="117" t="inlineStr">
        <x:is>
          <x:t xml:space="preserve">Instagram Reels</x:t>
        </x:is>
      </x:c>
      <x:c r="O134" s="117" t="inlineStr">
        <x:is>
          <x:t xml:space="preserve">TikTok | YouTube Shorts | LinkedIn</x:t>
        </x:is>
      </x:c>
      <x:c r="P134" s="117" t="inlineStr">
        <x:is>
          <x:t xml:space="preserve">Calm, practical prep before family travel.</x:t>
        </x:is>
      </x:c>
      <x:c r="Q134" s="117" t="inlineStr">
        <x:is>
          <x:t xml:space="preserve">The night before a long Christmas drive, do not skip this checklist.</x:t>
        </x:is>
      </x:c>
      <x:c r="R134" s="117" t="inlineStr">
        <x:is>
          <x:t xml:space="preserve">Night-before packing, tyre pressure, water, phone mount, route glance.</x:t>
        </x:is>
      </x:c>
      <x:c r="S134" s="117" t="inlineStr">
        <x:is>
          <x:t xml:space="preserve">Seasonal road-safety moment: Christmas Eve travel prep. Keep it useful, warm and verified.</x:t>
        </x:is>
      </x:c>
      <x:c r="T134" s="117" t="inlineStr">
        <x:is>
          <x:t xml:space="preserve">Save it tonight; use it tomorrow.</x:t>
        </x:is>
      </x:c>
      <x:c r="U134" s="117" t="inlineStr">
        <x:is>
          <x:t xml:space="preserve">Phone mount; Msafiri screen-record; Christmas travel window B-roll; captions; branded end card</x:t>
        </x:is>
      </x:c>
      <x:c r="V134" s="117" t="inlineStr">
        <x:is>
          <x:t xml:space="preserve">Founder</x:t>
        </x:is>
      </x:c>
      <x:c r="W134" s="117" t="inlineStr">
        <x:is>
          <x:t xml:space="preserve">Draft</x:t>
        </x:is>
      </x:c>
      <x:c r="X134" s="117" t="inlineStr">
        <x:is>
          <x:t xml:space="preserve">Not Started</x:t>
        </x:is>
      </x:c>
      <x:c r="Y134" s="117" t="n"/>
      <x:c r="Z134" s="118" t="n"/>
      <x:c r="AA134" s="118" t="n"/>
      <x:c r="AB134" s="118" t="n"/>
      <x:c r="AC134" s="118" t="n"/>
      <x:c r="AD134" s="118" t="n"/>
      <x:c r="AE134" s="117" t="n"/>
      <x:c r="AF134" s="119" t="inlineStr">
        <x:is>
          <x:t xml:space="preserve">Core</x:t>
        </x:is>
      </x:c>
      <x:c r="AG134" s="117" t="inlineStr">
        <x:is>
          <x:t xml:space="preserve">Founder / education</x:t>
        </x:is>
      </x:c>
      <x:c r="AH134" s="113" t="n">
        <x:v>45</x:v>
      </x:c>
      <x:c r="AI134" s="114" t="n">
        <x:v>0</x:v>
      </x:c>
      <x:c r="AJ134" s="120" t="inlineStr">
        <x:is>
          <x:t xml:space="preserve"/>
        </x:is>
      </x:c>
      <x:c r="AK134" s="113" t="n">
        <x:v>0</x:v>
      </x:c>
      <x:c r="AL134" s="114" t="n">
        <x:v>0</x:v>
      </x:c>
    </x:row>
    <x:row r="135" ht="64" customHeight="1">
      <x:c r="A135" s="109" t="n">
        <x:v>46381</x:v>
      </x:c>
      <x:c r="B135" s="110" t="inlineStr">
        <x:is>
          <x:t xml:space="preserve">Friday</x:t>
        </x:is>
      </x:c>
      <x:c r="C135" s="110" t="n">
        <x:v>131</x:v>
      </x:c>
      <x:c r="D135" s="110" t="n">
        <x:v>19</x:v>
      </x:c>
      <x:c r="E135" s="110" t="inlineStr">
        <x:is>
          <x:t xml:space="preserve">Christmas week arrival-safe campaign</x:t>
        </x:is>
      </x:c>
      <x:c r="F135" s="110" t="inlineStr">
        <x:is>
          <x:t xml:space="preserve">Christmas Day</x:t>
        </x:is>
      </x:c>
      <x:c r="G135" s="110" t="inlineStr">
        <x:is>
          <x:t xml:space="preserve">Seasonal Campaign</x:t>
        </x:is>
      </x:c>
      <x:c r="H135" s="110" t="inlineStr">
        <x:is>
          <x:t xml:space="preserve">Holiday Road Prep</x:t>
        </x:is>
      </x:c>
      <x:c r="I135" s="110" t="inlineStr">
        <x:is>
          <x:t xml:space="preserve">Accident Assistant</x:t>
        </x:is>
      </x:c>
      <x:c r="J135" s="110" t="inlineStr">
        <x:is>
          <x:t xml:space="preserve">Family driver</x:t>
        </x:is>
      </x:c>
      <x:c r="K135" s="110" t="inlineStr">
        <x:is>
          <x:t xml:space="preserve">Engagement</x:t>
        </x:is>
      </x:c>
      <x:c r="L135" s="110" t="inlineStr">
        <x:is>
          <x:t xml:space="preserve">Short-form video</x:t>
        </x:is>
      </x:c>
      <x:c r="M135" s="110" t="inlineStr">
        <x:is>
          <x:t xml:space="preserve">20–45 sec</x:t>
        </x:is>
      </x:c>
      <x:c r="N135" s="110" t="inlineStr">
        <x:is>
          <x:t xml:space="preserve">TikTok</x:t>
        </x:is>
      </x:c>
      <x:c r="O135" s="110" t="inlineStr">
        <x:is>
          <x:t xml:space="preserve">Instagram Reels | YouTube Shorts | Facebook Reels</x:t>
        </x:is>
      </x:c>
      <x:c r="P135" s="110" t="inlineStr">
        <x:is>
          <x:t xml:space="preserve">Short emotional safety message for family drivers.</x:t>
        </x:is>
      </x:c>
      <x:c r="Q135" s="110" t="inlineStr">
        <x:is>
          <x:t xml:space="preserve">Merry Christmas — the best gift is arriving safely.</x:t>
        </x:is>
      </x:c>
      <x:c r="R135" s="110" t="inlineStr">
        <x:is>
          <x:t xml:space="preserve">Arrival hugs, road B-roll, seatbelt close-up, soft voiceover.</x:t>
        </x:is>
      </x:c>
      <x:c r="S135" s="110" t="inlineStr">
        <x:is>
          <x:t xml:space="preserve">Seasonal road-safety moment: Christmas Day. Keep it useful, warm and verified.</x:t>
        </x:is>
      </x:c>
      <x:c r="T135" s="110" t="inlineStr">
        <x:is>
          <x:t xml:space="preserve">Share this with someone driving today.</x:t>
        </x:is>
      </x:c>
      <x:c r="U135" s="110" t="inlineStr">
        <x:is>
          <x:t xml:space="preserve">Phone mount; Msafiri screen-record; Christmas travel window B-roll; captions; branded end card</x:t>
        </x:is>
      </x:c>
      <x:c r="V135" s="110" t="inlineStr">
        <x:is>
          <x:t xml:space="preserve">Founder</x:t>
        </x:is>
      </x:c>
      <x:c r="W135" s="110" t="inlineStr">
        <x:is>
          <x:t xml:space="preserve">Backlog</x:t>
        </x:is>
      </x:c>
      <x:c r="X135" s="110" t="inlineStr">
        <x:is>
          <x:t xml:space="preserve">Not Started</x:t>
        </x:is>
      </x:c>
      <x:c r="Y135" s="110" t="n"/>
      <x:c r="Z135" s="111" t="n"/>
      <x:c r="AA135" s="111" t="n"/>
      <x:c r="AB135" s="111" t="n"/>
      <x:c r="AC135" s="111" t="n"/>
      <x:c r="AD135" s="111" t="n"/>
      <x:c r="AE135" s="110" t="n"/>
      <x:c r="AF135" s="121" t="inlineStr">
        <x:is>
          <x:t xml:space="preserve">Optional</x:t>
        </x:is>
      </x:c>
      <x:c r="AG135" s="110" t="inlineStr">
        <x:is>
          <x:t xml:space="preserve">Community reply</x:t>
        </x:is>
      </x:c>
      <x:c r="AH135" s="113" t="n">
        <x:v>25</x:v>
      </x:c>
      <x:c r="AI135" s="114" t="n">
        <x:v>0</x:v>
      </x:c>
      <x:c r="AJ135" s="115" t="inlineStr">
        <x:is>
          <x:t xml:space="preserve"/>
        </x:is>
      </x:c>
      <x:c r="AK135" s="113" t="n">
        <x:v>0</x:v>
      </x:c>
      <x:c r="AL135" s="114" t="n">
        <x:v>0</x:v>
      </x:c>
    </x:row>
    <x:row r="136" ht="64" customHeight="1">
      <x:c r="A136" s="116" t="n">
        <x:v>46382</x:v>
      </x:c>
      <x:c r="B136" s="117" t="inlineStr">
        <x:is>
          <x:t xml:space="preserve">Saturday</x:t>
        </x:is>
      </x:c>
      <x:c r="C136" s="117" t="n">
        <x:v>132</x:v>
      </x:c>
      <x:c r="D136" s="117" t="n">
        <x:v>19</x:v>
      </x:c>
      <x:c r="E136" s="117" t="inlineStr">
        <x:is>
          <x:t xml:space="preserve">Christmas week arrival-safe campaign</x:t>
        </x:is>
      </x:c>
      <x:c r="F136" s="117" t="inlineStr">
        <x:is>
          <x:t xml:space="preserve">Boxing Day / return-trip fatigue</x:t>
        </x:is>
      </x:c>
      <x:c r="G136" s="117" t="inlineStr">
        <x:is>
          <x:t xml:space="preserve">Education / Safety</x:t>
        </x:is>
      </x:c>
      <x:c r="H136" s="117" t="inlineStr">
        <x:is>
          <x:t xml:space="preserve">One Minute Road Safety</x:t>
        </x:is>
      </x:c>
      <x:c r="I136" s="117" t="inlineStr">
        <x:is>
          <x:t xml:space="preserve">Alcoblow / sober-driving reminders</x:t>
        </x:is>
      </x:c>
      <x:c r="J136" s="117" t="inlineStr">
        <x:is>
          <x:t xml:space="preserve">Family driver</x:t>
        </x:is>
      </x:c>
      <x:c r="K136" s="117" t="inlineStr">
        <x:is>
          <x:t xml:space="preserve">Community</x:t>
        </x:is>
      </x:c>
      <x:c r="L136" s="117" t="inlineStr">
        <x:is>
          <x:t xml:space="preserve">Hero / Reel</x:t>
        </x:is>
      </x:c>
      <x:c r="M136" s="117" t="inlineStr">
        <x:is>
          <x:t xml:space="preserve">20–60 sec</x:t>
        </x:is>
      </x:c>
      <x:c r="N136" s="117" t="inlineStr">
        <x:is>
          <x:t xml:space="preserve">TikTok</x:t>
        </x:is>
      </x:c>
      <x:c r="O136" s="117" t="inlineStr">
        <x:is>
          <x:t xml:space="preserve">Instagram Reels | Facebook Reels | YouTube Shorts</x:t>
        </x:is>
      </x:c>
      <x:c r="P136" s="117" t="inlineStr">
        <x:is>
          <x:t xml:space="preserve">Responsible return-trip choices after celebrations.</x:t>
        </x:is>
      </x:c>
      <x:c r="Q136" s="117" t="inlineStr">
        <x:is>
          <x:t xml:space="preserve">If you are tired, full, or have been drinking, the safest drive is the one you postpone.</x:t>
        </x:is>
      </x:c>
      <x:c r="R136" s="117" t="inlineStr">
        <x:is>
          <x:t xml:space="preserve">Keys on table, rest break, water, family discussion, taxi/alternate ride cue.</x:t>
        </x:is>
      </x:c>
      <x:c r="S136" s="117" t="inlineStr">
        <x:is>
          <x:t xml:space="preserve">Seasonal road-safety moment: Boxing Day / return-trip fatigue. Keep it useful, warm and verified.</x:t>
        </x:is>
      </x:c>
      <x:c r="T136" s="117" t="inlineStr">
        <x:is>
          <x:t xml:space="preserve">Choose the safe ride. Tag the friend who should not drive tired.</x:t>
        </x:is>
      </x:c>
      <x:c r="U136" s="117" t="inlineStr">
        <x:is>
          <x:t xml:space="preserve">Phone mount; Msafiri screen-record; Christmas travel window B-roll; captions; branded end card; sober-driving disclaimer; no checkpoint locations</x:t>
        </x:is>
      </x:c>
      <x:c r="V136" s="117" t="inlineStr">
        <x:is>
          <x:t xml:space="preserve">Founder</x:t>
        </x:is>
      </x:c>
      <x:c r="W136" s="117" t="inlineStr">
        <x:is>
          <x:t xml:space="preserve">Draft</x:t>
        </x:is>
      </x:c>
      <x:c r="X136" s="117" t="inlineStr">
        <x:is>
          <x:t xml:space="preserve">Not Started</x:t>
        </x:is>
      </x:c>
      <x:c r="Y136" s="117" t="n"/>
      <x:c r="Z136" s="118" t="n"/>
      <x:c r="AA136" s="118" t="n"/>
      <x:c r="AB136" s="118" t="n"/>
      <x:c r="AC136" s="118" t="n"/>
      <x:c r="AD136" s="118" t="n"/>
      <x:c r="AE136" s="117" t="n"/>
      <x:c r="AF136" s="119" t="inlineStr">
        <x:is>
          <x:t xml:space="preserve">Core</x:t>
        </x:is>
      </x:c>
      <x:c r="AG136" s="117" t="inlineStr">
        <x:is>
          <x:t xml:space="preserve">Field / community</x:t>
        </x:is>
      </x:c>
      <x:c r="AH136" s="113" t="n">
        <x:v>60</x:v>
      </x:c>
      <x:c r="AI136" s="114" t="n">
        <x:v>0</x:v>
      </x:c>
      <x:c r="AJ136" s="120" t="inlineStr">
        <x:is>
          <x:t xml:space="preserve"/>
        </x:is>
      </x:c>
      <x:c r="AK136" s="113" t="n">
        <x:v>0</x:v>
      </x:c>
      <x:c r="AL136" s="114" t="n">
        <x:v>0</x:v>
      </x:c>
    </x:row>
    <x:row r="137" ht="64" customHeight="1">
      <x:c r="A137" s="109" t="n">
        <x:v>46383</x:v>
      </x:c>
      <x:c r="B137" s="110" t="inlineStr">
        <x:is>
          <x:t xml:space="preserve">Sunday</x:t>
        </x:is>
      </x:c>
      <x:c r="C137" s="110" t="n">
        <x:v>133</x:v>
      </x:c>
      <x:c r="D137" s="110" t="n">
        <x:v>19</x:v>
      </x:c>
      <x:c r="E137" s="110" t="inlineStr">
        <x:is>
          <x:t xml:space="preserve">Christmas week arrival-safe campaign</x:t>
        </x:is>
      </x:c>
      <x:c r="F137" s="110" t="inlineStr">
        <x:is>
          <x:t xml:space="preserve">Arrive safe for the people waiting</x:t>
        </x:is>
      </x:c>
      <x:c r="G137" s="110" t="inlineStr">
        <x:is>
          <x:t xml:space="preserve">Education / Safety</x:t>
        </x:is>
      </x:c>
      <x:c r="H137" s="110" t="inlineStr">
        <x:is>
          <x:t xml:space="preserve">Before You Drive</x:t>
        </x:is>
      </x:c>
      <x:c r="I137" s="110" t="inlineStr">
        <x:is>
          <x:t xml:space="preserve">Accident Assistant</x:t>
        </x:is>
      </x:c>
      <x:c r="J137" s="110" t="inlineStr">
        <x:is>
          <x:t xml:space="preserve">Family driver</x:t>
        </x:is>
      </x:c>
      <x:c r="K137" s="110" t="inlineStr">
        <x:is>
          <x:t xml:space="preserve">Retention</x:t>
        </x:is>
      </x:c>
      <x:c r="L137" s="110" t="inlineStr">
        <x:is>
          <x:t xml:space="preserve">Checklist Reel</x:t>
        </x:is>
      </x:c>
      <x:c r="M137" s="110" t="inlineStr">
        <x:is>
          <x:t xml:space="preserve">20–45 sec</x:t>
        </x:is>
      </x:c>
      <x:c r="N137" s="110" t="inlineStr">
        <x:is>
          <x:t xml:space="preserve">Instagram Reels</x:t>
        </x:is>
      </x:c>
      <x:c r="O137" s="110" t="inlineStr">
        <x:is>
          <x:t xml:space="preserve">TikTok | YouTube Shorts | Facebook Reels | Instagram Stories</x:t>
        </x:is>
      </x:c>
      <x:c r="P137" s="110" t="inlineStr">
        <x:is>
          <x:t xml:space="preserve">A saveable checklist people can use before a real drive.</x:t>
        </x:is>
      </x:c>
      <x:c r="Q137" s="110" t="inlineStr">
        <x:is>
          <x:t xml:space="preserve">Save this christmas week arrival-safe campaign checklist before your next drive.</x:t>
        </x:is>
      </x:c>
      <x:c r="R137" s="110" t="inlineStr">
        <x:is>
          <x:t xml:space="preserve">Checklist overlay, hands-on car/phone shots, one item per beat, final saved-card frame.</x:t>
        </x:is>
      </x:c>
      <x:c r="S137" s="110" t="inlineStr">
        <x:is>
          <x:t xml:space="preserve">A good drive often starts before the engine starts. Keep this simple checklist close.</x:t>
        </x:is>
      </x:c>
      <x:c r="T137" s="110" t="inlineStr">
        <x:is>
          <x:t xml:space="preserve">Save this before your next drive.</x:t>
        </x:is>
      </x:c>
      <x:c r="U137" s="110" t="inlineStr">
        <x:is>
          <x:t xml:space="preserve">Phone mount; Msafiri screen-record; Christmas travel window B-roll; captions; branded end card</x:t>
        </x:is>
      </x:c>
      <x:c r="V137" s="110" t="inlineStr">
        <x:is>
          <x:t xml:space="preserve">Founder</x:t>
        </x:is>
      </x:c>
      <x:c r="W137" s="110" t="inlineStr">
        <x:is>
          <x:t xml:space="preserve">Backlog</x:t>
        </x:is>
      </x:c>
      <x:c r="X137" s="110" t="inlineStr">
        <x:is>
          <x:t xml:space="preserve">Not Started</x:t>
        </x:is>
      </x:c>
      <x:c r="Y137" s="110" t="n"/>
      <x:c r="Z137" s="111" t="n"/>
      <x:c r="AA137" s="111" t="n"/>
      <x:c r="AB137" s="111" t="n"/>
      <x:c r="AC137" s="111" t="n"/>
      <x:c r="AD137" s="111" t="n"/>
      <x:c r="AE137" s="110" t="n"/>
      <x:c r="AF137" s="121" t="inlineStr">
        <x:is>
          <x:t xml:space="preserve">Optional</x:t>
        </x:is>
      </x:c>
      <x:c r="AG137" s="110" t="inlineStr">
        <x:is>
          <x:t xml:space="preserve">Optional / planning</x:t>
        </x:is>
      </x:c>
      <x:c r="AH137" s="113" t="n">
        <x:v>20</x:v>
      </x:c>
      <x:c r="AI137" s="114" t="n">
        <x:v>0</x:v>
      </x:c>
      <x:c r="AJ137" s="115" t="inlineStr">
        <x:is>
          <x:t xml:space="preserve"/>
        </x:is>
      </x:c>
      <x:c r="AK137" s="113" t="n">
        <x:v>0</x:v>
      </x:c>
      <x:c r="AL137" s="114" t="n">
        <x:v>0</x:v>
      </x:c>
    </x:row>
    <x:row r="138" ht="64" customHeight="1">
      <x:c r="A138" s="116" t="n">
        <x:v>46384</x:v>
      </x:c>
      <x:c r="B138" s="117" t="inlineStr">
        <x:is>
          <x:t xml:space="preserve">Monday</x:t>
        </x:is>
      </x:c>
      <x:c r="C138" s="117" t="n">
        <x:v>134</x:v>
      </x:c>
      <x:c r="D138" s="117" t="n">
        <x:v>20</x:v>
      </x:c>
      <x:c r="E138" s="117" t="inlineStr">
        <x:is>
          <x:t xml:space="preserve">Year-end recap and sober-driving push</x:t>
        </x:is>
      </x:c>
      <x:c r="F138" s="117" t="inlineStr">
        <x:is>
          <x:t xml:space="preserve">Drive into 2027 safely</x:t>
        </x:is>
      </x:c>
      <x:c r="G138" s="117" t="inlineStr">
        <x:is>
          <x:t xml:space="preserve">Road Intelligence</x:t>
        </x:is>
      </x:c>
      <x:c r="H138" s="117" t="inlineStr">
        <x:is>
          <x:t xml:space="preserve">Msafiri Road Check</x:t>
        </x:is>
      </x:c>
      <x:c r="I138" s="117" t="inlineStr">
        <x:is>
          <x:t xml:space="preserve">Alcoblow / sober-driving reminders</x:t>
        </x:is>
      </x:c>
      <x:c r="J138" s="117" t="inlineStr">
        <x:is>
          <x:t xml:space="preserve">General Kenyan driver</x:t>
        </x:is>
      </x:c>
      <x:c r="K138" s="117" t="inlineStr">
        <x:is>
          <x:t xml:space="preserve">Awareness</x:t>
        </x:is>
      </x:c>
      <x:c r="L138" s="117" t="inlineStr">
        <x:is>
          <x:t xml:space="preserve">Hero / Reel</x:t>
        </x:is>
      </x:c>
      <x:c r="M138" s="117" t="inlineStr">
        <x:is>
          <x:t xml:space="preserve">45–90 sec</x:t>
        </x:is>
      </x:c>
      <x:c r="N138" s="117" t="inlineStr">
        <x:is>
          <x:t xml:space="preserve">TikTok</x:t>
        </x:is>
      </x:c>
      <x:c r="O138" s="117" t="inlineStr">
        <x:is>
          <x:t xml:space="preserve">Instagram Reels | YouTube Shorts | Facebook Reels | YouTube</x:t>
        </x:is>
      </x:c>
      <x:c r="P138" s="117" t="inlineStr">
        <x:is>
          <x:t xml:space="preserve">Anchor episode that turns this week’s theme into a road story people can recognize.</x:t>
        </x:is>
      </x:c>
      <x:c r="Q138" s="117" t="inlineStr">
        <x:is>
          <x:t xml:space="preserve">We tested New Year travel window: what should a general kenyan driver know before driving it this week?</x:t>
        </x:is>
      </x:c>
      <x:c r="R138" s="117" t="inlineStr">
        <x:is>
          <x:t xml:space="preserve">POV drive, 3 timestamped moments, map/context overlay, quick Msafiri screen, clear payoff.</x:t>
        </x:is>
      </x:c>
      <x:c r="S138" s="117" t="inlineStr">
        <x:is>
          <x:t xml:space="preserve">Road intelligence should feel practical, not complicated. Here is what stood out on New Year travel window.</x:t>
        </x:is>
      </x:c>
      <x:c r="T138" s="117" t="inlineStr">
        <x:is>
          <x:t xml:space="preserve">Tell us which road we should check next.</x:t>
        </x:is>
      </x:c>
      <x:c r="U138" s="117" t="inlineStr">
        <x:is>
          <x:t xml:space="preserve">Phone mount; Msafiri screen-record; New Year travel window B-roll; captions; branded end card; sober-driving disclaimer; no checkpoint locations</x:t>
        </x:is>
      </x:c>
      <x:c r="V138" s="117" t="inlineStr">
        <x:is>
          <x:t xml:space="preserve">Founder</x:t>
        </x:is>
      </x:c>
      <x:c r="W138" s="117" t="inlineStr">
        <x:is>
          <x:t xml:space="preserve">Draft</x:t>
        </x:is>
      </x:c>
      <x:c r="X138" s="117" t="inlineStr">
        <x:is>
          <x:t xml:space="preserve">Not Started</x:t>
        </x:is>
      </x:c>
      <x:c r="Y138" s="117" t="n"/>
      <x:c r="Z138" s="118" t="n"/>
      <x:c r="AA138" s="118" t="n"/>
      <x:c r="AB138" s="118" t="n"/>
      <x:c r="AC138" s="118" t="n"/>
      <x:c r="AD138" s="118" t="n"/>
      <x:c r="AE138" s="117" t="n"/>
      <x:c r="AF138" s="119" t="inlineStr">
        <x:is>
          <x:t xml:space="preserve">Core</x:t>
        </x:is>
      </x:c>
      <x:c r="AG138" s="117" t="inlineStr">
        <x:is>
          <x:t xml:space="preserve">Field / anchor</x:t>
        </x:is>
      </x:c>
      <x:c r="AH138" s="113" t="n">
        <x:v>75</x:v>
      </x:c>
      <x:c r="AI138" s="114" t="n">
        <x:v>0</x:v>
      </x:c>
      <x:c r="AJ138" s="120" t="inlineStr">
        <x:is>
          <x:t xml:space="preserve"/>
        </x:is>
      </x:c>
      <x:c r="AK138" s="113" t="n">
        <x:v>0</x:v>
      </x:c>
      <x:c r="AL138" s="114" t="n">
        <x:v>0</x:v>
      </x:c>
    </x:row>
    <x:row r="139" ht="64" customHeight="1">
      <x:c r="A139" s="109" t="n">
        <x:v>46385</x:v>
      </x:c>
      <x:c r="B139" s="110" t="inlineStr">
        <x:is>
          <x:t xml:space="preserve">Tuesday</x:t>
        </x:is>
      </x:c>
      <x:c r="C139" s="110" t="n">
        <x:v>135</x:v>
      </x:c>
      <x:c r="D139" s="110" t="n">
        <x:v>20</x:v>
      </x:c>
      <x:c r="E139" s="110" t="inlineStr">
        <x:is>
          <x:t xml:space="preserve">Year-end recap and sober-driving push</x:t>
        </x:is>
      </x:c>
      <x:c r="F139" s="110" t="inlineStr">
        <x:is>
          <x:t xml:space="preserve">Drive into 2027 safely</x:t>
        </x:is>
      </x:c>
      <x:c r="G139" s="110" t="inlineStr">
        <x:is>
          <x:t xml:space="preserve">Product / Feature Proof</x:t>
        </x:is>
      </x:c>
      <x:c r="H139" s="110" t="inlineStr">
        <x:is>
          <x:t xml:space="preserve">Feature in the Wild</x:t>
        </x:is>
      </x:c>
      <x:c r="I139" s="110" t="inlineStr">
        <x:is>
          <x:t xml:space="preserve">Alcoblow / sober-driving reminders</x:t>
        </x:is>
      </x:c>
      <x:c r="J139" s="110" t="inlineStr">
        <x:is>
          <x:t xml:space="preserve">General Kenyan driver</x:t>
        </x:is>
      </x:c>
      <x:c r="K139" s="110" t="inlineStr">
        <x:is>
          <x:t xml:space="preserve">Feature Discovery</x:t>
        </x:is>
      </x:c>
      <x:c r="L139" s="110" t="inlineStr">
        <x:is>
          <x:t xml:space="preserve">Short-form video</x:t>
        </x:is>
      </x:c>
      <x:c r="M139" s="110" t="inlineStr">
        <x:is>
          <x:t xml:space="preserve">20–45 sec</x:t>
        </x:is>
      </x:c>
      <x:c r="N139" s="110" t="inlineStr">
        <x:is>
          <x:t xml:space="preserve">Instagram Reels</x:t>
        </x:is>
      </x:c>
      <x:c r="O139" s="110" t="inlineStr">
        <x:is>
          <x:t xml:space="preserve">TikTok | YouTube Shorts | Facebook Reels</x:t>
        </x:is>
      </x:c>
      <x:c r="P139" s="110" t="inlineStr">
        <x:is>
          <x:t xml:space="preserve">Show the feature solving one real driving moment without turning the video into an ad.</x:t>
        </x:is>
      </x:c>
      <x:c r="Q139" s="110" t="inlineStr">
        <x:is>
          <x:t xml:space="preserve">Alcoblow / sober-driving reminders only makes sense when celebration plans can turn into bad driving decisions; here is the 30-second version.</x:t>
        </x:is>
      </x:c>
      <x:c r="R139" s="110" t="inlineStr">
        <x:is>
          <x:t xml:space="preserve">Phone mount, screen-record, before/after comparison, one clean feature payoff.</x:t>
        </x:is>
      </x:c>
      <x:c r="S139" s="110" t="inlineStr">
        <x:is>
          <x:t xml:space="preserve">A feature is only useful if it helps in the exact moment a driver needs it.</x:t>
        </x:is>
      </x:c>
      <x:c r="T139" s="110" t="inlineStr">
        <x:is>
          <x:t xml:space="preserve">Try Msafiri on your next drive.</x:t>
        </x:is>
      </x:c>
      <x:c r="U139" s="110" t="inlineStr">
        <x:is>
          <x:t xml:space="preserve">Phone mount; Msafiri screen-record; New Year travel window B-roll; captions; branded end card; sober-driving disclaimer; no checkpoint locations</x:t>
        </x:is>
      </x:c>
      <x:c r="V139" s="110" t="inlineStr">
        <x:is>
          <x:t xml:space="preserve">Founder</x:t>
        </x:is>
      </x:c>
      <x:c r="W139" s="110" t="inlineStr">
        <x:is>
          <x:t xml:space="preserve">Draft</x:t>
        </x:is>
      </x:c>
      <x:c r="X139" s="110" t="inlineStr">
        <x:is>
          <x:t xml:space="preserve">Not Started</x:t>
        </x:is>
      </x:c>
      <x:c r="Y139" s="110" t="n"/>
      <x:c r="Z139" s="111" t="n"/>
      <x:c r="AA139" s="111" t="n"/>
      <x:c r="AB139" s="111" t="n"/>
      <x:c r="AC139" s="111" t="n"/>
      <x:c r="AD139" s="111" t="n"/>
      <x:c r="AE139" s="110" t="n"/>
      <x:c r="AF139" s="112" t="inlineStr">
        <x:is>
          <x:t xml:space="preserve">Core</x:t>
        </x:is>
      </x:c>
      <x:c r="AG139" s="110" t="inlineStr">
        <x:is>
          <x:t xml:space="preserve">Screen demo</x:t>
        </x:is>
      </x:c>
      <x:c r="AH139" s="113" t="n">
        <x:v>45</x:v>
      </x:c>
      <x:c r="AI139" s="114" t="n">
        <x:v>0</x:v>
      </x:c>
      <x:c r="AJ139" s="115" t="inlineStr">
        <x:is>
          <x:t xml:space="preserve"/>
        </x:is>
      </x:c>
      <x:c r="AK139" s="113" t="n">
        <x:v>0</x:v>
      </x:c>
      <x:c r="AL139" s="114" t="n">
        <x:v>0</x:v>
      </x:c>
    </x:row>
    <x:row r="140" ht="64" customHeight="1">
      <x:c r="A140" s="116" t="n">
        <x:v>46386</x:v>
      </x:c>
      <x:c r="B140" s="117" t="inlineStr">
        <x:is>
          <x:t xml:space="preserve">Wednesday</x:t>
        </x:is>
      </x:c>
      <x:c r="C140" s="117" t="n">
        <x:v>136</x:v>
      </x:c>
      <x:c r="D140" s="117" t="n">
        <x:v>20</x:v>
      </x:c>
      <x:c r="E140" s="117" t="inlineStr">
        <x:is>
          <x:t xml:space="preserve">Year-end recap and sober-driving push</x:t>
        </x:is>
      </x:c>
      <x:c r="F140" s="117" t="inlineStr">
        <x:is>
          <x:t xml:space="preserve">Drive into 2027 safely</x:t>
        </x:is>
      </x:c>
      <x:c r="G140" s="117" t="inlineStr">
        <x:is>
          <x:t xml:space="preserve">Kenyan Driving Reality</x:t>
        </x:is>
      </x:c>
      <x:c r="H140" s="117" t="inlineStr">
        <x:is>
          <x:t xml:space="preserve">Kenyan Driver Problems</x:t>
        </x:is>
      </x:c>
      <x:c r="I140" s="117" t="inlineStr">
        <x:is>
          <x:t xml:space="preserve">Alcoblow / sober-driving reminders</x:t>
        </x:is>
      </x:c>
      <x:c r="J140" s="117" t="inlineStr">
        <x:is>
          <x:t xml:space="preserve">General Kenyan driver</x:t>
        </x:is>
      </x:c>
      <x:c r="K140" s="117" t="inlineStr">
        <x:is>
          <x:t xml:space="preserve">Engagement</x:t>
        </x:is>
      </x:c>
      <x:c r="L140" s="117" t="inlineStr">
        <x:is>
          <x:t xml:space="preserve">Skit</x:t>
        </x:is>
      </x:c>
      <x:c r="M140" s="117" t="inlineStr">
        <x:is>
          <x:t xml:space="preserve">15–35 sec</x:t>
        </x:is>
      </x:c>
      <x:c r="N140" s="117" t="inlineStr">
        <x:is>
          <x:t xml:space="preserve">TikTok</x:t>
        </x:is>
      </x:c>
      <x:c r="O140" s="117" t="inlineStr">
        <x:is>
          <x:t xml:space="preserve">Instagram Reels | Facebook Reels | YouTube Shorts</x:t>
        </x:is>
      </x:c>
      <x:c r="P140" s="117" t="inlineStr">
        <x:is>
          <x:t xml:space="preserve">Relatable driver tension; make people laugh, then attach a practical Msafiri angle.</x:t>
        </x:is>
      </x:c>
      <x:c r="Q140" s="117" t="inlineStr">
        <x:is>
          <x:t xml:space="preserve">POV: celebration plans can turn into bad driving decisions and everyone in the car suddenly becomes a driving expert.</x:t>
        </x:is>
      </x:c>
      <x:c r="R140" s="117" t="inlineStr">
        <x:is>
          <x:t xml:space="preserve">Driver/passenger skit, quick reaction cuts, exaggerated but familiar Kenyan driving moment.</x:t>
        </x:is>
      </x:c>
      <x:c r="S140" s="117" t="inlineStr">
        <x:is>
          <x:t xml:space="preserve">Every driver knows this argument. The smart move is having better information before the argument starts.</x:t>
        </x:is>
      </x:c>
      <x:c r="T140" s="117" t="inlineStr">
        <x:is>
          <x:t xml:space="preserve">Tag the driver who does this.</x:t>
        </x:is>
      </x:c>
      <x:c r="U140" s="117" t="inlineStr">
        <x:is>
          <x:t xml:space="preserve">Phone mount; Msafiri screen-record; New Year travel window B-roll; captions; branded end card; sober-driving disclaimer; no checkpoint locations</x:t>
        </x:is>
      </x:c>
      <x:c r="V140" s="117" t="inlineStr">
        <x:is>
          <x:t xml:space="preserve">Founder</x:t>
        </x:is>
      </x:c>
      <x:c r="W140" s="117" t="inlineStr">
        <x:is>
          <x:t xml:space="preserve">Backlog</x:t>
        </x:is>
      </x:c>
      <x:c r="X140" s="117" t="inlineStr">
        <x:is>
          <x:t xml:space="preserve">Not Started</x:t>
        </x:is>
      </x:c>
      <x:c r="Y140" s="117" t="n"/>
      <x:c r="Z140" s="118" t="n"/>
      <x:c r="AA140" s="118" t="n"/>
      <x:c r="AB140" s="118" t="n"/>
      <x:c r="AC140" s="118" t="n"/>
      <x:c r="AD140" s="118" t="n"/>
      <x:c r="AE140" s="117" t="n"/>
      <x:c r="AF140" s="122" t="inlineStr">
        <x:is>
          <x:t xml:space="preserve">Optional</x:t>
        </x:is>
      </x:c>
      <x:c r="AG140" s="117" t="inlineStr">
        <x:is>
          <x:t xml:space="preserve">Repurpose / story</x:t>
        </x:is>
      </x:c>
      <x:c r="AH140" s="113" t="n">
        <x:v>25</x:v>
      </x:c>
      <x:c r="AI140" s="114" t="n">
        <x:v>0</x:v>
      </x:c>
      <x:c r="AJ140" s="120" t="inlineStr">
        <x:is>
          <x:t xml:space="preserve"/>
        </x:is>
      </x:c>
      <x:c r="AK140" s="113" t="n">
        <x:v>0</x:v>
      </x:c>
      <x:c r="AL140" s="114" t="n">
        <x:v>0</x:v>
      </x:c>
    </x:row>
    <x:row r="141" ht="64" customHeight="1">
      <x:c r="A141" s="109" t="n">
        <x:v>46387</x:v>
      </x:c>
      <x:c r="B141" s="110" t="inlineStr">
        <x:is>
          <x:t xml:space="preserve">Thursday</x:t>
        </x:is>
      </x:c>
      <x:c r="C141" s="110" t="n">
        <x:v>137</x:v>
      </x:c>
      <x:c r="D141" s="110" t="n">
        <x:v>20</x:v>
      </x:c>
      <x:c r="E141" s="110" t="inlineStr">
        <x:is>
          <x:t xml:space="preserve">Year-end recap and sober-driving push</x:t>
        </x:is>
      </x:c>
      <x:c r="F141" s="110" t="inlineStr">
        <x:is>
          <x:t xml:space="preserve">New Year's Eve sober-driving push</x:t>
        </x:is>
      </x:c>
      <x:c r="G141" s="110" t="inlineStr">
        <x:is>
          <x:t xml:space="preserve">Education / Safety</x:t>
        </x:is>
      </x:c>
      <x:c r="H141" s="110" t="inlineStr">
        <x:is>
          <x:t xml:space="preserve">Holiday Road Prep</x:t>
        </x:is>
      </x:c>
      <x:c r="I141" s="110" t="inlineStr">
        <x:is>
          <x:t xml:space="preserve">Alcoblow / sober-driving reminders</x:t>
        </x:is>
      </x:c>
      <x:c r="J141" s="110" t="inlineStr">
        <x:is>
          <x:t xml:space="preserve">General Kenyan driver</x:t>
        </x:is>
      </x:c>
      <x:c r="K141" s="110" t="inlineStr">
        <x:is>
          <x:t xml:space="preserve">Trust</x:t>
        </x:is>
      </x:c>
      <x:c r="L141" s="110" t="inlineStr">
        <x:is>
          <x:t xml:space="preserve">Founder-to-camera</x:t>
        </x:is>
      </x:c>
      <x:c r="M141" s="110" t="inlineStr">
        <x:is>
          <x:t xml:space="preserve">30–60 sec</x:t>
        </x:is>
      </x:c>
      <x:c r="N141" s="110" t="inlineStr">
        <x:is>
          <x:t xml:space="preserve">Instagram Reels</x:t>
        </x:is>
      </x:c>
      <x:c r="O141" s="110" t="inlineStr">
        <x:is>
          <x:t xml:space="preserve">TikTok | YouTube Shorts | LinkedIn</x:t>
        </x:is>
      </x:c>
      <x:c r="P141" s="110" t="inlineStr">
        <x:is>
          <x:t xml:space="preserve">Sober-driving commitment and year-end Msafiri community recap.</x:t>
        </x:is>
      </x:c>
      <x:c r="Q141" s="110" t="inlineStr">
        <x:is>
          <x:t xml:space="preserve">Tonight, plan the ride before the celebration starts.</x:t>
        </x:is>
      </x:c>
      <x:c r="R141" s="110" t="inlineStr">
        <x:is>
          <x:t xml:space="preserve">Peter closing message, night city B-roll, keys away, ride plan, recap montage.</x:t>
        </x:is>
      </x:c>
      <x:c r="S141" s="110" t="inlineStr">
        <x:is>
          <x:t xml:space="preserve">Seasonal road-safety moment: New Year's Eve sober-driving push. Keep it useful, warm and verified.</x:t>
        </x:is>
      </x:c>
      <x:c r="T141" s="110" t="inlineStr">
        <x:is>
          <x:t xml:space="preserve">Comment “arrive safe” if you are planning your ride before midnight.</x:t>
        </x:is>
      </x:c>
      <x:c r="U141" s="110" t="inlineStr">
        <x:is>
          <x:t xml:space="preserve">Phone mount; Msafiri screen-record; New Year travel window B-roll; captions; branded end card; sober-driving disclaimer; no checkpoint locations</x:t>
        </x:is>
      </x:c>
      <x:c r="V141" s="110" t="inlineStr">
        <x:is>
          <x:t xml:space="preserve">Founder</x:t>
        </x:is>
      </x:c>
      <x:c r="W141" s="110" t="inlineStr">
        <x:is>
          <x:t xml:space="preserve">Draft</x:t>
        </x:is>
      </x:c>
      <x:c r="X141" s="110" t="inlineStr">
        <x:is>
          <x:t xml:space="preserve">Not Started</x:t>
        </x:is>
      </x:c>
      <x:c r="Y141" s="110" t="n"/>
      <x:c r="Z141" s="111" t="n"/>
      <x:c r="AA141" s="111" t="n"/>
      <x:c r="AB141" s="111" t="n"/>
      <x:c r="AC141" s="111" t="n"/>
      <x:c r="AD141" s="111" t="n"/>
      <x:c r="AE141" s="110" t="n"/>
      <x:c r="AF141" s="112" t="inlineStr">
        <x:is>
          <x:t xml:space="preserve">Core</x:t>
        </x:is>
      </x:c>
      <x:c r="AG141" s="110" t="inlineStr">
        <x:is>
          <x:t xml:space="preserve">Founder / education</x:t>
        </x:is>
      </x:c>
      <x:c r="AH141" s="113" t="n">
        <x:v>45</x:v>
      </x:c>
      <x:c r="AI141" s="114" t="n">
        <x:v>0</x:v>
      </x:c>
      <x:c r="AJ141" s="115" t="inlineStr">
        <x:is>
          <x:t xml:space="preserve"/>
        </x:is>
      </x:c>
      <x:c r="AK141" s="113" t="n">
        <x:v>0</x:v>
      </x:c>
      <x:c r="AL141" s="114" t="n">
        <x:v>0</x:v>
      </x:c>
    </x:row>
  </x:sheetData>
  <x:mergeCells>
    <x:mergeCell ref="A1:AE1"/>
    <x:mergeCell ref="A2:AE2"/>
  </x:mergeCells>
  <x:conditionalFormatting sqref="W5:W300">
    <x:cfRule type="expression" dxfId="5" priority="1">
      <x:formula>$W5="Backlog"</x:formula>
    </x:cfRule>
    <x:cfRule type="expression" dxfId="6" priority="2">
      <x:formula>$W5="Draft"</x:formula>
    </x:cfRule>
    <x:cfRule type="expression" dxfId="7" priority="3">
      <x:formula>$W5="Scripted"</x:formula>
    </x:cfRule>
    <x:cfRule type="expression" dxfId="8" priority="4">
      <x:formula>$W5="Shot"</x:formula>
    </x:cfRule>
    <x:cfRule type="expression" dxfId="9" priority="5">
      <x:formula>$W5="Edited"</x:formula>
    </x:cfRule>
    <x:cfRule type="expression" dxfId="10" priority="6">
      <x:formula>$W5="Scheduled"</x:formula>
    </x:cfRule>
    <x:cfRule type="expression" dxfId="11" priority="7">
      <x:formula>$W5="Posted"</x:formula>
    </x:cfRule>
    <x:cfRule type="expression" dxfId="12" priority="8">
      <x:formula>$W5="Repurposed"</x:formula>
    </x:cfRule>
    <x:cfRule type="expression" dxfId="13" priority="9">
      <x:formula>$W5="Paused"</x:formula>
    </x:cfRule>
  </x:conditionalFormatting>
  <x:dataValidations count="12">
    <x:dataValidation type="list" allowBlank="1" showDropDown="0" showInputMessage="0" showErrorMessage="0" sqref="G5:G300">
      <x:formula1>"Kenyan Driving Reality,Road Intelligence,Product / Feature Proof,Accident Readiness,Founder / BTS,Community / UGC,Education / Safety,Debate / Mythbusters,Seasonal Campaign"</x:formula1>
    </x:dataValidation>
    <x:dataValidation type="list" allowBlank="1" showDropDown="0" showInputMessage="0" showErrorMessage="0" sqref="H5:H300">
      <x:formula1>"Msafiri Road Check,Feature in the Wild,Kenyan Driver Problems,Would You Know What To Do?,Founder Files,Ask a Kenyan Driver,Msafiri Explains,Road Mythbusters,Driver Confessions,One Minute Road Safety,Can Msafiri Do This?,Road Trip POV,Before You Drive,Comment-to-Video,Build With Peter,Holiday Road Prep"</x:formula1>
    </x:dataValidation>
    <x:dataValidation type="list" allowBlank="1" showDropDown="0" showInputMessage="0" showErrorMessage="0" sqref="I5:I300">
      <x:formula1>"Speed camera alerts,Built-in Dashcam,Accident Assistant,Insurance-ready reports,Alcoblow / sober-driving reminders,Road alerts,Vehicle care,Trips / trip sharing,Find Nearby,Community road intelligence,Msafiri brand trust"</x:formula1>
    </x:dataValidation>
    <x:dataValidation type="list" allowBlank="1" showDropDown="0" showInputMessage="0" showErrorMessage="0" sqref="J5:J300">
      <x:formula1>"Daily Nairobi commuter,Long-distance driver,Family driver,New driver,Car owner,Professional driver,Road-trip group,Safety-conscious passenger,Founder/tech audience,General Kenyan driver"</x:formula1>
    </x:dataValidation>
    <x:dataValidation type="list" allowBlank="1" showDropDown="0" showInputMessage="0" showErrorMessage="0" sqref="K5:K300">
      <x:formula1>"Awareness,Engagement,Trust,Feature Discovery,Conversion,Retention,Community"</x:formula1>
    </x:dataValidation>
    <x:dataValidation type="list" allowBlank="1" showDropDown="0" showInputMessage="0" showErrorMessage="0" sqref="L5:L300">
      <x:formula1>"Hero / Reel,Short-form video,POV Drive,Founder-to-camera,Street Interview,Skit,Carousel,Checklist Reel,Screen-record Demo,Community Reply,YouTube Short,Live / Q&amp;A,Static Graphic,Story Poll"</x:formula1>
    </x:dataValidation>
    <x:dataValidation type="list" allowBlank="1" showDropDown="0" showInputMessage="0" showErrorMessage="0" sqref="N5:N300">
      <x:formula1>"TikTok,Instagram Reels,YouTube Shorts,Facebook Reels,YouTube,Instagram Stories,LinkedIn"</x:formula1>
    </x:dataValidation>
    <x:dataValidation type="list" allowBlank="1" showDropDown="0" showInputMessage="0" showErrorMessage="0" sqref="V5:V300">
      <x:formula1>"Peter,Content Lead,Editor,Community Manager,Designer,TBD"</x:formula1>
    </x:dataValidation>
    <x:dataValidation type="list" allowBlank="1" showDropDown="0" showInputMessage="0" showErrorMessage="0" sqref="W5:W300">
      <x:formula1>"Backlog,Draft,Scripted,Shot,Edited,Scheduled,Posted,Repurposed,Paused"</x:formula1>
    </x:dataValidation>
    <x:dataValidation type="list" allowBlank="1" showDropDown="0" showInputMessage="0" showErrorMessage="0" sqref="X5:X300">
      <x:formula1>"Not Started,Outline,Drafted,Reviewed,Approved,Filmed,Cutdown Ready"</x:formula1>
    </x:dataValidation>
    <x:dataValidation type="list" allowBlank="1" showDropDown="0" showInputMessage="0" showErrorMessage="0" errorTitle="Invalid value" error="Choose a value from the dropdown." sqref="AF5:AF300">
      <x:formula1>"Core,Optional"</x:formula1>
    </x:dataValidation>
    <x:dataValidation type="list" allowBlank="1" showDropDown="0" showInputMessage="0" showErrorMessage="0" errorTitle="Invalid value" error="Choose a value from the dropdown." sqref="AG5:AG300">
      <x:formula1>"Field / anchor,Screen demo,Founder / education,Field / community,Community reply,Repurpose / story,Optional / planning,Batch"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18" customWidth="1"/>
    <x:col min="4" max="4" width="44" customWidth="1"/>
    <x:col min="5" max="5" width="24" customWidth="1"/>
    <x:col min="6" max="6" width="24" customWidth="1"/>
    <x:col min="7" max="7" width="28" customWidth="1"/>
    <x:col min="8" max="8" width="26" customWidth="1"/>
    <x:col min="9" max="9" width="56" customWidth="1"/>
    <x:col min="10" max="10" width="58" customWidth="1"/>
    <x:col min="11" max="11" width="40" customWidth="1"/>
    <x:col min="12" max="12" width="38" customWidth="1"/>
    <x:col min="13" max="13" width="44" customWidth="1"/>
    <x:col min="14" max="14" width="22" customWidth="1"/>
    <x:col min="15" max="15" width="48" customWidth="1"/>
    <x:col min="16" max="16" width="30" customWidth="1"/>
  </x:cols>
  <x:sheetData>
    <x:row r="1" ht="28" customHeight="1">
      <x:c r="A1" s="106" t="inlineStr">
        <x:is>
          <x:t xml:space="preserve">WEEKLY STRATEGIC THEMES</x:t>
        </x:is>
      </x:c>
    </x:row>
    <x:row r="2" ht="34" customHeight="1">
      <x:c r="A2" s="107" t="inlineStr">
        <x:is>
          <x:t xml:space="preserve">Each week has a content job, product focus, experiment and production rhythm.</x:t>
        </x:is>
      </x:c>
    </x:row>
    <x:row r="3"/>
    <x:row r="4" ht="36" customHeight="1">
      <x:c r="A4" s="108" t="inlineStr">
        <x:is>
          <x:t xml:space="preserve">Week #</x:t>
        </x:is>
      </x:c>
      <x:c r="B4" s="108" t="inlineStr">
        <x:is>
          <x:t xml:space="preserve">Week Starting</x:t>
        </x:is>
      </x:c>
      <x:c r="C4" s="108" t="inlineStr">
        <x:is>
          <x:t xml:space="preserve">Dates Covered</x:t>
        </x:is>
      </x:c>
      <x:c r="D4" s="108" t="inlineStr">
        <x:is>
          <x:t xml:space="preserve">Strategic Objective</x:t>
        </x:is>
      </x:c>
      <x:c r="E4" s="108" t="inlineStr">
        <x:is>
          <x:t xml:space="preserve">Product Focus</x:t>
        </x:is>
      </x:c>
      <x:c r="F4" s="108" t="inlineStr">
        <x:is>
          <x:t xml:space="preserve">Audience Focus</x:t>
        </x:is>
      </x:c>
      <x:c r="G4" s="108" t="inlineStr">
        <x:is>
          <x:t xml:space="preserve">Route / Context</x:t>
        </x:is>
      </x:c>
      <x:c r="H4" s="108" t="inlineStr">
        <x:is>
          <x:t xml:space="preserve">Campaign Arc</x:t>
        </x:is>
      </x:c>
      <x:c r="I4" s="108" t="inlineStr">
        <x:is>
          <x:t xml:space="preserve">Hero Video Brief</x:t>
        </x:is>
      </x:c>
      <x:c r="J4" s="108" t="inlineStr">
        <x:is>
          <x:t xml:space="preserve">Short-form Angles</x:t>
        </x:is>
      </x:c>
      <x:c r="K4" s="108" t="inlineStr">
        <x:is>
          <x:t xml:space="preserve">Community Prompt</x:t>
        </x:is>
      </x:c>
      <x:c r="L4" s="108" t="inlineStr">
        <x:is>
          <x:t xml:space="preserve">Production Focus</x:t>
        </x:is>
      </x:c>
      <x:c r="M4" s="108" t="inlineStr">
        <x:is>
          <x:t xml:space="preserve">Weekly Experiment</x:t>
        </x:is>
      </x:c>
      <x:c r="N4" s="108" t="inlineStr">
        <x:is>
          <x:t xml:space="preserve">Primary KPI</x:t>
        </x:is>
      </x:c>
      <x:c r="O4" s="108" t="inlineStr">
        <x:is>
          <x:t xml:space="preserve">Repurpose Plan</x:t>
        </x:is>
      </x:c>
      <x:c r="P4" s="108" t="inlineStr">
        <x:is>
          <x:t xml:space="preserve">Notes</x:t>
        </x:is>
      </x:c>
    </x:row>
    <x:row r="5" ht="58" customHeight="1">
      <x:c r="A5" s="110" t="n">
        <x:v>1</x:v>
      </x:c>
      <x:c r="B5" s="109" t="n">
        <x:v>46251</x:v>
      </x:c>
      <x:c r="C5" s="110" t="inlineStr">
        <x:is>
          <x:t xml:space="preserve">17 Aug – 23 Aug 2026</x:t>
        </x:is>
      </x:c>
      <x:c r="D5" s="110" t="inlineStr">
        <x:is>
          <x:t xml:space="preserve">Make people understand Msafiri in one sentence: smarter, safer Kenyan drives.</x:t>
        </x:is>
      </x:c>
      <x:c r="E5" s="110" t="inlineStr">
        <x:is>
          <x:t xml:space="preserve">Speed camera alerts</x:t>
        </x:is>
      </x:c>
      <x:c r="F5" s="110" t="inlineStr">
        <x:is>
          <x:t xml:space="preserve">Daily Nairobi commuter</x:t>
        </x:is>
      </x:c>
      <x:c r="G5" s="110" t="inlineStr">
        <x:is>
          <x:t xml:space="preserve">Mombasa Road / city commute</x:t>
        </x:is>
      </x:c>
      <x:c r="H5" s="110" t="inlineStr">
        <x:is>
          <x:t xml:space="preserve">Opening positioning week</x:t>
        </x:is>
      </x:c>
      <x:c r="I5" s="110" t="inlineStr">
        <x:is>
          <x:t xml:space="preserve">We drove a familiar route and showed the moments Msafiri would help a driver notice earlier.</x:t>
        </x:is>
      </x:c>
      <x:c r="J5" s="110" t="inlineStr">
        <x:is>
          <x:t xml:space="preserve">4 core pieces: 1 road/field proof, 1 product demo, 1 founder/education piece, and 1 community or conversion piece; optional repurposing only if capacity allows around launch the road-intelligence promise.</x:t>
        </x:is>
      </x:c>
      <x:c r="K5" s="110" t="inlineStr">
        <x:is>
          <x:t xml:space="preserve">Which road should Msafiri check next?</x:t>
        </x:is>
      </x:c>
      <x:c r="L5" s="110" t="inlineStr">
        <x:is>
          <x:t xml:space="preserve">Use one planned field/recording block and one editing block; publish four core posts and repurpose only when easy.</x:t>
        </x:is>
      </x:c>
      <x:c r="M5" s="110" t="inlineStr">
        <x:is>
          <x:t xml:space="preserve">Test direct product hook vs relatable driver-problem hook.</x:t>
        </x:is>
      </x:c>
      <x:c r="N5" s="110" t="inlineStr">
        <x:is>
          <x:t xml:space="preserve">3-second hold and profile visits</x:t>
        </x:is>
      </x:c>
      <x:c r="O5" s="110" t="inlineStr">
        <x:is>
          <x:t xml:space="preserve">Repurpose the strongest core asset into extra cutdowns only after product, support and field priorities are complete.</x:t>
        </x:is>
      </x:c>
      <x:c r="P5" s="110" t="n"/>
    </x:row>
    <x:row r="6" ht="58" customHeight="1">
      <x:c r="A6" s="117" t="n">
        <x:v>2</x:v>
      </x:c>
      <x:c r="B6" s="116" t="n">
        <x:v>46258</x:v>
      </x:c>
      <x:c r="C6" s="117" t="inlineStr">
        <x:is>
          <x:t xml:space="preserve">24 Aug – 30 Aug 2026</x:t>
        </x:is>
      </x:c>
      <x:c r="D6" s="117" t="inlineStr">
        <x:is>
          <x:t xml:space="preserve">Show why a phone-based dashcam changes what happens after a road incident.</x:t>
        </x:is>
      </x:c>
      <x:c r="E6" s="117" t="inlineStr">
        <x:is>
          <x:t xml:space="preserve">Built-in Dashcam</x:t>
        </x:is>
      </x:c>
      <x:c r="F6" s="117" t="inlineStr">
        <x:is>
          <x:t xml:space="preserve">Car owner</x:t>
        </x:is>
      </x:c>
      <x:c r="G6" s="117" t="inlineStr">
        <x:is>
          <x:t xml:space="preserve">Waiyaki Way / Westlands run</x:t>
        </x:is>
      </x:c>
      <x:c r="H6" s="117" t="inlineStr">
        <x:is>
          <x:t xml:space="preserve">Evidence beats arguments</x:t>
        </x:is>
      </x:c>
      <x:c r="I6" s="117" t="inlineStr">
        <x:is>
          <x:t xml:space="preserve">Stage a low-risk parking-lot incident and show how dashcam footage settles the story.</x:t>
        </x:is>
      </x:c>
      <x:c r="J6" s="117" t="inlineStr">
        <x:is>
          <x:t xml:space="preserve">4 core pieces: 1 road/field proof, 1 product demo, 1 founder/education piece, and 1 community or conversion piece; optional repurposing only if capacity allows around proof when stories disagree.</x:t>
        </x:is>
      </x:c>
      <x:c r="K6" s="117" t="inlineStr">
        <x:is>
          <x:t xml:space="preserve">Have you ever wished you had video evidence?</x:t>
        </x:is>
      </x:c>
      <x:c r="L6" s="117" t="inlineStr">
        <x:is>
          <x:t xml:space="preserve">Use one planned field/recording block and one editing block; publish four core posts and repurpose only when easy.</x:t>
        </x:is>
      </x:c>
      <x:c r="M6" s="117" t="inlineStr">
        <x:is>
          <x:t xml:space="preserve">Test simulated incident vs pure screen-record demo.</x:t>
        </x:is>
      </x:c>
      <x:c r="N6" s="117" t="inlineStr">
        <x:is>
          <x:t xml:space="preserve">Shares per 1K views</x:t>
        </x:is>
      </x:c>
      <x:c r="O6" s="117" t="inlineStr">
        <x:is>
          <x:t xml:space="preserve">Repurpose the strongest core asset into extra cutdowns only after product, support and field priorities are complete.</x:t>
        </x:is>
      </x:c>
      <x:c r="P6" s="117" t="n"/>
    </x:row>
    <x:row r="7" ht="58" customHeight="1">
      <x:c r="A7" s="110" t="n">
        <x:v>3</x:v>
      </x:c>
      <x:c r="B7" s="109" t="n">
        <x:v>46265</x:v>
      </x:c>
      <x:c r="C7" s="110" t="inlineStr">
        <x:is>
          <x:t xml:space="preserve">31 Aug – 06 Sep 2026</x:t>
        </x:is>
      </x:c>
      <x:c r="D7" s="110" t="inlineStr">
        <x:is>
          <x:t xml:space="preserve">Own the accident-readiness conversation without sounding scary or alarmist.</x:t>
        </x:is>
      </x:c>
      <x:c r="E7" s="110" t="inlineStr">
        <x:is>
          <x:t xml:space="preserve">Accident Assistant</x:t>
        </x:is>
      </x:c>
      <x:c r="F7" s="110" t="inlineStr">
        <x:is>
          <x:t xml:space="preserve">Family driver</x:t>
        </x:is>
      </x:c>
      <x:c r="G7" s="110" t="inlineStr">
        <x:is>
          <x:t xml:space="preserve">Thika Road / busy junctions</x:t>
        </x:is>
      </x:c>
      <x:c r="H7" s="110" t="inlineStr">
        <x:is>
          <x:t xml:space="preserve">Would you know what to do?</x:t>
        </x:is>
      </x:c>
      <x:c r="I7" s="110" t="inlineStr">
        <x:is>
          <x:t xml:space="preserve">A calm step-by-step scenario: the first 10 minutes after a minor crash.</x:t>
        </x:is>
      </x:c>
      <x:c r="J7" s="110" t="inlineStr">
        <x:is>
          <x:t xml:space="preserve">4 core pieces: 1 road/field proof, 1 product demo, 1 founder/education piece, and 1 community or conversion piece; optional repurposing only if capacity allows around first 10 minutes after an accident.</x:t>
        </x:is>
      </x:c>
      <x:c r="K7" s="110" t="inlineStr">
        <x:is>
          <x:t xml:space="preserve">What is the first thing you would do after a small crash?</x:t>
        </x:is>
      </x:c>
      <x:c r="L7" s="110" t="inlineStr">
        <x:is>
          <x:t xml:space="preserve">Use one planned field/recording block and one editing block; publish four core posts and repurpose only when easy.</x:t>
        </x:is>
      </x:c>
      <x:c r="M7" s="110" t="inlineStr">
        <x:is>
          <x:t xml:space="preserve">Test checklist carousel vs 45-second narrated reel.</x:t>
        </x:is>
      </x:c>
      <x:c r="N7" s="110" t="inlineStr">
        <x:is>
          <x:t xml:space="preserve">Saves and shares</x:t>
        </x:is>
      </x:c>
      <x:c r="O7" s="110" t="inlineStr">
        <x:is>
          <x:t xml:space="preserve">Repurpose the strongest core asset into extra cutdowns only after product, support and field priorities are complete.</x:t>
        </x:is>
      </x:c>
      <x:c r="P7" s="110" t="n"/>
    </x:row>
    <x:row r="8" ht="58" customHeight="1">
      <x:c r="A8" s="117" t="n">
        <x:v>4</x:v>
      </x:c>
      <x:c r="B8" s="116" t="n">
        <x:v>46272</x:v>
      </x:c>
      <x:c r="C8" s="117" t="inlineStr">
        <x:is>
          <x:t xml:space="preserve">07 Sep – 13 Sep 2026</x:t>
        </x:is>
      </x:c>
      <x:c r="D8" s="117" t="inlineStr">
        <x:is>
          <x:t xml:space="preserve">Make Msafiri feel useful on ordinary weekdays, not only during emergencies.</x:t>
        </x:is>
      </x:c>
      <x:c r="E8" s="117" t="inlineStr">
        <x:is>
          <x:t xml:space="preserve">Road alerts</x:t>
        </x:is>
      </x:c>
      <x:c r="F8" s="117" t="inlineStr">
        <x:is>
          <x:t xml:space="preserve">Daily Nairobi commuter</x:t>
        </x:is>
      </x:c>
      <x:c r="G8" s="117" t="inlineStr">
        <x:is>
          <x:t xml:space="preserve">Ngong Road / Langata Road</x:t>
        </x:is>
      </x:c>
      <x:c r="H8" s="117" t="inlineStr">
        <x:is>
          <x:t xml:space="preserve">Your drive before it surprises you</x:t>
        </x:is>
      </x:c>
      <x:c r="I8" s="117" t="inlineStr">
        <x:is>
          <x:t xml:space="preserve">Compare a normal commute with and without advance road context.</x:t>
        </x:is>
      </x:c>
      <x:c r="J8" s="117" t="inlineStr">
        <x:is>
          <x:t xml:space="preserve">4 core pieces: 1 road/field proof, 1 product demo, 1 founder/education piece, and 1 community or conversion piece; optional repurposing only if capacity allows around nairobi commute survival.</x:t>
        </x:is>
      </x:c>
      <x:c r="K8" s="117" t="inlineStr">
        <x:is>
          <x:t xml:space="preserve">What is the most unpredictable road in Nairobi?</x:t>
        </x:is>
      </x:c>
      <x:c r="L8" s="117" t="inlineStr">
        <x:is>
          <x:t xml:space="preserve">Use one planned field/recording block and one editing block; publish four core posts and repurpose only when easy.</x:t>
        </x:is>
      </x:c>
      <x:c r="M8" s="117" t="inlineStr">
        <x:is>
          <x:t xml:space="preserve">Test map overlay vs face-to-camera narration.</x:t>
        </x:is>
      </x:c>
      <x:c r="N8" s="117" t="inlineStr">
        <x:is>
          <x:t xml:space="preserve">Completion rate</x:t>
        </x:is>
      </x:c>
      <x:c r="O8" s="117" t="inlineStr">
        <x:is>
          <x:t xml:space="preserve">Repurpose the strongest core asset into extra cutdowns only after product, support and field priorities are complete.</x:t>
        </x:is>
      </x:c>
      <x:c r="P8" s="117" t="n"/>
    </x:row>
    <x:row r="9" ht="58" customHeight="1">
      <x:c r="A9" s="110" t="n">
        <x:v>5</x:v>
      </x:c>
      <x:c r="B9" s="109" t="n">
        <x:v>46279</x:v>
      </x:c>
      <x:c r="C9" s="110" t="inlineStr">
        <x:is>
          <x:t xml:space="preserve">14 Sep – 20 Sep 2026</x:t>
        </x:is>
      </x:c>
      <x:c r="D9" s="110" t="inlineStr">
        <x:is>
          <x:t xml:space="preserve">Link vehicle care to fewer surprises and less stress for car owners.</x:t>
        </x:is>
      </x:c>
      <x:c r="E9" s="110" t="inlineStr">
        <x:is>
          <x:t xml:space="preserve">Vehicle care</x:t>
        </x:is>
      </x:c>
      <x:c r="F9" s="110" t="inlineStr">
        <x:is>
          <x:t xml:space="preserve">Car owner</x:t>
        </x:is>
      </x:c>
      <x:c r="G9" s="110" t="inlineStr">
        <x:is>
          <x:t xml:space="preserve">Eastern Bypass / garage errands</x:t>
        </x:is>
      </x:c>
      <x:c r="H9" s="110" t="inlineStr">
        <x:is>
          <x:t xml:space="preserve">The boring things that save money</x:t>
        </x:is>
      </x:c>
      <x:c r="I9" s="110" t="inlineStr">
        <x:is>
          <x:t xml:space="preserve">Show a real car-care routine that people can copy in under 60 seconds.</x:t>
        </x:is>
      </x:c>
      <x:c r="J9" s="110" t="inlineStr">
        <x:is>
          <x:t xml:space="preserve">4 core pieces: 1 road/field proof, 1 product demo, 1 founder/education piece, and 1 community or conversion piece; optional repurposing only if capacity allows around owning the cost of car care.</x:t>
        </x:is>
      </x:c>
      <x:c r="K9" s="110" t="inlineStr">
        <x:is>
          <x:t xml:space="preserve">What car problem caught you off guard?</x:t>
        </x:is>
      </x:c>
      <x:c r="L9" s="110" t="inlineStr">
        <x:is>
          <x:t xml:space="preserve">Use one planned field/recording block and one editing block; publish four core posts and repurpose only when easy.</x:t>
        </x:is>
      </x:c>
      <x:c r="M9" s="110" t="inlineStr">
        <x:is>
          <x:t xml:space="preserve">Test checklist overlay vs garage conversation.</x:t>
        </x:is>
      </x:c>
      <x:c r="N9" s="110" t="inlineStr">
        <x:is>
          <x:t xml:space="preserve">Saves and comments</x:t>
        </x:is>
      </x:c>
      <x:c r="O9" s="110" t="inlineStr">
        <x:is>
          <x:t xml:space="preserve">Repurpose the strongest core asset into extra cutdowns only after product, support and field priorities are complete.</x:t>
        </x:is>
      </x:c>
      <x:c r="P9" s="110" t="n"/>
    </x:row>
    <x:row r="10" ht="58" customHeight="1">
      <x:c r="A10" s="117" t="n">
        <x:v>6</x:v>
      </x:c>
      <x:c r="B10" s="116" t="n">
        <x:v>46286</x:v>
      </x:c>
      <x:c r="C10" s="117" t="inlineStr">
        <x:is>
          <x:t xml:space="preserve">21 Sep – 27 Sep 2026</x:t>
        </x:is>
      </x:c>
      <x:c r="D10" s="117" t="inlineStr">
        <x:is>
          <x:t xml:space="preserve">Show Find Nearby as the feature that helps when plans change mid-drive.</x:t>
        </x:is>
      </x:c>
      <x:c r="E10" s="117" t="inlineStr">
        <x:is>
          <x:t xml:space="preserve">Find Nearby</x:t>
        </x:is>
      </x:c>
      <x:c r="F10" s="117" t="inlineStr">
        <x:is>
          <x:t xml:space="preserve">Road-trip group</x:t>
        </x:is>
      </x:c>
      <x:c r="G10" s="117" t="inlineStr">
        <x:is>
          <x:t xml:space="preserve">Nairobi to Naivasha idea route</x:t>
        </x:is>
      </x:c>
      <x:c r="H10" s="117" t="inlineStr">
        <x:is>
          <x:t xml:space="preserve">Plan less, drive smarter</x:t>
        </x:is>
      </x:c>
      <x:c r="I10" s="117" t="inlineStr">
        <x:is>
          <x:t xml:space="preserve">A weekend plan changes; Msafiri helps the group find what they need nearby.</x:t>
        </x:is>
      </x:c>
      <x:c r="J10" s="117" t="inlineStr">
        <x:is>
          <x:t xml:space="preserve">4 core pieces: 1 road/field proof, 1 product demo, 1 founder/education piece, and 1 community or conversion piece; optional repurposing only if capacity allows around weekend drives and nearby decisions.</x:t>
        </x:is>
      </x:c>
      <x:c r="K10" s="117" t="inlineStr">
        <x:is>
          <x:t xml:space="preserve">What do you usually look for when a road trip changes?</x:t>
        </x:is>
      </x:c>
      <x:c r="L10" s="117" t="inlineStr">
        <x:is>
          <x:t xml:space="preserve">Use one planned field/recording block and one editing block; publish four core posts and repurpose only when easy.</x:t>
        </x:is>
      </x:c>
      <x:c r="M10" s="117" t="inlineStr">
        <x:is>
          <x:t xml:space="preserve">Test cinematic road-trip POV vs practical need-based demo.</x:t>
        </x:is>
      </x:c>
      <x:c r="N10" s="117" t="inlineStr">
        <x:is>
          <x:t xml:space="preserve">App store clicks</x:t>
        </x:is>
      </x:c>
      <x:c r="O10" s="117" t="inlineStr">
        <x:is>
          <x:t xml:space="preserve">Repurpose the strongest core asset into extra cutdowns only after product, support and field priorities are complete.</x:t>
        </x:is>
      </x:c>
      <x:c r="P10" s="117" t="n"/>
    </x:row>
    <x:row r="11" ht="58" customHeight="1">
      <x:c r="A11" s="110" t="n">
        <x:v>7</x:v>
      </x:c>
      <x:c r="B11" s="109" t="n">
        <x:v>46293</x:v>
      </x:c>
      <x:c r="C11" s="110" t="inlineStr">
        <x:is>
          <x:t xml:space="preserve">28 Sep – 04 Oct 2026</x:t>
        </x:is>
      </x:c>
      <x:c r="D11" s="110" t="inlineStr">
        <x:is>
          <x:t xml:space="preserve">Turn trips and trip sharing into a social, practical feature story.</x:t>
        </x:is>
      </x:c>
      <x:c r="E11" s="110" t="inlineStr">
        <x:is>
          <x:t xml:space="preserve">Trips / trip sharing</x:t>
        </x:is>
      </x:c>
      <x:c r="F11" s="110" t="inlineStr">
        <x:is>
          <x:t xml:space="preserve">Road-trip group</x:t>
        </x:is>
      </x:c>
      <x:c r="G11" s="110" t="inlineStr">
        <x:is>
          <x:t xml:space="preserve">Nairobi-Nakuru highway planning</x:t>
        </x:is>
      </x:c>
      <x:c r="H11" s="110" t="inlineStr">
        <x:is>
          <x:t xml:space="preserve">Everyone knows the plan</x:t>
        </x:is>
      </x:c>
      <x:c r="I11" s="110" t="inlineStr">
        <x:is>
          <x:t xml:space="preserve">A convoy-style story where one clear trip plan reduces calls and confusion.</x:t>
        </x:is>
      </x:c>
      <x:c r="J11" s="110" t="inlineStr">
        <x:is>
          <x:t xml:space="preserve">4 core pieces: 1 road/field proof, 1 product demo, 1 founder/education piece, and 1 community or conversion piece; optional repurposing only if capacity allows around group trips without confusion.</x:t>
        </x:is>
      </x:c>
      <x:c r="K11" s="110" t="inlineStr">
        <x:is>
          <x:t xml:space="preserve">Who in your group always asks “where are you now?”</x:t>
        </x:is>
      </x:c>
      <x:c r="L11" s="110" t="inlineStr">
        <x:is>
          <x:t xml:space="preserve">Use one planned field/recording block and one editing block; publish four core posts and repurpose only when easy.</x:t>
        </x:is>
      </x:c>
      <x:c r="M11" s="110" t="inlineStr">
        <x:is>
          <x:t xml:space="preserve">Test group chat skit vs clean screen demo.</x:t>
        </x:is>
      </x:c>
      <x:c r="N11" s="110" t="inlineStr">
        <x:is>
          <x:t xml:space="preserve">Comments and shares</x:t>
        </x:is>
      </x:c>
      <x:c r="O11" s="110" t="inlineStr">
        <x:is>
          <x:t xml:space="preserve">Repurpose the strongest core asset into extra cutdowns only after product, support and field priorities are complete.</x:t>
        </x:is>
      </x:c>
      <x:c r="P11" s="110" t="n"/>
    </x:row>
    <x:row r="12" ht="58" customHeight="1">
      <x:c r="A12" s="117" t="n">
        <x:v>8</x:v>
      </x:c>
      <x:c r="B12" s="116" t="n">
        <x:v>46300</x:v>
      </x:c>
      <x:c r="C12" s="117" t="inlineStr">
        <x:is>
          <x:t xml:space="preserve">05 Oct – 11 Oct 2026</x:t>
        </x:is>
      </x:c>
      <x:c r="D12" s="117" t="inlineStr">
        <x:is>
          <x:t xml:space="preserve">Use the 10 October travel window for warm, family-oriented road content.</x:t>
        </x:is>
      </x:c>
      <x:c r="E12" s="117" t="inlineStr">
        <x:is>
          <x:t xml:space="preserve">Road alerts</x:t>
        </x:is>
      </x:c>
      <x:c r="F12" s="117" t="inlineStr">
        <x:is>
          <x:t xml:space="preserve">Family driver</x:t>
        </x:is>
      </x:c>
      <x:c r="G12" s="117" t="inlineStr">
        <x:is>
          <x:t xml:space="preserve">City-to-family visit routes</x:t>
        </x:is>
      </x:c>
      <x:c r="H12" s="117" t="inlineStr">
        <x:is>
          <x:t xml:space="preserve">10 October travel prep</x:t>
        </x:is>
      </x:c>
      <x:c r="I12" s="117" t="inlineStr">
        <x:is>
          <x:t xml:space="preserve">A calm family-drive checklist for a holiday weekend.</x:t>
        </x:is>
      </x:c>
      <x:c r="J12" s="117" t="inlineStr">
        <x:is>
          <x:t xml:space="preserve">4 core pieces: 1 road/field proof, 1 product demo, 1 founder/education piece, and 1 community or conversion piece; optional repurposing only if capacity allows around culture, service and family-driving weekend.</x:t>
        </x:is>
      </x:c>
      <x:c r="K12" s="117" t="inlineStr">
        <x:is>
          <x:t xml:space="preserve">Which family trip rule do you never ignore?</x:t>
        </x:is>
      </x:c>
      <x:c r="L12" s="117" t="inlineStr">
        <x:is>
          <x:t xml:space="preserve">Use one planned field/recording block and one editing block; publish four core posts and repurpose only when easy.</x:t>
        </x:is>
      </x:c>
      <x:c r="M12" s="117" t="inlineStr">
        <x:is>
          <x:t xml:space="preserve">Test emotion-led family hook vs road-safety utility hook.</x:t>
        </x:is>
      </x:c>
      <x:c r="N12" s="117" t="inlineStr">
        <x:is>
          <x:t xml:space="preserve">Saves and profile visits</x:t>
        </x:is>
      </x:c>
      <x:c r="O12" s="117" t="inlineStr">
        <x:is>
          <x:t xml:space="preserve">Repurpose the strongest core asset into extra cutdowns only after product, support and field priorities are complete.</x:t>
        </x:is>
      </x:c>
      <x:c r="P12" s="117" t="n"/>
    </x:row>
    <x:row r="13" ht="58" customHeight="1">
      <x:c r="A13" s="110" t="n">
        <x:v>9</x:v>
      </x:c>
      <x:c r="B13" s="109" t="n">
        <x:v>46307</x:v>
      </x:c>
      <x:c r="C13" s="110" t="inlineStr">
        <x:is>
          <x:t xml:space="preserve">12 Oct – 18 Oct 2026</x:t>
        </x:is>
      </x:c>
      <x:c r="D13" s="110" t="inlineStr">
        <x:is>
          <x:t xml:space="preserve">Frame speed camera alerts as compliance and awareness, not evasion.</x:t>
        </x:is>
      </x:c>
      <x:c r="E13" s="110" t="inlineStr">
        <x:is>
          <x:t xml:space="preserve">Speed camera alerts</x:t>
        </x:is>
      </x:c>
      <x:c r="F13" s="110" t="inlineStr">
        <x:is>
          <x:t xml:space="preserve">Daily Nairobi commuter</x:t>
        </x:is>
      </x:c>
      <x:c r="G13" s="110" t="inlineStr">
        <x:is>
          <x:t xml:space="preserve">School run / work commute</x:t>
        </x:is>
      </x:c>
      <x:c r="H13" s="110" t="inlineStr">
        <x:is>
          <x:t xml:space="preserve">Arrive calm, not lucky</x:t>
        </x:is>
      </x:c>
      <x:c r="I13" s="110" t="inlineStr">
        <x:is>
          <x:t xml:space="preserve">A time-pressure commute where the safest win is staying within the limit.</x:t>
        </x:is>
      </x:c>
      <x:c r="J13" s="110" t="inlineStr">
        <x:is>
          <x:t xml:space="preserve">4 core pieces: 1 road/field proof, 1 product demo, 1 founder/education piece, and 1 community or conversion piece; optional repurposing only if capacity allows around speed discipline and daily pressure.</x:t>
        </x:is>
      </x:c>
      <x:c r="K13" s="110" t="inlineStr">
        <x:is>
          <x:t xml:space="preserve">What makes drivers rush even when they know better?</x:t>
        </x:is>
      </x:c>
      <x:c r="L13" s="110" t="inlineStr">
        <x:is>
          <x:t xml:space="preserve">Use one planned field/recording block and one editing block; publish four core posts and repurpose only when easy.</x:t>
        </x:is>
      </x:c>
      <x:c r="M13" s="110" t="inlineStr">
        <x:is>
          <x:t xml:space="preserve">Test “don’t get caught” wording against “drive calmer” wording; keep the safe version.</x:t>
        </x:is>
      </x:c>
      <x:c r="N13" s="110" t="inlineStr">
        <x:is>
          <x:t xml:space="preserve">Sentiment and saves</x:t>
        </x:is>
      </x:c>
      <x:c r="O13" s="110" t="inlineStr">
        <x:is>
          <x:t xml:space="preserve">Repurpose the strongest core asset into extra cutdowns only after product, support and field priorities are complete.</x:t>
        </x:is>
      </x:c>
      <x:c r="P13" s="110" t="n"/>
    </x:row>
    <x:row r="14" ht="58" customHeight="1">
      <x:c r="A14" s="117" t="n">
        <x:v>10</x:v>
      </x:c>
      <x:c r="B14" s="116" t="n">
        <x:v>46314</x:v>
      </x:c>
      <x:c r="C14" s="117" t="inlineStr">
        <x:is>
          <x:t xml:space="preserve">19 Oct – 25 Oct 2026</x:t>
        </x:is>
      </x:c>
      <x:c r="D14" s="117" t="inlineStr">
        <x:is>
          <x:t xml:space="preserve">Connect road safety to everyday heroes: careful drivers, passengers, responders and families.</x:t>
        </x:is>
      </x:c>
      <x:c r="E14" s="117" t="inlineStr">
        <x:is>
          <x:t xml:space="preserve">Accident Assistant</x:t>
        </x:is>
      </x:c>
      <x:c r="F14" s="117" t="inlineStr">
        <x:is>
          <x:t xml:space="preserve">General Kenyan driver</x:t>
        </x:is>
      </x:c>
      <x:c r="G14" s="117" t="inlineStr">
        <x:is>
          <x:t xml:space="preserve">Mashujaa Day travel window</x:t>
        </x:is>
      </x:c>
      <x:c r="H14" s="117" t="inlineStr">
        <x:is>
          <x:t xml:space="preserve">Mashujaa Day safe travel</x:t>
        </x:is>
      </x:c>
      <x:c r="I14" s="117" t="inlineStr">
        <x:is>
          <x:t xml:space="preserve">A tribute-style reel to the people who make roads safer every day.</x:t>
        </x:is>
      </x:c>
      <x:c r="J14" s="117" t="inlineStr">
        <x:is>
          <x:t xml:space="preserve">4 core pieces: 1 road/field proof, 1 product demo, 1 founder/education piece, and 1 community or conversion piece; optional repurposing only if capacity allows around mashujaa road heroes.</x:t>
        </x:is>
      </x:c>
      <x:c r="K14" s="117" t="inlineStr">
        <x:is>
          <x:t xml:space="preserve">Tag a road hero who drives carefully.</x:t>
        </x:is>
      </x:c>
      <x:c r="L14" s="117" t="inlineStr">
        <x:is>
          <x:t xml:space="preserve">Use one planned field/recording block and one editing block; publish four core posts and repurpose only when easy.</x:t>
        </x:is>
      </x:c>
      <x:c r="M14" s="117" t="inlineStr">
        <x:is>
          <x:t xml:space="preserve">Test emotional tribute vs practical checklist.</x:t>
        </x:is>
      </x:c>
      <x:c r="N14" s="117" t="inlineStr">
        <x:is>
          <x:t xml:space="preserve">Shares and positive comments</x:t>
        </x:is>
      </x:c>
      <x:c r="O14" s="117" t="inlineStr">
        <x:is>
          <x:t xml:space="preserve">Repurpose the strongest core asset into extra cutdowns only after product, support and field priorities are complete.</x:t>
        </x:is>
      </x:c>
      <x:c r="P14" s="117" t="n"/>
    </x:row>
    <x:row r="15" ht="58" customHeight="1">
      <x:c r="A15" s="110" t="n">
        <x:v>11</x:v>
      </x:c>
      <x:c r="B15" s="109" t="n">
        <x:v>46321</x:v>
      </x:c>
      <x:c r="C15" s="110" t="inlineStr">
        <x:is>
          <x:t xml:space="preserve">26 Oct – 01 Nov 2026</x:t>
        </x:is>
      </x:c>
      <x:c r="D15" s="110" t="inlineStr">
        <x:is>
          <x:t xml:space="preserve">Use debate safely to trigger comments while still making Msafiri trustworthy.</x:t>
        </x:is>
      </x:c>
      <x:c r="E15" s="110" t="inlineStr">
        <x:is>
          <x:t xml:space="preserve">Community road intelligence</x:t>
        </x:is>
      </x:c>
      <x:c r="F15" s="110" t="inlineStr">
        <x:is>
          <x:t xml:space="preserve">General Kenyan driver</x:t>
        </x:is>
      </x:c>
      <x:c r="G15" s="110" t="inlineStr">
        <x:is>
          <x:t xml:space="preserve">Bypass vs city-road comparisons</x:t>
        </x:is>
      </x:c>
      <x:c r="H15" s="110" t="inlineStr">
        <x:is>
          <x:t xml:space="preserve">Road Mythbusters month starter</x:t>
        </x:is>
      </x:c>
      <x:c r="I15" s="110" t="inlineStr">
        <x:is>
          <x:t xml:space="preserve">Test one popular driving belief and ask the audience to vote with reasons.</x:t>
        </x:is>
      </x:c>
      <x:c r="J15" s="110" t="inlineStr">
        <x:is>
          <x:t xml:space="preserve">4 core pieces: 1 road/field proof, 1 product demo, 1 founder/education piece, and 1 community or conversion piece; optional repurposing only if capacity allows around kenyan driving myths and habits.</x:t>
        </x:is>
      </x:c>
      <x:c r="K15" s="110" t="inlineStr">
        <x:is>
          <x:t xml:space="preserve">What driving myth should we test next?</x:t>
        </x:is>
      </x:c>
      <x:c r="L15" s="110" t="inlineStr">
        <x:is>
          <x:t xml:space="preserve">Use one planned field/recording block and one editing block; publish four core posts and repurpose only when easy.</x:t>
        </x:is>
      </x:c>
      <x:c r="M15" s="110" t="inlineStr">
        <x:is>
          <x:t xml:space="preserve">Test “hot take” hook vs neutral question hook.</x:t>
        </x:is>
      </x:c>
      <x:c r="N15" s="110" t="inlineStr">
        <x:is>
          <x:t xml:space="preserve">Comments per 1K views</x:t>
        </x:is>
      </x:c>
      <x:c r="O15" s="110" t="inlineStr">
        <x:is>
          <x:t xml:space="preserve">Repurpose the strongest core asset into extra cutdowns only after product, support and field priorities are complete.</x:t>
        </x:is>
      </x:c>
      <x:c r="P15" s="110" t="n"/>
    </x:row>
    <x:row r="16" ht="58" customHeight="1">
      <x:c r="A16" s="117" t="n">
        <x:v>12</x:v>
      </x:c>
      <x:c r="B16" s="116" t="n">
        <x:v>46328</x:v>
      </x:c>
      <x:c r="C16" s="117" t="inlineStr">
        <x:is>
          <x:t xml:space="preserve">02 Nov – 08 Nov 2026</x:t>
        </x:is>
      </x:c>
      <x:c r="D16" s="117" t="inlineStr">
        <x:is>
          <x:t xml:space="preserve">Explain the evidence journey after an incident without promising outcomes.</x:t>
        </x:is>
      </x:c>
      <x:c r="E16" s="117" t="inlineStr">
        <x:is>
          <x:t xml:space="preserve">Insurance-ready reports</x:t>
        </x:is>
      </x:c>
      <x:c r="F16" s="117" t="inlineStr">
        <x:is>
          <x:t xml:space="preserve">Car owner</x:t>
        </x:is>
      </x:c>
      <x:c r="G16" s="117" t="inlineStr">
        <x:is>
          <x:t xml:space="preserve">Parking lots / low-speed incident examples</x:t>
        </x:is>
      </x:c>
      <x:c r="H16" s="117" t="inlineStr">
        <x:is>
          <x:t xml:space="preserve">Evidence folder week</x:t>
        </x:is>
      </x:c>
      <x:c r="I16" s="117" t="inlineStr">
        <x:is>
          <x:t xml:space="preserve">What an evidence-ready incident report should include and what it cannot replace.</x:t>
        </x:is>
      </x:c>
      <x:c r="J16" s="117" t="inlineStr">
        <x:is>
          <x:t xml:space="preserve">4 core pieces: 1 road/field proof, 1 product demo, 1 founder/education piece, and 1 community or conversion piece; optional repurposing only if capacity allows around insurance evidence without panic.</x:t>
        </x:is>
      </x:c>
      <x:c r="K16" s="117" t="inlineStr">
        <x:is>
          <x:t xml:space="preserve">What proof do people forget to collect after a crash?</x:t>
        </x:is>
      </x:c>
      <x:c r="L16" s="117" t="inlineStr">
        <x:is>
          <x:t xml:space="preserve">Use one planned field/recording block and one editing block; publish four core posts and repurpose only when easy.</x:t>
        </x:is>
      </x:c>
      <x:c r="M16" s="117" t="inlineStr">
        <x:is>
          <x:t xml:space="preserve">Test founder explainer vs clean carousel.</x:t>
        </x:is>
      </x:c>
      <x:c r="N16" s="117" t="inlineStr">
        <x:is>
          <x:t xml:space="preserve">Saves and app store clicks</x:t>
        </x:is>
      </x:c>
      <x:c r="O16" s="117" t="inlineStr">
        <x:is>
          <x:t xml:space="preserve">Repurpose the strongest core asset into extra cutdowns only after product, support and field priorities are complete.</x:t>
        </x:is>
      </x:c>
      <x:c r="P16" s="117" t="n"/>
    </x:row>
    <x:row r="17" ht="58" customHeight="1">
      <x:c r="A17" s="110" t="n">
        <x:v>13</x:v>
      </x:c>
      <x:c r="B17" s="109" t="n">
        <x:v>46335</x:v>
      </x:c>
      <x:c r="C17" s="110" t="inlineStr">
        <x:is>
          <x:t xml:space="preserve">09 Nov – 15 Nov 2026</x:t>
        </x:is>
      </x:c>
      <x:c r="D17" s="110" t="inlineStr">
        <x:is>
          <x:t xml:space="preserve">Train followers to contribute road intelligence while Msafiri verifies before amplifying.</x:t>
        </x:is>
      </x:c>
      <x:c r="E17" s="110" t="inlineStr">
        <x:is>
          <x:t xml:space="preserve">Community road intelligence</x:t>
        </x:is>
      </x:c>
      <x:c r="F17" s="110" t="inlineStr">
        <x:is>
          <x:t xml:space="preserve">Community / UGC</x:t>
        </x:is>
      </x:c>
      <x:c r="G17" s="110" t="inlineStr">
        <x:is>
          <x:t xml:space="preserve">Audience-nominated roads</x:t>
        </x:is>
      </x:c>
      <x:c r="H17" s="110" t="inlineStr">
        <x:is>
          <x:t xml:space="preserve">Tell us which road to check</x:t>
        </x:is>
      </x:c>
      <x:c r="I17" s="110" t="inlineStr">
        <x:is>
          <x:t xml:space="preserve">Turn the top comment into a road-check episode.</x:t>
        </x:is>
      </x:c>
      <x:c r="J17" s="110" t="inlineStr">
        <x:is>
          <x:t xml:space="preserve">4 core pieces: 1 road/field proof, 1 product demo, 1 founder/education piece, and 1 community or conversion piece; optional repurposing only if capacity allows around community road check engine.</x:t>
        </x:is>
      </x:c>
      <x:c r="K17" s="110" t="inlineStr">
        <x:is>
          <x:t xml:space="preserve">Drop one road we should check and why.</x:t>
        </x:is>
      </x:c>
      <x:c r="L17" s="110" t="inlineStr">
        <x:is>
          <x:t xml:space="preserve">Use one planned field/recording block and one editing block; publish four core posts and repurpose only when easy.</x:t>
        </x:is>
      </x:c>
      <x:c r="M17" s="110" t="inlineStr">
        <x:is>
          <x:t xml:space="preserve">Test comment-to-video reply vs standalone road check.</x:t>
        </x:is>
      </x:c>
      <x:c r="N17" s="110" t="inlineStr">
        <x:is>
          <x:t xml:space="preserve">Comments and UGC submissions</x:t>
        </x:is>
      </x:c>
      <x:c r="O17" s="110" t="inlineStr">
        <x:is>
          <x:t xml:space="preserve">Repurpose the strongest core asset into extra cutdowns only after product, support and field priorities are complete.</x:t>
        </x:is>
      </x:c>
      <x:c r="P17" s="110" t="n"/>
    </x:row>
    <x:row r="18" ht="58" customHeight="1">
      <x:c r="A18" s="117" t="n">
        <x:v>14</x:v>
      </x:c>
      <x:c r="B18" s="116" t="n">
        <x:v>46342</x:v>
      </x:c>
      <x:c r="C18" s="117" t="inlineStr">
        <x:is>
          <x:t xml:space="preserve">16 Nov – 22 Nov 2026</x:t>
        </x:is>
      </x:c>
      <x:c r="D18" s="117" t="inlineStr">
        <x:is>
          <x:t xml:space="preserve">Create practical safety content that feels immediately useful when conditions change.</x:t>
        </x:is>
      </x:c>
      <x:c r="E18" s="117" t="inlineStr">
        <x:is>
          <x:t xml:space="preserve">Built-in Dashcam</x:t>
        </x:is>
      </x:c>
      <x:c r="F18" s="117" t="inlineStr">
        <x:is>
          <x:t xml:space="preserve">Long-distance driver</x:t>
        </x:is>
      </x:c>
      <x:c r="G18" s="117" t="inlineStr">
        <x:is>
          <x:t xml:space="preserve">Night commute / rainy-day city drive</x:t>
        </x:is>
      </x:c>
      <x:c r="H18" s="117" t="inlineStr">
        <x:is>
          <x:t xml:space="preserve">Drive visible, drive calm</x:t>
        </x:is>
      </x:c>
      <x:c r="I18" s="117" t="inlineStr">
        <x:is>
          <x:t xml:space="preserve">A low-visibility drive where preparation matters more than confidence.</x:t>
        </x:is>
      </x:c>
      <x:c r="J18" s="117" t="inlineStr">
        <x:is>
          <x:t xml:space="preserve">4 core pieces: 1 road/field proof, 1 product demo, 1 founder/education piece, and 1 community or conversion piece; optional repurposing only if capacity allows around night, rain and low-visibility driving.</x:t>
        </x:is>
      </x:c>
      <x:c r="K18" s="117" t="inlineStr">
        <x:is>
          <x:t xml:space="preserve">What road is hardest to drive at night?</x:t>
        </x:is>
      </x:c>
      <x:c r="L18" s="117" t="inlineStr">
        <x:is>
          <x:t xml:space="preserve">Use one planned field/recording block and one editing block; publish four core posts and repurpose only when easy.</x:t>
        </x:is>
      </x:c>
      <x:c r="M18" s="117" t="inlineStr">
        <x:is>
          <x:t xml:space="preserve">Test dramatic first frame vs calm checklist hook.</x:t>
        </x:is>
      </x:c>
      <x:c r="N18" s="117" t="inlineStr">
        <x:is>
          <x:t xml:space="preserve">Saves and completion rate</x:t>
        </x:is>
      </x:c>
      <x:c r="O18" s="117" t="inlineStr">
        <x:is>
          <x:t xml:space="preserve">Repurpose the strongest core asset into extra cutdowns only after product, support and field priorities are complete.</x:t>
        </x:is>
      </x:c>
      <x:c r="P18" s="117" t="n"/>
    </x:row>
    <x:row r="19" ht="58" customHeight="1">
      <x:c r="A19" s="110" t="n">
        <x:v>15</x:v>
      </x:c>
      <x:c r="B19" s="109" t="n">
        <x:v>46349</x:v>
      </x:c>
      <x:c r="C19" s="110" t="inlineStr">
        <x:is>
          <x:t xml:space="preserve">23 Nov – 29 Nov 2026</x:t>
        </x:is>
      </x:c>
      <x:c r="D19" s="110" t="inlineStr">
        <x:is>
          <x:t xml:space="preserve">Humanize Peter and show the seriousness behind building for Kenyan roads.</x:t>
        </x:is>
      </x:c>
      <x:c r="E19" s="110" t="inlineStr">
        <x:is>
          <x:t xml:space="preserve">Msafiri brand trust</x:t>
        </x:is>
      </x:c>
      <x:c r="F19" s="110" t="inlineStr">
        <x:is>
          <x:t xml:space="preserve">Founder/tech audience</x:t>
        </x:is>
      </x:c>
      <x:c r="G19" s="110" t="inlineStr">
        <x:is>
          <x:t xml:space="preserve">Office, car, road-test loop</x:t>
        </x:is>
      </x:c>
      <x:c r="H19" s="110" t="inlineStr">
        <x:is>
          <x:t xml:space="preserve">Why we built this</x:t>
        </x:is>
      </x:c>
      <x:c r="I19" s="110" t="inlineStr">
        <x:is>
          <x:t xml:space="preserve">Peter tells the story of the problem that made Msafiri necessary.</x:t>
        </x:is>
      </x:c>
      <x:c r="J19" s="110" t="inlineStr">
        <x:is>
          <x:t xml:space="preserve">4 core pieces: 1 road/field proof, 1 product demo, 1 founder/education piece, and 1 community or conversion piece; optional repurposing only if capacity allows around build-in-public trust week.</x:t>
        </x:is>
      </x:c>
      <x:c r="K19" s="110" t="inlineStr">
        <x:is>
          <x:t xml:space="preserve">What feature would make Kenyan driving less stressful?</x:t>
        </x:is>
      </x:c>
      <x:c r="L19" s="110" t="inlineStr">
        <x:is>
          <x:t xml:space="preserve">Use one planned field/recording block and one editing block; publish four core posts and repurpose only when easy.</x:t>
        </x:is>
      </x:c>
      <x:c r="M19" s="110" t="inlineStr">
        <x:is>
          <x:t xml:space="preserve">Test vulnerable founder story vs feature-first founder demo.</x:t>
        </x:is>
      </x:c>
      <x:c r="N19" s="110" t="inlineStr">
        <x:is>
          <x:t xml:space="preserve">Profile visits and follows</x:t>
        </x:is>
      </x:c>
      <x:c r="O19" s="110" t="inlineStr">
        <x:is>
          <x:t xml:space="preserve">Repurpose the strongest core asset into extra cutdowns only after product, support and field priorities are complete.</x:t>
        </x:is>
      </x:c>
      <x:c r="P19" s="110" t="n"/>
    </x:row>
    <x:row r="20" ht="58" customHeight="1">
      <x:c r="A20" s="117" t="n">
        <x:v>16</x:v>
      </x:c>
      <x:c r="B20" s="116" t="n">
        <x:v>46356</x:v>
      </x:c>
      <x:c r="C20" s="117" t="inlineStr">
        <x:is>
          <x:t xml:space="preserve">30 Nov – 06 Dec 2026</x:t>
        </x:is>
      </x:c>
      <x:c r="D20" s="117" t="inlineStr">
        <x:is>
          <x:t xml:space="preserve">Start the year-end travel narrative early so Msafiri becomes part of preparation.</x:t>
        </x:is>
      </x:c>
      <x:c r="E20" s="117" t="inlineStr">
        <x:is>
          <x:t xml:space="preserve">Trips / trip sharing</x:t>
        </x:is>
      </x:c>
      <x:c r="F20" s="117" t="inlineStr">
        <x:is>
          <x:t xml:space="preserve">Long-distance driver</x:t>
        </x:is>
      </x:c>
      <x:c r="G20" s="117" t="inlineStr">
        <x:is>
          <x:t xml:space="preserve">Upcountry travel preparation</x:t>
        </x:is>
      </x:c>
      <x:c r="H20" s="117" t="inlineStr">
        <x:is>
          <x:t xml:space="preserve">December road readiness</x:t>
        </x:is>
      </x:c>
      <x:c r="I20" s="117" t="inlineStr">
        <x:is>
          <x:t xml:space="preserve">The five checks to make before a December trip, with Msafiri woven in naturally.</x:t>
        </x:is>
      </x:c>
      <x:c r="J20" s="117" t="inlineStr">
        <x:is>
          <x:t xml:space="preserve">4 core pieces: 1 road/field proof, 1 product demo, 1 founder/education piece, and 1 community or conversion piece; optional repurposing only if capacity allows around december travel countdown.</x:t>
        </x:is>
      </x:c>
      <x:c r="K20" s="117" t="inlineStr">
        <x:is>
          <x:t xml:space="preserve">Where are you driving this December?</x:t>
        </x:is>
      </x:c>
      <x:c r="L20" s="117" t="inlineStr">
        <x:is>
          <x:t xml:space="preserve">Use one planned field/recording block and one editing block; publish four core posts and repurpose only when easy.</x:t>
        </x:is>
      </x:c>
      <x:c r="M20" s="117" t="inlineStr">
        <x:is>
          <x:t xml:space="preserve">Test “save this checklist” vs “send this to the driver” CTA.</x:t>
        </x:is>
      </x:c>
      <x:c r="N20" s="117" t="inlineStr">
        <x:is>
          <x:t xml:space="preserve">Shares and saves</x:t>
        </x:is>
      </x:c>
      <x:c r="O20" s="117" t="inlineStr">
        <x:is>
          <x:t xml:space="preserve">Repurpose the strongest core asset into extra cutdowns only after product, support and field priorities are complete.</x:t>
        </x:is>
      </x:c>
      <x:c r="P20" s="117" t="n"/>
    </x:row>
    <x:row r="21" ht="58" customHeight="1">
      <x:c r="A21" s="110" t="n">
        <x:v>17</x:v>
      </x:c>
      <x:c r="B21" s="109" t="n">
        <x:v>46363</x:v>
      </x:c>
      <x:c r="C21" s="110" t="inlineStr">
        <x:is>
          <x:t xml:space="preserve">07 Dec – 13 Dec 2026</x:t>
        </x:is>
      </x:c>
      <x:c r="D21" s="110" t="inlineStr">
        <x:is>
          <x:t xml:space="preserve">Use Jamhuri Day weekend to own long-distance preparation and safe route planning.</x:t>
        </x:is>
      </x:c>
      <x:c r="E21" s="110" t="inlineStr">
        <x:is>
          <x:t xml:space="preserve">Road alerts</x:t>
        </x:is>
      </x:c>
      <x:c r="F21" s="110" t="inlineStr">
        <x:is>
          <x:t xml:space="preserve">Long-distance driver</x:t>
        </x:is>
      </x:c>
      <x:c r="G21" s="110" t="inlineStr">
        <x:is>
          <x:t xml:space="preserve">Jamhuri Day weekend routes</x:t>
        </x:is>
      </x:c>
      <x:c r="H21" s="110" t="inlineStr">
        <x:is>
          <x:t xml:space="preserve">Jamhuri road prep</x:t>
        </x:is>
      </x:c>
      <x:c r="I21" s="110" t="inlineStr">
        <x:is>
          <x:t xml:space="preserve">A pre-trip routine before a holiday weekend: car, route, rest, family updates.</x:t>
        </x:is>
      </x:c>
      <x:c r="J21" s="110" t="inlineStr">
        <x:is>
          <x:t xml:space="preserve">4 core pieces: 1 road/field proof, 1 product demo, 1 founder/education piece, and 1 community or conversion piece; optional repurposing only if capacity allows around jamhuri long-drive preparation.</x:t>
        </x:is>
      </x:c>
      <x:c r="K21" s="110" t="inlineStr">
        <x:is>
          <x:t xml:space="preserve">What is your number one long-distance rule?</x:t>
        </x:is>
      </x:c>
      <x:c r="L21" s="110" t="inlineStr">
        <x:is>
          <x:t xml:space="preserve">Use one planned field/recording block and one editing block; publish four core posts and repurpose only when easy.</x:t>
        </x:is>
      </x:c>
      <x:c r="M21" s="110" t="inlineStr">
        <x:is>
          <x:t xml:space="preserve">Test quick checklist vs cinematic travel story.</x:t>
        </x:is>
      </x:c>
      <x:c r="N21" s="110" t="inlineStr">
        <x:is>
          <x:t xml:space="preserve">App store clicks and shares</x:t>
        </x:is>
      </x:c>
      <x:c r="O21" s="110" t="inlineStr">
        <x:is>
          <x:t xml:space="preserve">Repurpose the strongest core asset into extra cutdowns only after product, support and field priorities are complete.</x:t>
        </x:is>
      </x:c>
      <x:c r="P21" s="110" t="n"/>
    </x:row>
    <x:row r="22" ht="58" customHeight="1">
      <x:c r="A22" s="117" t="n">
        <x:v>18</x:v>
      </x:c>
      <x:c r="B22" s="116" t="n">
        <x:v>46370</x:v>
      </x:c>
      <x:c r="C22" s="117" t="inlineStr">
        <x:is>
          <x:t xml:space="preserve">14 Dec – 20 Dec 2026</x:t>
        </x:is>
      </x:c>
      <x:c r="D22" s="117" t="inlineStr">
        <x:is>
          <x:t xml:space="preserve">Blend aspirational travel with practical safety and product demonstrations.</x:t>
        </x:is>
      </x:c>
      <x:c r="E22" s="117" t="inlineStr">
        <x:is>
          <x:t xml:space="preserve">Find Nearby</x:t>
        </x:is>
      </x:c>
      <x:c r="F22" s="117" t="inlineStr">
        <x:is>
          <x:t xml:space="preserve">Road-trip group</x:t>
        </x:is>
      </x:c>
      <x:c r="G22" s="117" t="inlineStr">
        <x:is>
          <x:t xml:space="preserve">Coast/upcountry route planning</x:t>
        </x:is>
      </x:c>
      <x:c r="H22" s="117" t="inlineStr">
        <x:is>
          <x:t xml:space="preserve">Road trip, but prepared</x:t>
        </x:is>
      </x:c>
      <x:c r="I22" s="117" t="inlineStr">
        <x:is>
          <x:t xml:space="preserve">A road-trip POV where each stop solves a practical need.</x:t>
        </x:is>
      </x:c>
      <x:c r="J22" s="117" t="inlineStr">
        <x:is>
          <x:t xml:space="preserve">4 core pieces: 1 road/field proof, 1 product demo, 1 founder/education piece, and 1 community or conversion piece; optional repurposing only if capacity allows around end-year road-trip confidence.</x:t>
        </x:is>
      </x:c>
      <x:c r="K22" s="117" t="inlineStr">
        <x:is>
          <x:t xml:space="preserve">What must every road trip group carry?</x:t>
        </x:is>
      </x:c>
      <x:c r="L22" s="117" t="inlineStr">
        <x:is>
          <x:t xml:space="preserve">Use one planned field/recording block and one editing block; publish four core posts and repurpose only when easy.</x:t>
        </x:is>
      </x:c>
      <x:c r="M22" s="117" t="inlineStr">
        <x:is>
          <x:t xml:space="preserve">Test aesthetic POV vs problem-solution POV.</x:t>
        </x:is>
      </x:c>
      <x:c r="N22" s="117" t="inlineStr">
        <x:is>
          <x:t xml:space="preserve">Watch time and app store clicks</x:t>
        </x:is>
      </x:c>
      <x:c r="O22" s="117" t="inlineStr">
        <x:is>
          <x:t xml:space="preserve">Repurpose the strongest core asset into extra cutdowns only after product, support and field priorities are complete.</x:t>
        </x:is>
      </x:c>
      <x:c r="P22" s="117" t="n"/>
    </x:row>
    <x:row r="23" ht="58" customHeight="1">
      <x:c r="A23" s="110" t="n">
        <x:v>19</x:v>
      </x:c>
      <x:c r="B23" s="109" t="n">
        <x:v>46377</x:v>
      </x:c>
      <x:c r="C23" s="110" t="inlineStr">
        <x:is>
          <x:t xml:space="preserve">21 Dec – 27 Dec 2026</x:t>
        </x:is>
      </x:c>
      <x:c r="D23" s="110" t="inlineStr">
        <x:is>
          <x:t xml:space="preserve">Create warm, high-share safety content around family travel, fatigue and patience.</x:t>
        </x:is>
      </x:c>
      <x:c r="E23" s="110" t="inlineStr">
        <x:is>
          <x:t xml:space="preserve">Accident Assistant</x:t>
        </x:is>
      </x:c>
      <x:c r="F23" s="110" t="inlineStr">
        <x:is>
          <x:t xml:space="preserve">Family driver</x:t>
        </x:is>
      </x:c>
      <x:c r="G23" s="110" t="inlineStr">
        <x:is>
          <x:t xml:space="preserve">Christmas travel window</x:t>
        </x:is>
      </x:c>
      <x:c r="H23" s="110" t="inlineStr">
        <x:is>
          <x:t xml:space="preserve">Arrive safe for the people waiting</x:t>
        </x:is>
      </x:c>
      <x:c r="I23" s="110" t="inlineStr">
        <x:is>
          <x:t xml:space="preserve">A family-first message: the best Christmas gift is arriving safely.</x:t>
        </x:is>
      </x:c>
      <x:c r="J23" s="110" t="inlineStr">
        <x:is>
          <x:t xml:space="preserve">4 core pieces: 1 road/field proof, 1 product demo, 1 founder/education piece, and 1 community or conversion piece; optional repurposing only if capacity allows around christmas week arrival-safe campaign.</x:t>
        </x:is>
      </x:c>
      <x:c r="K23" s="110" t="inlineStr">
        <x:is>
          <x:t xml:space="preserve">Tag the driver you want to arrive safely.</x:t>
        </x:is>
      </x:c>
      <x:c r="L23" s="110" t="inlineStr">
        <x:is>
          <x:t xml:space="preserve">Use one planned field/recording block and one editing block; publish four core posts and repurpose only when easy.</x:t>
        </x:is>
      </x:c>
      <x:c r="M23" s="110" t="inlineStr">
        <x:is>
          <x:t xml:space="preserve">Test emotional voiceover vs practical checklist.</x:t>
        </x:is>
      </x:c>
      <x:c r="N23" s="110" t="inlineStr">
        <x:is>
          <x:t xml:space="preserve">Shares and positive sentiment</x:t>
        </x:is>
      </x:c>
      <x:c r="O23" s="110" t="inlineStr">
        <x:is>
          <x:t xml:space="preserve">Repurpose the strongest core asset into extra cutdowns only after product, support and field priorities are complete.</x:t>
        </x:is>
      </x:c>
      <x:c r="P23" s="110" t="n"/>
    </x:row>
    <x:row r="24" ht="58" customHeight="1">
      <x:c r="A24" s="117" t="n">
        <x:v>20</x:v>
      </x:c>
      <x:c r="B24" s="116" t="n">
        <x:v>46384</x:v>
      </x:c>
      <x:c r="C24" s="117" t="inlineStr">
        <x:is>
          <x:t xml:space="preserve">28 Dec – 31 Dec 2026</x:t>
        </x:is>
      </x:c>
      <x:c r="D24" s="117" t="inlineStr">
        <x:is>
          <x:t xml:space="preserve">End Phase 1 with community proof, learnings, and a responsible New Year driving message.</x:t>
        </x:is>
      </x:c>
      <x:c r="E24" s="117" t="inlineStr">
        <x:is>
          <x:t xml:space="preserve">Alcoblow / sober-driving reminders</x:t>
        </x:is>
      </x:c>
      <x:c r="F24" s="117" t="inlineStr">
        <x:is>
          <x:t xml:space="preserve">General Kenyan driver</x:t>
        </x:is>
      </x:c>
      <x:c r="G24" s="117" t="inlineStr">
        <x:is>
          <x:t xml:space="preserve">New Year travel window</x:t>
        </x:is>
      </x:c>
      <x:c r="H24" s="117" t="inlineStr">
        <x:is>
          <x:t xml:space="preserve">Drive into 2027 safely</x:t>
        </x:is>
      </x:c>
      <x:c r="I24" s="117" t="inlineStr">
        <x:is>
          <x:t xml:space="preserve">The Msafiri year-end recap: what Kenyan drivers taught us and what we are building next.</x:t>
        </x:is>
      </x:c>
      <x:c r="J24" s="117" t="inlineStr">
        <x:is>
          <x:t xml:space="preserve">4 core pieces: 1 road/field proof, 1 product demo, 1 founder/education piece, and 1 community or conversion piece; optional repurposing only if capacity allows around year-end recap and sober-driving push.</x:t>
        </x:is>
      </x:c>
      <x:c r="K24" s="117" t="inlineStr">
        <x:is>
          <x:t xml:space="preserve">What should Msafiri build or improve next?</x:t>
        </x:is>
      </x:c>
      <x:c r="L24" s="117" t="inlineStr">
        <x:is>
          <x:t xml:space="preserve">Use one planned field/recording block and one editing block; publish four core posts and repurpose only when easy.</x:t>
        </x:is>
      </x:c>
      <x:c r="M24" s="117" t="inlineStr">
        <x:is>
          <x:t xml:space="preserve">Test recap montage vs Peter reflection.</x:t>
        </x:is>
      </x:c>
      <x:c r="N24" s="117" t="inlineStr">
        <x:is>
          <x:t xml:space="preserve">Follows, installs, and comments</x:t>
        </x:is>
      </x:c>
      <x:c r="O24" s="117" t="inlineStr">
        <x:is>
          <x:t xml:space="preserve">Repurpose the strongest core asset into extra cutdowns only after product, support and field priorities are complete.</x:t>
        </x:is>
      </x:c>
      <x:c r="P24" s="117" t="n"/>
    </x:row>
  </x:sheetData>
  <x:mergeCells>
    <x:mergeCell ref="A1:P1"/>
    <x:mergeCell ref="A2:P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42" customWidth="1"/>
    <x:col min="3" max="3" width="46" customWidth="1"/>
    <x:col min="4" max="4" width="46" customWidth="1"/>
    <x:col min="5" max="5" width="42" customWidth="1"/>
    <x:col min="6" max="6" width="34" customWidth="1"/>
    <x:col min="7" max="7" width="38" customWidth="1"/>
    <x:col min="8" max="8" width="42" customWidth="1"/>
  </x:cols>
  <x:sheetData>
    <x:row r="1" ht="28" customHeight="1">
      <x:c r="A1" s="106" t="inlineStr">
        <x:is>
          <x:t xml:space="preserve">AUDIENCE MAP</x:t>
        </x:is>
      </x:c>
    </x:row>
    <x:row r="2" ht="34" customHeight="1">
      <x:c r="A2" s="107" t="inlineStr">
        <x:is>
          <x:t xml:space="preserve">Use this to decide who each post is speaking to and what proof that audience needs.</x:t>
        </x:is>
      </x:c>
    </x:row>
    <x:row r="3"/>
    <x:row r="4" ht="36" customHeight="1">
      <x:c r="A4" s="108" t="inlineStr">
        <x:is>
          <x:t xml:space="preserve">Audience Segment</x:t>
        </x:is>
      </x:c>
      <x:c r="B4" s="108" t="inlineStr">
        <x:is>
          <x:t xml:space="preserve">Primary Pain</x:t>
        </x:is>
      </x:c>
      <x:c r="C4" s="108" t="inlineStr">
        <x:is>
          <x:t xml:space="preserve">What They Need to Believe</x:t>
        </x:is>
      </x:c>
      <x:c r="D4" s="108" t="inlineStr">
        <x:is>
          <x:t xml:space="preserve">Best Content Triggers</x:t>
        </x:is>
      </x:c>
      <x:c r="E4" s="108" t="inlineStr">
        <x:is>
          <x:t xml:space="preserve">Best Features to Lead With</x:t>
        </x:is>
      </x:c>
      <x:c r="F4" s="108" t="inlineStr">
        <x:is>
          <x:t xml:space="preserve">Tone / Language</x:t>
        </x:is>
      </x:c>
      <x:c r="G4" s="108" t="inlineStr">
        <x:is>
          <x:t xml:space="preserve">CTA Direction</x:t>
        </x:is>
      </x:c>
      <x:c r="H4" s="108" t="inlineStr">
        <x:is>
          <x:t xml:space="preserve">Proof Needed</x:t>
        </x:is>
      </x:c>
    </x:row>
    <x:row r="5" ht="62" customHeight="1">
      <x:c r="A5" s="110" t="inlineStr">
        <x:is>
          <x:t xml:space="preserve">Daily Nairobi commuter</x:t>
        </x:is>
      </x:c>
      <x:c r="B5" s="110" t="inlineStr">
        <x:is>
          <x:t xml:space="preserve">Unpredictable routes, time pressure, fatigue and small daily frustrations.</x:t>
        </x:is>
      </x:c>
      <x:c r="C5" s="110" t="inlineStr">
        <x:is>
          <x:t xml:space="preserve">Msafiri helps ordinary drives feel calmer and more informed.</x:t>
        </x:is>
      </x:c>
      <x:c r="D5" s="110" t="inlineStr">
        <x:is>
          <x:t xml:space="preserve">POV commute, route checks, driver skits, quick safety reminders.</x:t>
        </x:is>
      </x:c>
      <x:c r="E5" s="110" t="inlineStr">
        <x:is>
          <x:t xml:space="preserve">Road alerts, speed camera alerts, dashcam, Find Nearby.</x:t>
        </x:is>
      </x:c>
      <x:c r="F5" s="110" t="inlineStr">
        <x:is>
          <x:t xml:space="preserve">Direct, local, practical; light humor without overdoing slang.</x:t>
        </x:is>
      </x:c>
      <x:c r="G5" s="110" t="inlineStr">
        <x:is>
          <x:t xml:space="preserve">Try Msafiri on your next commute; tell us which road to check.</x:t>
        </x:is>
      </x:c>
      <x:c r="H5" s="110" t="inlineStr">
        <x:is>
          <x:t xml:space="preserve">Real road footage, phone mount, quick before/after moments.</x:t>
        </x:is>
      </x:c>
    </x:row>
    <x:row r="6" ht="62" customHeight="1">
      <x:c r="A6" s="117" t="inlineStr">
        <x:is>
          <x:t xml:space="preserve">Long-distance driver</x:t>
        </x:is>
      </x:c>
      <x:c r="B6" s="117" t="inlineStr">
        <x:is>
          <x:t xml:space="preserve">Fatigue, route uncertainty, stops, breakdown anxiety, holiday traffic pressure.</x:t>
        </x:is>
      </x:c>
      <x:c r="C6" s="117" t="inlineStr">
        <x:is>
          <x:t xml:space="preserve">Preparation is not fear; it is how you arrive well.</x:t>
        </x:is>
      </x:c>
      <x:c r="D6" s="117" t="inlineStr">
        <x:is>
          <x:t xml:space="preserve">Pre-trip checklist, rest-stop planning, road-trip POV, family-safety messages.</x:t>
        </x:is>
      </x:c>
      <x:c r="E6" s="117" t="inlineStr">
        <x:is>
          <x:t xml:space="preserve">Trips / trip sharing, road alerts, Find Nearby, vehicle care.</x:t>
        </x:is>
      </x:c>
      <x:c r="F6" s="117" t="inlineStr">
        <x:is>
          <x:t xml:space="preserve">Calm, confident, responsible.</x:t>
        </x:is>
      </x:c>
      <x:c r="G6" s="117" t="inlineStr">
        <x:is>
          <x:t xml:space="preserve">Save this before your next long drive; send to the driver.</x:t>
        </x:is>
      </x:c>
      <x:c r="H6" s="117" t="inlineStr">
        <x:is>
          <x:t xml:space="preserve">Checklists, route prep, rest-break visuals, car-care B-roll.</x:t>
        </x:is>
      </x:c>
    </x:row>
    <x:row r="7" ht="62" customHeight="1">
      <x:c r="A7" s="110" t="inlineStr">
        <x:is>
          <x:t xml:space="preserve">Family driver</x:t>
        </x:is>
      </x:c>
      <x:c r="B7" s="110" t="inlineStr">
        <x:is>
          <x:t xml:space="preserve">Responsibility for passengers, children, elders and luggage; high emotional stakes.</x:t>
        </x:is>
      </x:c>
      <x:c r="C7" s="110" t="inlineStr">
        <x:is>
          <x:t xml:space="preserve">The safest driver is the one who prepares before everyone enters the car.</x:t>
        </x:is>
      </x:c>
      <x:c r="D7" s="110" t="inlineStr">
        <x:is>
          <x:t xml:space="preserve">Holiday prep, arrival-safe stories, seatbelt checks, family voiceover.</x:t>
        </x:is>
      </x:c>
      <x:c r="E7" s="110" t="inlineStr">
        <x:is>
          <x:t xml:space="preserve">Accident Assistant, road alerts, trips, dashcam.</x:t>
        </x:is>
      </x:c>
      <x:c r="F7" s="110" t="inlineStr">
        <x:is>
          <x:t xml:space="preserve">Warm, caring, not preachy.</x:t>
        </x:is>
      </x:c>
      <x:c r="G7" s="110" t="inlineStr">
        <x:is>
          <x:t xml:space="preserve">Share with someone driving family this week.</x:t>
        </x:is>
      </x:c>
      <x:c r="H7" s="110" t="inlineStr">
        <x:is>
          <x:t xml:space="preserve">Family-friendly shots, respectful privacy, soft CTA.</x:t>
        </x:is>
      </x:c>
    </x:row>
    <x:row r="8" ht="62" customHeight="1">
      <x:c r="A8" s="117" t="inlineStr">
        <x:is>
          <x:t xml:space="preserve">New driver</x:t>
        </x:is>
      </x:c>
      <x:c r="B8" s="117" t="inlineStr">
        <x:is>
          <x:t xml:space="preserve">Low confidence, pressure from passengers, uncertainty after incidents.</x:t>
        </x:is>
      </x:c>
      <x:c r="C8" s="117" t="inlineStr">
        <x:is>
          <x:t xml:space="preserve">Good drivers use tools and checklists, not ego.</x:t>
        </x:is>
      </x:c>
      <x:c r="D8" s="117" t="inlineStr">
        <x:is>
          <x:t xml:space="preserve">What-to-do content, mistakes to avoid, quizzes, mythbusters.</x:t>
        </x:is>
      </x:c>
      <x:c r="E8" s="117" t="inlineStr">
        <x:is>
          <x:t xml:space="preserve">Accident Assistant, dashcam, speed camera alerts, vehicle care.</x:t>
        </x:is>
      </x:c>
      <x:c r="F8" s="117" t="inlineStr">
        <x:is>
          <x:t xml:space="preserve">Simple, educational, encouraging.</x:t>
        </x:is>
      </x:c>
      <x:c r="G8" s="117" t="inlineStr">
        <x:is>
          <x:t xml:space="preserve">Save this and practice it before you need it.</x:t>
        </x:is>
      </x:c>
      <x:c r="H8" s="117" t="inlineStr">
        <x:is>
          <x:t xml:space="preserve">Step-by-step visuals, plain language, no shaming.</x:t>
        </x:is>
      </x:c>
    </x:row>
    <x:row r="9" ht="62" customHeight="1">
      <x:c r="A9" s="110" t="inlineStr">
        <x:is>
          <x:t xml:space="preserve">Car owner</x:t>
        </x:is>
      </x:c>
      <x:c r="B9" s="110" t="inlineStr">
        <x:is>
          <x:t xml:space="preserve">Maintenance surprises, insurance documentation, evidence gaps and cost stress.</x:t>
        </x:is>
      </x:c>
      <x:c r="C9" s="110" t="inlineStr">
        <x:is>
          <x:t xml:space="preserve">Msafiri can become part of responsible ownership.</x:t>
        </x:is>
      </x:c>
      <x:c r="D9" s="110" t="inlineStr">
        <x:is>
          <x:t xml:space="preserve">Garage routine, evidence folder, inspection reminders, cost-saving stories.</x:t>
        </x:is>
      </x:c>
      <x:c r="E9" s="110" t="inlineStr">
        <x:is>
          <x:t xml:space="preserve">Vehicle care, dashcam, insurance-ready reports.</x:t>
        </x:is>
      </x:c>
      <x:c r="F9" s="110" t="inlineStr">
        <x:is>
          <x:t xml:space="preserve">Practical, mature, money-aware.</x:t>
        </x:is>
      </x:c>
      <x:c r="G9" s="110" t="inlineStr">
        <x:is>
          <x:t xml:space="preserve">Use Msafiri to keep better driving and car records.</x:t>
        </x:is>
      </x:c>
      <x:c r="H9" s="110" t="inlineStr">
        <x:is>
          <x:t xml:space="preserve">Checklists, clean UI, repair/garage B-roll.</x:t>
        </x:is>
      </x:c>
    </x:row>
    <x:row r="10" ht="62" customHeight="1">
      <x:c r="A10" s="117" t="inlineStr">
        <x:is>
          <x:t xml:space="preserve">Professional driver</x:t>
        </x:is>
      </x:c>
      <x:c r="B10" s="117" t="inlineStr">
        <x:is>
          <x:t xml:space="preserve">Reputation, passenger trust, schedule pressure and evidence protection.</x:t>
        </x:is>
      </x:c>
      <x:c r="C10" s="117" t="inlineStr">
        <x:is>
          <x:t xml:space="preserve">Professional driving deserves professional road intelligence.</x:t>
        </x:is>
      </x:c>
      <x:c r="D10" s="117" t="inlineStr">
        <x:is>
          <x:t xml:space="preserve">Day-in-the-life, customer safety, evidence proof, route planning.</x:t>
        </x:is>
      </x:c>
      <x:c r="E10" s="117" t="inlineStr">
        <x:is>
          <x:t xml:space="preserve">Dashcam, road alerts, trips, speed camera alerts.</x:t>
        </x:is>
      </x:c>
      <x:c r="F10" s="117" t="inlineStr">
        <x:is>
          <x:t xml:space="preserve">Respectful, efficient, credibility-focused.</x:t>
        </x:is>
      </x:c>
      <x:c r="G10" s="117" t="inlineStr">
        <x:is>
          <x:t xml:space="preserve">Follow for tools that make professional driving easier.</x:t>
        </x:is>
      </x:c>
      <x:c r="H10" s="117" t="inlineStr">
        <x:is>
          <x:t xml:space="preserve">Real testimonials, anonymized use cases, practical demos.</x:t>
        </x:is>
      </x:c>
    </x:row>
    <x:row r="11" ht="62" customHeight="1">
      <x:c r="A11" s="110" t="inlineStr">
        <x:is>
          <x:t xml:space="preserve">Road-trip group</x:t>
        </x:is>
      </x:c>
      <x:c r="B11" s="110" t="inlineStr">
        <x:is>
          <x:t xml:space="preserve">Group coordination, changed plans, finding stops, “where are you?” messages.</x:t>
        </x:is>
      </x:c>
      <x:c r="C11" s="110" t="inlineStr">
        <x:is>
          <x:t xml:space="preserve">The best trip is shared clearly before confusion starts.</x:t>
        </x:is>
      </x:c>
      <x:c r="D11" s="110" t="inlineStr">
        <x:is>
          <x:t xml:space="preserve">Group chat skits, convoy POV, stop-finding demos, trip checklists.</x:t>
        </x:is>
      </x:c>
      <x:c r="E11" s="110" t="inlineStr">
        <x:is>
          <x:t xml:space="preserve">Trips / trip sharing, Find Nearby, road alerts.</x:t>
        </x:is>
      </x:c>
      <x:c r="F11" s="110" t="inlineStr">
        <x:is>
          <x:t xml:space="preserve">Fun, social, light.</x:t>
        </x:is>
      </x:c>
      <x:c r="G11" s="110" t="inlineStr">
        <x:is>
          <x:t xml:space="preserve">Send this to the trip planner.</x:t>
        </x:is>
      </x:c>
      <x:c r="H11" s="110" t="inlineStr">
        <x:is>
          <x:t xml:space="preserve">Group shots, screen demo, stop-location visuals.</x:t>
        </x:is>
      </x:c>
    </x:row>
    <x:row r="12" ht="62" customHeight="1">
      <x:c r="A12" s="117" t="inlineStr">
        <x:is>
          <x:t xml:space="preserve">Safety-conscious passenger</x:t>
        </x:is>
      </x:c>
      <x:c r="B12" s="117" t="inlineStr">
        <x:is>
          <x:t xml:space="preserve">Wants to speak up without sounding controlling.</x:t>
        </x:is>
      </x:c>
      <x:c r="C12" s="117" t="inlineStr">
        <x:is>
          <x:t xml:space="preserve">Passengers can help make the drive safer.</x:t>
        </x:is>
      </x:c>
      <x:c r="D12" s="117" t="inlineStr">
        <x:is>
          <x:t xml:space="preserve">Passenger POV, “say this instead” scripts, seatbelt prompts, fatigue signs.</x:t>
        </x:is>
      </x:c>
      <x:c r="E12" s="117" t="inlineStr">
        <x:is>
          <x:t xml:space="preserve">Accident Assistant, road alerts, sober-driving reminders.</x:t>
        </x:is>
      </x:c>
      <x:c r="F12" s="117" t="inlineStr">
        <x:is>
          <x:t xml:space="preserve">Empowering, respectful.</x:t>
        </x:is>
      </x:c>
      <x:c r="G12" s="117" t="inlineStr">
        <x:is>
          <x:t xml:space="preserve">Share this with your group before you leave.</x:t>
        </x:is>
      </x:c>
      <x:c r="H12" s="117" t="inlineStr">
        <x:is>
          <x:t xml:space="preserve">Passenger-perspective filming, simple words to use.</x:t>
        </x:is>
      </x:c>
    </x:row>
    <x:row r="13" ht="62" customHeight="1">
      <x:c r="A13" s="110" t="inlineStr">
        <x:is>
          <x:t xml:space="preserve">Founder/tech audience</x:t>
        </x:is>
      </x:c>
      <x:c r="B13" s="110" t="inlineStr">
        <x:is>
          <x:t xml:space="preserve">Needs confidence that Msafiri is serious, local and well-built.</x:t>
        </x:is>
      </x:c>
      <x:c r="C13" s="110" t="inlineStr">
        <x:is>
          <x:t xml:space="preserve">This is a Kenyan product with a clear mission and practical execution.</x:t>
        </x:is>
      </x:c>
      <x:c r="D13" s="110" t="inlineStr">
        <x:is>
          <x:t xml:space="preserve">Build-in-public, product decisions, user feedback, founder mistakes.</x:t>
        </x:is>
      </x:c>
      <x:c r="E13" s="110" t="inlineStr">
        <x:is>
          <x:t xml:space="preserve">Msafiri brand trust, all features in story arc.</x:t>
        </x:is>
      </x:c>
      <x:c r="F13" s="110" t="inlineStr">
        <x:is>
          <x:t xml:space="preserve">Honest, specific, humble but ambitious.</x:t>
        </x:is>
      </x:c>
      <x:c r="G13" s="110" t="inlineStr">
        <x:is>
          <x:t xml:space="preserve">Follow the build; give feedback; join the early community.</x:t>
        </x:is>
      </x:c>
      <x:c r="H13" s="110" t="inlineStr">
        <x:is>
          <x:t xml:space="preserve">Peter on camera, behind-the-scenes, roadmap snippets.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4" customWidth="1"/>
    <x:col min="3" max="3" width="38" customWidth="1"/>
    <x:col min="4" max="4" width="42" customWidth="1"/>
    <x:col min="5" max="5" width="44" customWidth="1"/>
    <x:col min="6" max="6" width="34" customWidth="1"/>
    <x:col min="7" max="7" width="34" customWidth="1"/>
    <x:col min="8" max="8" width="36" customWidth="1"/>
    <x:col min="9" max="9" width="50" customWidth="1"/>
    <x:col min="10" max="10" width="48" customWidth="1"/>
  </x:cols>
  <x:sheetData>
    <x:row r="1" ht="28" customHeight="1">
      <x:c r="A1" s="106" t="inlineStr">
        <x:is>
          <x:t xml:space="preserve">FEATURE STORY MAP</x:t>
        </x:is>
      </x:c>
    </x:row>
    <x:row r="2" ht="34" customHeight="1">
      <x:c r="A2" s="107" t="inlineStr">
        <x:is>
          <x:t xml:space="preserve">Use this to keep product content sharp, safe and emotionally clear.</x:t>
        </x:is>
      </x:c>
    </x:row>
    <x:row r="3"/>
    <x:row r="4" ht="36" customHeight="1">
      <x:c r="A4" s="108" t="inlineStr">
        <x:is>
          <x:t xml:space="preserve">Feature / Story</x:t>
        </x:is>
      </x:c>
      <x:c r="B4" s="108" t="inlineStr">
        <x:is>
          <x:t xml:space="preserve">Problem It Solves</x:t>
        </x:is>
      </x:c>
      <x:c r="C4" s="108" t="inlineStr">
        <x:is>
          <x:t xml:space="preserve">Emotional Insight</x:t>
        </x:is>
      </x:c>
      <x:c r="D4" s="108" t="inlineStr">
        <x:is>
          <x:t xml:space="preserve">Proof Content</x:t>
        </x:is>
      </x:c>
      <x:c r="E4" s="108" t="inlineStr">
        <x:is>
          <x:t xml:space="preserve">Founder Angle</x:t>
        </x:is>
      </x:c>
      <x:c r="F4" s="108" t="inlineStr">
        <x:is>
          <x:t xml:space="preserve">Best Series</x:t>
        </x:is>
      </x:c>
      <x:c r="G4" s="108" t="inlineStr">
        <x:is>
          <x:t xml:space="preserve">Soft CTA</x:t>
        </x:is>
      </x:c>
      <x:c r="H4" s="108" t="inlineStr">
        <x:is>
          <x:t xml:space="preserve">Hard CTA</x:t>
        </x:is>
      </x:c>
      <x:c r="I4" s="108" t="inlineStr">
        <x:is>
          <x:t xml:space="preserve">Do Not Say / Risk Guardrail</x:t>
        </x:is>
      </x:c>
      <x:c r="J4" s="108" t="inlineStr">
        <x:is>
          <x:t xml:space="preserve">Example Hook</x:t>
        </x:is>
      </x:c>
    </x:row>
    <x:row r="5" ht="70" customHeight="1">
      <x:c r="A5" s="110" t="inlineStr">
        <x:is>
          <x:t xml:space="preserve">Speed camera alerts</x:t>
        </x:is>
      </x:c>
      <x:c r="B5" s="110" t="inlineStr">
        <x:is>
          <x:t xml:space="preserve">Drivers may miss changing road-speed context when distracted or rushing.</x:t>
        </x:is>
      </x:c>
      <x:c r="C5" s="110" t="inlineStr">
        <x:is>
          <x:t xml:space="preserve">Drivers want to feel aware, not ambushed.</x:t>
        </x:is>
      </x:c>
      <x:c r="D5" s="110" t="inlineStr">
        <x:is>
          <x:t xml:space="preserve">POV alert moments, speed-limit reminders, route-check videos.</x:t>
        </x:is>
      </x:c>
      <x:c r="E5" s="110" t="inlineStr">
        <x:is>
          <x:t xml:space="preserve">Peter explains awareness vs evasion and why compliance matters.</x:t>
        </x:is>
      </x:c>
      <x:c r="F5" s="110" t="inlineStr">
        <x:is>
          <x:t xml:space="preserve">Msafiri Road Check, Feature in the Wild, Road Mythbusters</x:t>
        </x:is>
      </x:c>
      <x:c r="G5" s="110" t="inlineStr">
        <x:is>
          <x:t xml:space="preserve">Save this before your commute.</x:t>
        </x:is>
      </x:c>
      <x:c r="H5" s="110" t="inlineStr">
        <x:is>
          <x:t xml:space="preserve">Try Msafiri for calmer speed awareness.</x:t>
        </x:is>
      </x:c>
      <x:c r="I5" s="110" t="inlineStr">
        <x:is>
          <x:t xml:space="preserve">Do not frame as “beat cameras” or evading enforcement.</x:t>
        </x:is>
      </x:c>
      <x:c r="J5" s="110" t="inlineStr">
        <x:is>
          <x:t xml:space="preserve">The alert is not there to make you careless; it is there to make you calmer.</x:t>
        </x:is>
      </x:c>
    </x:row>
    <x:row r="6" ht="70" customHeight="1">
      <x:c r="A6" s="117" t="inlineStr">
        <x:is>
          <x:t xml:space="preserve">Built-in Dashcam</x:t>
        </x:is>
      </x:c>
      <x:c r="B6" s="117" t="inlineStr">
        <x:is>
          <x:t xml:space="preserve">When stories conflict after an incident, drivers need objective context.</x:t>
        </x:is>
      </x:c>
      <x:c r="C6" s="117" t="inlineStr">
        <x:is>
          <x:t xml:space="preserve">Drivers fear being blamed unfairly.</x:t>
        </x:is>
      </x:c>
      <x:c r="D6" s="117" t="inlineStr">
        <x:is>
          <x:t xml:space="preserve">Simulated incident, side-by-side replay, phone-mount setup.</x:t>
        </x:is>
      </x:c>
      <x:c r="E6" s="117" t="inlineStr">
        <x:is>
          <x:t xml:space="preserve">Why a phone-based dashcam lowers the barrier for everyday drivers.</x:t>
        </x:is>
      </x:c>
      <x:c r="F6" s="117" t="inlineStr">
        <x:is>
          <x:t xml:space="preserve">Feature in the Wild, Would You Know What To Do?, Founder Files</x:t>
        </x:is>
      </x:c>
      <x:c r="G6" s="117" t="inlineStr">
        <x:is>
          <x:t xml:space="preserve">Send this to someone who drives daily.</x:t>
        </x:is>
      </x:c>
      <x:c r="H6" s="117" t="inlineStr">
        <x:is>
          <x:t xml:space="preserve">Try Msafiri Dashcam on your next drive.</x:t>
        </x:is>
      </x:c>
      <x:c r="I6" s="117" t="inlineStr">
        <x:is>
          <x:t xml:space="preserve">Do not imply footage guarantees legal or insurance outcomes.</x:t>
        </x:is>
      </x:c>
      <x:c r="J6" s="117" t="inlineStr">
        <x:is>
          <x:t xml:space="preserve">What happens when the other driver says, “I didn’t do it”?</x:t>
        </x:is>
      </x:c>
    </x:row>
    <x:row r="7" ht="70" customHeight="1">
      <x:c r="A7" s="110" t="inlineStr">
        <x:is>
          <x:t xml:space="preserve">Accident Assistant</x:t>
        </x:is>
      </x:c>
      <x:c r="B7" s="110" t="inlineStr">
        <x:is>
          <x:t xml:space="preserve">After a crash, people are shaken and forget steps.</x:t>
        </x:is>
      </x:c>
      <x:c r="C7" s="110" t="inlineStr">
        <x:is>
          <x:t xml:space="preserve">Prepared people stay calmer.</x:t>
        </x:is>
      </x:c>
      <x:c r="D7" s="110" t="inlineStr">
        <x:is>
          <x:t xml:space="preserve">First 10 minutes checklist, scenario roleplay, saved checklist.</x:t>
        </x:is>
      </x:c>
      <x:c r="E7" s="110" t="inlineStr">
        <x:is>
          <x:t xml:space="preserve">The feature Peter hopes users never need but built seriously.</x:t>
        </x:is>
      </x:c>
      <x:c r="F7" s="110" t="inlineStr">
        <x:is>
          <x:t xml:space="preserve">Would You Know What To Do?, One Minute Road Safety</x:t>
        </x:is>
      </x:c>
      <x:c r="G7" s="110" t="inlineStr">
        <x:is>
          <x:t xml:space="preserve">Save this checklist.</x:t>
        </x:is>
      </x:c>
      <x:c r="H7" s="110" t="inlineStr">
        <x:is>
          <x:t xml:space="preserve">Download Msafiri before you need it.</x:t>
        </x:is>
      </x:c>
      <x:c r="I7" s="110" t="inlineStr">
        <x:is>
          <x:t xml:space="preserve">Avoid legal/medical guarantees; advise emergency/professional help when needed.</x:t>
        </x:is>
      </x:c>
      <x:c r="J7" s="110" t="inlineStr">
        <x:is>
          <x:t xml:space="preserve">You just had a minor crash. What do you do first?</x:t>
        </x:is>
      </x:c>
    </x:row>
    <x:row r="8" ht="70" customHeight="1">
      <x:c r="A8" s="117" t="inlineStr">
        <x:is>
          <x:t xml:space="preserve">Insurance-ready reports</x:t>
        </x:is>
      </x:c>
      <x:c r="B8" s="117" t="inlineStr">
        <x:is>
          <x:t xml:space="preserve">Evidence gets scattered across photos, notes, calls and memory.</x:t>
        </x:is>
      </x:c>
      <x:c r="C8" s="117" t="inlineStr">
        <x:is>
          <x:t xml:space="preserve">A clean record feels like control in a stressful moment.</x:t>
        </x:is>
      </x:c>
      <x:c r="D8" s="117" t="inlineStr">
        <x:is>
          <x:t xml:space="preserve">Report preview, evidence folder, photo checklist.</x:t>
        </x:is>
      </x:c>
      <x:c r="E8" s="117" t="inlineStr">
        <x:is>
          <x:t xml:space="preserve">Why structure matters when emotions are high.</x:t>
        </x:is>
      </x:c>
      <x:c r="F8" s="117" t="inlineStr">
        <x:is>
          <x:t xml:space="preserve">Msafiri Explains, Feature in the Wild</x:t>
        </x:is>
      </x:c>
      <x:c r="G8" s="117" t="inlineStr">
        <x:is>
          <x:t xml:space="preserve">Keep your evidence organized.</x:t>
        </x:is>
      </x:c>
      <x:c r="H8" s="117" t="inlineStr">
        <x:is>
          <x:t xml:space="preserve">Try Msafiri’s incident report workflow.</x:t>
        </x:is>
      </x:c>
      <x:c r="I8" s="117" t="inlineStr">
        <x:is>
          <x:t xml:space="preserve">Do not say insurers will automatically accept or pay.</x:t>
        </x:is>
      </x:c>
      <x:c r="J8" s="117" t="inlineStr">
        <x:is>
          <x:t xml:space="preserve">The photo is useful; the organized report is better.</x:t>
        </x:is>
      </x:c>
    </x:row>
    <x:row r="9" ht="70" customHeight="1">
      <x:c r="A9" s="110" t="inlineStr">
        <x:is>
          <x:t xml:space="preserve">Alcoblow / sober-driving reminders</x:t>
        </x:is>
      </x:c>
      <x:c r="B9" s="110" t="inlineStr">
        <x:is>
          <x:t xml:space="preserve">Celebration plans can lead to unsafe driving decisions.</x:t>
        </x:is>
      </x:c>
      <x:c r="C9" s="110" t="inlineStr">
        <x:is>
          <x:t xml:space="preserve">Responsible friends plan the ride before the party.</x:t>
        </x:is>
      </x:c>
      <x:c r="D9" s="110" t="inlineStr">
        <x:is>
          <x:t xml:space="preserve">Keys-away scene, designated driver plan, ride alternative prompt.</x:t>
        </x:is>
      </x:c>
      <x:c r="E9" s="110" t="inlineStr">
        <x:is>
          <x:t xml:space="preserve">Why Msafiri will not help people evade safety enforcement.</x:t>
        </x:is>
      </x:c>
      <x:c r="F9" s="110" t="inlineStr">
        <x:is>
          <x:t xml:space="preserve">One Minute Road Safety, Holiday Road Prep</x:t>
        </x:is>
      </x:c>
      <x:c r="G9" s="110" t="inlineStr">
        <x:is>
          <x:t xml:space="preserve">Plan the ride before the drink.</x:t>
        </x:is>
      </x:c>
      <x:c r="H9" s="110" t="inlineStr">
        <x:is>
          <x:t xml:space="preserve">Use Msafiri as a reminder to make safe choices.</x:t>
        </x:is>
      </x:c>
      <x:c r="I9" s="110" t="inlineStr">
        <x:is>
          <x:t xml:space="preserve">Never share checkpoint locations or evasion tactics.</x:t>
        </x:is>
      </x:c>
      <x:c r="J9" s="110" t="inlineStr">
        <x:is>
          <x:t xml:space="preserve">Tonight, plan the ride before the celebration starts.</x:t>
        </x:is>
      </x:c>
    </x:row>
    <x:row r="10" ht="70" customHeight="1">
      <x:c r="A10" s="117" t="inlineStr">
        <x:is>
          <x:t xml:space="preserve">Road alerts</x:t>
        </x:is>
      </x:c>
      <x:c r="B10" s="117" t="inlineStr">
        <x:is>
          <x:t xml:space="preserve">Routes change, hazards appear, and drivers hear late.</x:t>
        </x:is>
      </x:c>
      <x:c r="C10" s="117" t="inlineStr">
        <x:is>
          <x:t xml:space="preserve">People want useful context before stress begins.</x:t>
        </x:is>
      </x:c>
      <x:c r="D10" s="117" t="inlineStr">
        <x:is>
          <x:t xml:space="preserve">Verified road update, community tip turned into road check.</x:t>
        </x:is>
      </x:c>
      <x:c r="E10" s="117" t="inlineStr">
        <x:is>
          <x:t xml:space="preserve">How Msafiri balances community speed with verification.</x:t>
        </x:is>
      </x:c>
      <x:c r="F10" s="117" t="inlineStr">
        <x:is>
          <x:t xml:space="preserve">Msafiri Road Check, Comment-to-Video</x:t>
        </x:is>
      </x:c>
      <x:c r="G10" s="117" t="inlineStr">
        <x:is>
          <x:t xml:space="preserve">Tell us which road to check next.</x:t>
        </x:is>
      </x:c>
      <x:c r="H10" s="117" t="inlineStr">
        <x:is>
          <x:t xml:space="preserve">Open Msafiri before your route.</x:t>
        </x:is>
      </x:c>
      <x:c r="I10" s="117" t="inlineStr">
        <x:is>
          <x:t xml:space="preserve">Do not publish unverified danger claims as facts.</x:t>
        </x:is>
      </x:c>
      <x:c r="J10" s="117" t="inlineStr">
        <x:is>
          <x:t xml:space="preserve">A familiar road can surprise you. Check before you move.</x:t>
        </x:is>
      </x:c>
    </x:row>
    <x:row r="11" ht="70" customHeight="1">
      <x:c r="A11" s="110" t="inlineStr">
        <x:is>
          <x:t xml:space="preserve">Vehicle care</x:t>
        </x:is>
      </x:c>
      <x:c r="B11" s="110" t="inlineStr">
        <x:is>
          <x:t xml:space="preserve">Small car issues become expensive when ignored.</x:t>
        </x:is>
      </x:c>
      <x:c r="C11" s="110" t="inlineStr">
        <x:is>
          <x:t xml:space="preserve">Responsible ownership is easier with reminders.</x:t>
        </x:is>
      </x:c>
      <x:c r="D11" s="110" t="inlineStr">
        <x:is>
          <x:t xml:space="preserve">Before-drive checklist, garage B-roll, service reminder explanation.</x:t>
        </x:is>
      </x:c>
      <x:c r="E11" s="110" t="inlineStr">
        <x:is>
          <x:t xml:space="preserve">Building boring-but-useful tools because they save real money.</x:t>
        </x:is>
      </x:c>
      <x:c r="F11" s="110" t="inlineStr">
        <x:is>
          <x:t xml:space="preserve">Before You Drive, Msafiri Explains</x:t>
        </x:is>
      </x:c>
      <x:c r="G11" s="110" t="inlineStr">
        <x:is>
          <x:t xml:space="preserve">Save this car-care routine.</x:t>
        </x:is>
      </x:c>
      <x:c r="H11" s="110" t="inlineStr">
        <x:is>
          <x:t xml:space="preserve">Use Msafiri to stay ahead of car surprises.</x:t>
        </x:is>
      </x:c>
      <x:c r="I11" s="110" t="inlineStr">
        <x:is>
          <x:t xml:space="preserve">Do not give mechanical advice beyond general reminders unless verified.</x:t>
        </x:is>
      </x:c>
      <x:c r="J11" s="110" t="inlineStr">
        <x:is>
          <x:t xml:space="preserve">The boring check that can save your whole week.</x:t>
        </x:is>
      </x:c>
    </x:row>
    <x:row r="12" ht="70" customHeight="1">
      <x:c r="A12" s="117" t="inlineStr">
        <x:is>
          <x:t xml:space="preserve">Trips / trip sharing</x:t>
        </x:is>
      </x:c>
      <x:c r="B12" s="117" t="inlineStr">
        <x:is>
          <x:t xml:space="preserve">Groups waste time coordinating and re-explaining plans.</x:t>
        </x:is>
      </x:c>
      <x:c r="C12" s="117" t="inlineStr">
        <x:is>
          <x:t xml:space="preserve">People want the trip to feel organized before it starts.</x:t>
        </x:is>
      </x:c>
      <x:c r="D12" s="117" t="inlineStr">
        <x:is>
          <x:t xml:space="preserve">Group chat skit, trip preview, convoy POV.</x:t>
        </x:is>
      </x:c>
      <x:c r="E12" s="117" t="inlineStr">
        <x:is>
          <x:t xml:space="preserve">Why trip sharing is a social feature, not just a map feature.</x:t>
        </x:is>
      </x:c>
      <x:c r="F12" s="117" t="inlineStr">
        <x:is>
          <x:t xml:space="preserve">Road Trip POV, Can Msafiri Do This?</x:t>
        </x:is>
      </x:c>
      <x:c r="G12" s="117" t="inlineStr">
        <x:is>
          <x:t xml:space="preserve">Send this to the trip planner.</x:t>
        </x:is>
      </x:c>
      <x:c r="H12" s="117" t="inlineStr">
        <x:is>
          <x:t xml:space="preserve">Plan and share your next trip with Msafiri.</x:t>
        </x:is>
      </x:c>
      <x:c r="I12" s="117" t="inlineStr">
        <x:is>
          <x:t xml:space="preserve">Avoid implying live tracking or safety features that do not exist.</x:t>
        </x:is>
      </x:c>
      <x:c r="J12" s="117" t="inlineStr">
        <x:is>
          <x:t xml:space="preserve">The group chat chaos starts before the engine does.</x:t>
        </x:is>
      </x:c>
    </x:row>
    <x:row r="13" ht="70" customHeight="1">
      <x:c r="A13" s="110" t="inlineStr">
        <x:is>
          <x:t xml:space="preserve">Find Nearby</x:t>
        </x:is>
      </x:c>
      <x:c r="B13" s="110" t="inlineStr">
        <x:is>
          <x:t xml:space="preserve">Plans change and drivers need a useful stop quickly.</x:t>
        </x:is>
      </x:c>
      <x:c r="C13" s="110" t="inlineStr">
        <x:is>
          <x:t xml:space="preserve">A good stop can rescue the mood of a trip.</x:t>
        </x:is>
      </x:c>
      <x:c r="D13" s="110" t="inlineStr">
        <x:is>
          <x:t xml:space="preserve">Need-based demo: fuel, food, service, rest stop.</x:t>
        </x:is>
      </x:c>
      <x:c r="E13" s="110" t="inlineStr">
        <x:is>
          <x:t xml:space="preserve">Why “nearby” matters when the route changes.</x:t>
        </x:is>
      </x:c>
      <x:c r="F13" s="110" t="inlineStr">
        <x:is>
          <x:t xml:space="preserve">Feature in the Wild, Road Trip POV</x:t>
        </x:is>
      </x:c>
      <x:c r="G13" s="110" t="inlineStr">
        <x:is>
          <x:t xml:space="preserve">Save this for your next road trip.</x:t>
        </x:is>
      </x:c>
      <x:c r="H13" s="110" t="inlineStr">
        <x:is>
          <x:t xml:space="preserve">Try Find Nearby when plans change.</x:t>
        </x:is>
      </x:c>
      <x:c r="I13" s="110" t="inlineStr">
        <x:is>
          <x:t xml:space="preserve">Do not list unsafe or unverified locations.</x:t>
        </x:is>
      </x:c>
      <x:c r="J13" s="110" t="inlineStr">
        <x:is>
          <x:t xml:space="preserve">When the plan changes mid-drive, what do you look for first?</x:t>
        </x:is>
      </x:c>
    </x:row>
    <x:row r="14" ht="70" customHeight="1">
      <x:c r="A14" s="117" t="inlineStr">
        <x:is>
          <x:t xml:space="preserve">Community road intelligence</x:t>
        </x:is>
      </x:c>
      <x:c r="B14" s="117" t="inlineStr">
        <x:is>
          <x:t xml:space="preserve">Drivers notice road issues fast but information is scattered.</x:t>
        </x:is>
      </x:c>
      <x:c r="C14" s="117" t="inlineStr">
        <x:is>
          <x:t xml:space="preserve">The road community is smarter when knowledge is structured.</x:t>
        </x:is>
      </x:c>
      <x:c r="D14" s="117" t="inlineStr">
        <x:is>
          <x:t xml:space="preserve">Comment-to-video, road nomination map, UGC stories.</x:t>
        </x:is>
      </x:c>
      <x:c r="E14" s="117" t="inlineStr">
        <x:is>
          <x:t xml:space="preserve">Peter invites drivers to shape the roadmap.</x:t>
        </x:is>
      </x:c>
      <x:c r="F14" s="117" t="inlineStr">
        <x:is>
          <x:t xml:space="preserve">Ask a Kenyan Driver, Comment-to-Video</x:t>
        </x:is>
      </x:c>
      <x:c r="G14" s="117" t="inlineStr">
        <x:is>
          <x:t xml:space="preserve">Drop a road for us to check.</x:t>
        </x:is>
      </x:c>
      <x:c r="H14" s="117" t="inlineStr">
        <x:is>
          <x:t xml:space="preserve">Join the Msafiri road-intelligence community.</x:t>
        </x:is>
      </x:c>
      <x:c r="I14" s="117" t="inlineStr">
        <x:is>
          <x:t xml:space="preserve">Verify before amplifying; get consent for user stories.</x:t>
        </x:is>
      </x:c>
      <x:c r="J14" s="117" t="inlineStr">
        <x:is>
          <x:t xml:space="preserve">Kenyan drivers already know the roads; Msafiri gives that knowledge a home.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4" customWidth="1"/>
    <x:col min="3" max="3" width="28" customWidth="1"/>
    <x:col min="4" max="4" width="24" customWidth="1"/>
    <x:col min="5" max="5" width="24" customWidth="1"/>
    <x:col min="6" max="6" width="18" customWidth="1"/>
    <x:col min="7" max="7" width="20" customWidth="1"/>
    <x:col min="8" max="8" width="62" customWidth="1"/>
    <x:col min="9" max="9" width="44" customWidth="1"/>
    <x:col min="10" max="10" width="44" customWidth="1"/>
    <x:col min="11" max="11" width="52" customWidth="1"/>
    <x:col min="12" max="12" width="38" customWidth="1"/>
    <x:col min="13" max="13" width="40" customWidth="1"/>
    <x:col min="14" max="14" width="13" customWidth="1"/>
    <x:col min="15" max="15" width="12" customWidth="1"/>
    <x:col min="16" max="16" width="12" customWidth="1"/>
    <x:col min="17" max="17" width="14" customWidth="1"/>
    <x:col min="18" max="18" width="16" customWidth="1"/>
    <x:col min="19" max="19" width="13" customWidth="1"/>
    <x:col min="20" max="20" width="14" customWidth="1"/>
    <x:col min="21" max="21" width="50" customWidth="1"/>
    <x:col min="22" max="22" width="44" customWidth="1"/>
  </x:cols>
  <x:sheetData>
    <x:row r="1" ht="28" customHeight="1">
      <x:c r="A1" s="106" t="inlineStr">
        <x:is>
          <x:t xml:space="preserve">CONTENT IDEA BANK</x:t>
        </x:is>
      </x:c>
    </x:row>
    <x:row r="2" ht="34" customHeight="1">
      <x:c r="A2" s="107" t="inlineStr">
        <x:is>
          <x:t xml:space="preserve">252 extra ideas with priority scoring, compliance notes and repurposing guidance. Use filters to pull by feature, audience or funnel stage.</x:t>
        </x:is>
      </x:c>
    </x:row>
    <x:row r="3"/>
    <x:row r="4" ht="36" customHeight="1">
      <x:c r="A4" s="108" t="inlineStr">
        <x:is>
          <x:t xml:space="preserve">ID</x:t>
        </x:is>
      </x:c>
      <x:c r="B4" s="108" t="inlineStr">
        <x:is>
          <x:t xml:space="preserve">Pillar</x:t>
        </x:is>
      </x:c>
      <x:c r="C4" s="108" t="inlineStr">
        <x:is>
          <x:t xml:space="preserve">Feature</x:t>
        </x:is>
      </x:c>
      <x:c r="D4" s="108" t="inlineStr">
        <x:is>
          <x:t xml:space="preserve">Series</x:t>
        </x:is>
      </x:c>
      <x:c r="E4" s="108" t="inlineStr">
        <x:is>
          <x:t xml:space="preserve">Audience</x:t>
        </x:is>
      </x:c>
      <x:c r="F4" s="108" t="inlineStr">
        <x:is>
          <x:t xml:space="preserve">Funnel Stage</x:t>
        </x:is>
      </x:c>
      <x:c r="G4" s="108" t="inlineStr">
        <x:is>
          <x:t xml:space="preserve">Format</x:t>
        </x:is>
      </x:c>
      <x:c r="H4" s="108" t="inlineStr">
        <x:is>
          <x:t xml:space="preserve">Hook / Idea</x:t>
        </x:is>
      </x:c>
      <x:c r="I4" s="108" t="inlineStr">
        <x:is>
          <x:t xml:space="preserve">Opening Visual</x:t>
        </x:is>
      </x:c>
      <x:c r="J4" s="108" t="inlineStr">
        <x:is>
          <x:t xml:space="preserve">Value Payoff</x:t>
        </x:is>
      </x:c>
      <x:c r="K4" s="108" t="inlineStr">
        <x:is>
          <x:t xml:space="preserve">Caption Seed</x:t>
        </x:is>
      </x:c>
      <x:c r="L4" s="108" t="inlineStr">
        <x:is>
          <x:t xml:space="preserve">CTA</x:t>
        </x:is>
      </x:c>
      <x:c r="M4" s="108" t="inlineStr">
        <x:is>
          <x:t xml:space="preserve">Asset Needed</x:t>
        </x:is>
      </x:c>
      <x:c r="N4" s="108" t="inlineStr">
        <x:is>
          <x:t xml:space="preserve">Difficulty</x:t>
        </x:is>
      </x:c>
      <x:c r="O4" s="108" t="inlineStr">
        <x:is>
          <x:t xml:space="preserve">Hook Strength</x:t>
        </x:is>
      </x:c>
      <x:c r="P4" s="108" t="inlineStr">
        <x:is>
          <x:t xml:space="preserve">Usefulness</x:t>
        </x:is>
      </x:c>
      <x:c r="Q4" s="108" t="inlineStr">
        <x:is>
          <x:t xml:space="preserve">Conversion Fit</x:t>
        </x:is>
      </x:c>
      <x:c r="R4" s="108" t="inlineStr">
        <x:is>
          <x:t xml:space="preserve">Production Effort</x:t>
        </x:is>
      </x:c>
      <x:c r="S4" s="108" t="inlineStr">
        <x:is>
          <x:t xml:space="preserve">Seasonal Fit</x:t>
        </x:is>
      </x:c>
      <x:c r="T4" s="108" t="inlineStr">
        <x:is>
          <x:t xml:space="preserve">Priority Score</x:t>
        </x:is>
      </x:c>
      <x:c r="U4" s="108" t="inlineStr">
        <x:is>
          <x:t xml:space="preserve">Compliance / Risk Note</x:t>
        </x:is>
      </x:c>
      <x:c r="V4" s="108" t="inlineStr">
        <x:is>
          <x:t xml:space="preserve">Repurpose Notes</x:t>
        </x:is>
      </x:c>
    </x:row>
    <x:row r="5" ht="58" customHeight="1">
      <x:c r="A5" s="110" t="n">
        <x:v>1</x:v>
      </x:c>
      <x:c r="B5" s="110" t="inlineStr">
        <x:is>
          <x:t xml:space="preserve">Road Intelligence</x:t>
        </x:is>
      </x:c>
      <x:c r="C5" s="110" t="inlineStr">
        <x:is>
          <x:t xml:space="preserve">Speed camera alerts</x:t>
        </x:is>
      </x:c>
      <x:c r="D5" s="110" t="inlineStr">
        <x:is>
          <x:t xml:space="preserve">Msafiri Road Check</x:t>
        </x:is>
      </x:c>
      <x:c r="E5" s="110" t="inlineStr">
        <x:is>
          <x:t xml:space="preserve">Daily Nairobi commuter</x:t>
        </x:is>
      </x:c>
      <x:c r="F5" s="110" t="inlineStr">
        <x:is>
          <x:t xml:space="preserve">Awareness</x:t>
        </x:is>
      </x:c>
      <x:c r="G5" s="110" t="inlineStr">
        <x:is>
          <x:t xml:space="preserve">POV Drive</x:t>
        </x:is>
      </x:c>
      <x:c r="H5" s="110" t="inlineStr">
        <x:is>
          <x:t xml:space="preserve">We drove a garage visit to see where speed camera alerts actually helps.</x:t>
        </x:is>
      </x:c>
      <x:c r="I5" s="110" t="inlineStr">
        <x:is>
          <x:t xml:space="preserve">Road POV with 3 marked moments; POV speed-limit reminder.</x:t>
        </x:is>
      </x:c>
      <x:c r="J5" s="110" t="inlineStr">
        <x:is>
          <x:t xml:space="preserve">A practical route lesson people can save.</x:t>
        </x:is>
      </x:c>
      <x:c r="K5" s="110" t="inlineStr">
        <x:is>
          <x:t xml:space="preserve">Use the story to show speed pressure and missed road context and end with one practical takeaway.</x:t>
        </x:is>
      </x:c>
      <x:c r="L5" s="110" t="inlineStr">
        <x:is>
          <x:t xml:space="preserve">Try Msafiri for calmer speed awareness.</x:t>
        </x:is>
      </x:c>
      <x:c r="M5" s="110" t="inlineStr">
        <x:is>
          <x:t xml:space="preserve">POV speed-limit reminder; captions; app screen-record; branded end card</x:t>
        </x:is>
      </x:c>
      <x:c r="N5" s="110" t="inlineStr">
        <x:is>
          <x:t xml:space="preserve">Low</x:t>
        </x:is>
      </x:c>
      <x:c r="O5" s="110" t="n">
        <x:v>3</x:v>
      </x:c>
      <x:c r="P5" s="110" t="n">
        <x:v>5</x:v>
      </x:c>
      <x:c r="Q5" s="110" t="n">
        <x:v>3</x:v>
      </x:c>
      <x:c r="R5" s="110" t="n">
        <x:v>1</x:v>
      </x:c>
      <x:c r="S5" s="110" t="n">
        <x:v>2</x:v>
      </x:c>
      <x:c r="T5" s="110" t="n">
        <x:f>O5+P5+Q5+S5-R5</x:f>
        <x:v>12</x:v>
      </x:c>
      <x:c r="U5" s="110" t="inlineStr">
        <x:is>
          <x:t xml:space="preserve">Compliance-first: never say “beat cameras” or encourage evasion.</x:t>
        </x:is>
      </x:c>
      <x:c r="V5" s="110" t="inlineStr">
        <x:is>
          <x:t xml:space="preserve">Cut into a 15-sec hook, a Story poll and a carousel slide if it gets saves/comments.</x:t>
        </x:is>
      </x:c>
    </x:row>
    <x:row r="6" ht="58" customHeight="1">
      <x:c r="A6" s="117" t="n">
        <x:v>2</x:v>
      </x:c>
      <x:c r="B6" s="117" t="inlineStr">
        <x:is>
          <x:t xml:space="preserve">Product / Feature Proof</x:t>
        </x:is>
      </x:c>
      <x:c r="C6" s="117" t="inlineStr">
        <x:is>
          <x:t xml:space="preserve">Speed camera alerts</x:t>
        </x:is>
      </x:c>
      <x:c r="D6" s="117" t="inlineStr">
        <x:is>
          <x:t xml:space="preserve">Feature in the Wild</x:t>
        </x:is>
      </x:c>
      <x:c r="E6" s="117" t="inlineStr">
        <x:is>
          <x:t xml:space="preserve">New driver</x:t>
        </x:is>
      </x:c>
      <x:c r="F6" s="117" t="inlineStr">
        <x:is>
          <x:t xml:space="preserve">Feature Discovery</x:t>
        </x:is>
      </x:c>
      <x:c r="G6" s="117" t="inlineStr">
        <x:is>
          <x:t xml:space="preserve">Screen-record Demo</x:t>
        </x:is>
      </x:c>
      <x:c r="H6" s="117" t="inlineStr">
        <x:is>
          <x:t xml:space="preserve">Speed camera alerts in 30 seconds: here is the moment it becomes useful.</x:t>
        </x:is>
      </x:c>
      <x:c r="I6" s="117" t="inlineStr">
        <x:is>
          <x:t xml:space="preserve">Phone screen + real-world cutaway; split-screen commute.</x:t>
        </x:is>
      </x:c>
      <x:c r="J6" s="117" t="inlineStr">
        <x:is>
          <x:t xml:space="preserve">Feature clarity without a hard sell.</x:t>
        </x:is>
      </x:c>
      <x:c r="K6" s="117" t="inlineStr">
        <x:is>
          <x:t xml:space="preserve">Use the story to show speed pressure and missed road context and end with one practical takeaway.</x:t>
        </x:is>
      </x:c>
      <x:c r="L6" s="117" t="inlineStr">
        <x:is>
          <x:t xml:space="preserve">Try Msafiri for calmer speed awareness.</x:t>
        </x:is>
      </x:c>
      <x:c r="M6" s="117" t="inlineStr">
        <x:is>
          <x:t xml:space="preserve">split-screen commute; captions; app screen-record; branded end card</x:t>
        </x:is>
      </x:c>
      <x:c r="N6" s="117" t="inlineStr">
        <x:is>
          <x:t xml:space="preserve">Medium</x:t>
        </x:is>
      </x:c>
      <x:c r="O6" s="117" t="n">
        <x:v>3</x:v>
      </x:c>
      <x:c r="P6" s="117" t="n">
        <x:v>4</x:v>
      </x:c>
      <x:c r="Q6" s="117" t="n">
        <x:v>5</x:v>
      </x:c>
      <x:c r="R6" s="117" t="n">
        <x:v>2</x:v>
      </x:c>
      <x:c r="S6" s="117" t="n">
        <x:v>2</x:v>
      </x:c>
      <x:c r="T6" s="117" t="n">
        <x:f>O6+P6+Q6+S6-R6</x:f>
        <x:v>12</x:v>
      </x:c>
      <x:c r="U6" s="117" t="inlineStr">
        <x:is>
          <x:t xml:space="preserve">Compliance-first: never say “beat cameras” or encourage evasion.</x:t>
        </x:is>
      </x:c>
      <x:c r="V6" s="117" t="inlineStr">
        <x:is>
          <x:t xml:space="preserve">Cut into a 15-sec hook, a Story poll and a carousel slide if it gets saves/comments.</x:t>
        </x:is>
      </x:c>
    </x:row>
    <x:row r="7" ht="58" customHeight="1">
      <x:c r="A7" s="110" t="n">
        <x:v>3</x:v>
      </x:c>
      <x:c r="B7" s="110" t="inlineStr">
        <x:is>
          <x:t xml:space="preserve">Kenyan Driving Reality</x:t>
        </x:is>
      </x:c>
      <x:c r="C7" s="110" t="inlineStr">
        <x:is>
          <x:t xml:space="preserve">Speed camera alerts</x:t>
        </x:is>
      </x:c>
      <x:c r="D7" s="110" t="inlineStr">
        <x:is>
          <x:t xml:space="preserve">Kenyan Driver Problems</x:t>
        </x:is>
      </x:c>
      <x:c r="E7" s="110" t="inlineStr">
        <x:is>
          <x:t xml:space="preserve">Professional driver</x:t>
        </x:is>
      </x:c>
      <x:c r="F7" s="110" t="inlineStr">
        <x:is>
          <x:t xml:space="preserve">Engagement</x:t>
        </x:is>
      </x:c>
      <x:c r="G7" s="110" t="inlineStr">
        <x:is>
          <x:t xml:space="preserve">Skit</x:t>
        </x:is>
      </x:c>
      <x:c r="H7" s="110" t="inlineStr">
        <x:is>
          <x:t xml:space="preserve">POV: speed pressure and missed road context and everyone in the car has an opinion.</x:t>
        </x:is>
      </x:c>
      <x:c r="I7" s="110" t="inlineStr">
        <x:is>
          <x:t xml:space="preserve">Fast skit with driver/passenger tension; route overlay.</x:t>
        </x:is>
      </x:c>
      <x:c r="J7" s="110" t="inlineStr">
        <x:is>
          <x:t xml:space="preserve">Relatability and shares.</x:t>
        </x:is>
      </x:c>
      <x:c r="K7" s="110" t="inlineStr">
        <x:is>
          <x:t xml:space="preserve">Use the story to show speed pressure and missed road context and end with one practical takeaway.</x:t>
        </x:is>
      </x:c>
      <x:c r="L7" s="110" t="inlineStr">
        <x:is>
          <x:t xml:space="preserve">Try Msafiri for calmer speed awareness.</x:t>
        </x:is>
      </x:c>
      <x:c r="M7" s="110" t="inlineStr">
        <x:is>
          <x:t xml:space="preserve">route overlay; captions; app screen-record; branded end card</x:t>
        </x:is>
      </x:c>
      <x:c r="N7" s="110" t="inlineStr">
        <x:is>
          <x:t xml:space="preserve">High</x:t>
        </x:is>
      </x:c>
      <x:c r="O7" s="110" t="n">
        <x:v>4</x:v>
      </x:c>
      <x:c r="P7" s="110" t="n">
        <x:v>4</x:v>
      </x:c>
      <x:c r="Q7" s="110" t="n">
        <x:v>3</x:v>
      </x:c>
      <x:c r="R7" s="110" t="n">
        <x:v>3</x:v>
      </x:c>
      <x:c r="S7" s="110" t="n">
        <x:v>2</x:v>
      </x:c>
      <x:c r="T7" s="110" t="n">
        <x:f>O7+P7+Q7+S7-R7</x:f>
        <x:v>10</x:v>
      </x:c>
      <x:c r="U7" s="110" t="inlineStr">
        <x:is>
          <x:t xml:space="preserve">Compliance-first: never say “beat cameras” or encourage evasion.</x:t>
        </x:is>
      </x:c>
      <x:c r="V7" s="110" t="inlineStr">
        <x:is>
          <x:t xml:space="preserve">Cut into a 15-sec hook, a Story poll and a carousel slide if it gets saves/comments.</x:t>
        </x:is>
      </x:c>
    </x:row>
    <x:row r="8" ht="58" customHeight="1">
      <x:c r="A8" s="117" t="n">
        <x:v>4</x:v>
      </x:c>
      <x:c r="B8" s="117" t="inlineStr">
        <x:is>
          <x:t xml:space="preserve">Education / Safety</x:t>
        </x:is>
      </x:c>
      <x:c r="C8" s="117" t="inlineStr">
        <x:is>
          <x:t xml:space="preserve">Speed camera alerts</x:t>
        </x:is>
      </x:c>
      <x:c r="D8" s="117" t="inlineStr">
        <x:is>
          <x:t xml:space="preserve">Before You Drive</x:t>
        </x:is>
      </x:c>
      <x:c r="E8" s="117" t="inlineStr">
        <x:is>
          <x:t xml:space="preserve">Family driver</x:t>
        </x:is>
      </x:c>
      <x:c r="F8" s="117" t="inlineStr">
        <x:is>
          <x:t xml:space="preserve">Retention</x:t>
        </x:is>
      </x:c>
      <x:c r="G8" s="117" t="inlineStr">
        <x:is>
          <x:t xml:space="preserve">Checklist Reel</x:t>
        </x:is>
      </x:c>
      <x:c r="H8" s="117" t="inlineStr">
        <x:is>
          <x:t xml:space="preserve">Save this before a rainy evening drive: 3 things to check.</x:t>
        </x:is>
      </x:c>
      <x:c r="I8" s="117" t="inlineStr">
        <x:is>
          <x:t xml:space="preserve">Checklist overlay with hands-on shots; driver reaction cut.</x:t>
        </x:is>
      </x:c>
      <x:c r="J8" s="117" t="inlineStr">
        <x:is>
          <x:t xml:space="preserve">A saveable pre-drive behavior.</x:t>
        </x:is>
      </x:c>
      <x:c r="K8" s="117" t="inlineStr">
        <x:is>
          <x:t xml:space="preserve">Use the story to show speed pressure and missed road context and end with one practical takeaway.</x:t>
        </x:is>
      </x:c>
      <x:c r="L8" s="117" t="inlineStr">
        <x:is>
          <x:t xml:space="preserve">Try Msafiri for calmer speed awareness.</x:t>
        </x:is>
      </x:c>
      <x:c r="M8" s="117" t="inlineStr">
        <x:is>
          <x:t xml:space="preserve">driver reaction cut; captions; app screen-record; branded end card</x:t>
        </x:is>
      </x:c>
      <x:c r="N8" s="117" t="inlineStr">
        <x:is>
          <x:t xml:space="preserve">Low</x:t>
        </x:is>
      </x:c>
      <x:c r="O8" s="117" t="n">
        <x:v>3</x:v>
      </x:c>
      <x:c r="P8" s="117" t="n">
        <x:v>5</x:v>
      </x:c>
      <x:c r="Q8" s="117" t="n">
        <x:v>3</x:v>
      </x:c>
      <x:c r="R8" s="117" t="n">
        <x:v>1</x:v>
      </x:c>
      <x:c r="S8" s="117" t="n">
        <x:v>2</x:v>
      </x:c>
      <x:c r="T8" s="117" t="n">
        <x:f>O8+P8+Q8+S8-R8</x:f>
        <x:v>12</x:v>
      </x:c>
      <x:c r="U8" s="117" t="inlineStr">
        <x:is>
          <x:t xml:space="preserve">Compliance-first: never say “beat cameras” or encourage evasion.</x:t>
        </x:is>
      </x:c>
      <x:c r="V8" s="117" t="inlineStr">
        <x:is>
          <x:t xml:space="preserve">Cut into a 15-sec hook, a Story poll and a carousel slide if it gets saves/comments.</x:t>
        </x:is>
      </x:c>
    </x:row>
    <x:row r="9" ht="58" customHeight="1">
      <x:c r="A9" s="110" t="n">
        <x:v>5</x:v>
      </x:c>
      <x:c r="B9" s="110" t="inlineStr">
        <x:is>
          <x:t xml:space="preserve">Founder / BTS</x:t>
        </x:is>
      </x:c>
      <x:c r="C9" s="110" t="inlineStr">
        <x:is>
          <x:t xml:space="preserve">Speed camera alerts</x:t>
        </x:is>
      </x:c>
      <x:c r="D9" s="110" t="inlineStr">
        <x:is>
          <x:t xml:space="preserve">Founder Files</x:t>
        </x:is>
      </x:c>
      <x:c r="E9" s="110" t="inlineStr">
        <x:is>
          <x:t xml:space="preserve">Daily Nairobi commuter</x:t>
        </x:is>
      </x:c>
      <x:c r="F9" s="110" t="inlineStr">
        <x:is>
          <x:t xml:space="preserve">Trust</x:t>
        </x:is>
      </x:c>
      <x:c r="G9" s="110" t="inlineStr">
        <x:is>
          <x:t xml:space="preserve">Founder-to-camera</x:t>
        </x:is>
      </x:c>
      <x:c r="H9" s="110" t="inlineStr">
        <x:is>
          <x:t xml:space="preserve">Peter explains why speed camera alerts belongs in a Kenyan driving app.</x:t>
        </x:is>
      </x:c>
      <x:c r="I9" s="110" t="inlineStr">
        <x:is>
          <x:t xml:space="preserve">Peter in car + product cutaway; before/after calm drive.</x:t>
        </x:is>
      </x:c>
      <x:c r="J9" s="110" t="inlineStr">
        <x:is>
          <x:t xml:space="preserve">Founder trust and mission clarity.</x:t>
        </x:is>
      </x:c>
      <x:c r="K9" s="110" t="inlineStr">
        <x:is>
          <x:t xml:space="preserve">Use the story to show speed pressure and missed road context and end with one practical takeaway.</x:t>
        </x:is>
      </x:c>
      <x:c r="L9" s="110" t="inlineStr">
        <x:is>
          <x:t xml:space="preserve">Try Msafiri for calmer speed awareness.</x:t>
        </x:is>
      </x:c>
      <x:c r="M9" s="110" t="inlineStr">
        <x:is>
          <x:t xml:space="preserve">before/after calm drive; captions; app screen-record; branded end card</x:t>
        </x:is>
      </x:c>
      <x:c r="N9" s="110" t="inlineStr">
        <x:is>
          <x:t xml:space="preserve">Medium</x:t>
        </x:is>
      </x:c>
      <x:c r="O9" s="110" t="n">
        <x:v>3</x:v>
      </x:c>
      <x:c r="P9" s="110" t="n">
        <x:v>4</x:v>
      </x:c>
      <x:c r="Q9" s="110" t="n">
        <x:v>3</x:v>
      </x:c>
      <x:c r="R9" s="110" t="n">
        <x:v>2</x:v>
      </x:c>
      <x:c r="S9" s="110" t="n">
        <x:v>2</x:v>
      </x:c>
      <x:c r="T9" s="110" t="n">
        <x:f>O9+P9+Q9+S9-R9</x:f>
        <x:v>10</x:v>
      </x:c>
      <x:c r="U9" s="110" t="inlineStr">
        <x:is>
          <x:t xml:space="preserve">Compliance-first: never say “beat cameras” or encourage evasion.</x:t>
        </x:is>
      </x:c>
      <x:c r="V9" s="110" t="inlineStr">
        <x:is>
          <x:t xml:space="preserve">Cut into a 15-sec hook, a Story poll and a carousel slide if it gets saves/comments.</x:t>
        </x:is>
      </x:c>
    </x:row>
    <x:row r="10" ht="58" customHeight="1">
      <x:c r="A10" s="117" t="n">
        <x:v>6</x:v>
      </x:c>
      <x:c r="B10" s="117" t="inlineStr">
        <x:is>
          <x:t xml:space="preserve">Debate / Mythbusters</x:t>
        </x:is>
      </x:c>
      <x:c r="C10" s="117" t="inlineStr">
        <x:is>
          <x:t xml:space="preserve">Speed camera alerts</x:t>
        </x:is>
      </x:c>
      <x:c r="D10" s="117" t="inlineStr">
        <x:is>
          <x:t xml:space="preserve">Road Mythbusters</x:t>
        </x:is>
      </x:c>
      <x:c r="E10" s="117" t="inlineStr">
        <x:is>
          <x:t xml:space="preserve">New driver</x:t>
        </x:is>
      </x:c>
      <x:c r="F10" s="117" t="inlineStr">
        <x:is>
          <x:t xml:space="preserve">Engagement</x:t>
        </x:is>
      </x:c>
      <x:c r="G10" s="117" t="inlineStr">
        <x:is>
          <x:t xml:space="preserve">Short-form video</x:t>
        </x:is>
      </x:c>
      <x:c r="H10" s="117" t="inlineStr">
        <x:is>
          <x:t xml:space="preserve">Hot take: speed alerts should make you calmer, not careless..</x:t>
        </x:is>
      </x:c>
      <x:c r="I10" s="117" t="inlineStr">
        <x:is>
          <x:t xml:space="preserve">Claim vs reality split screen; POV speed-limit reminder.</x:t>
        </x:is>
      </x:c>
      <x:c r="J10" s="117" t="inlineStr">
        <x:is>
          <x:t xml:space="preserve">Controlled comments and debate.</x:t>
        </x:is>
      </x:c>
      <x:c r="K10" s="117" t="inlineStr">
        <x:is>
          <x:t xml:space="preserve">Use the story to show speed pressure and missed road context and end with one practical takeaway.</x:t>
        </x:is>
      </x:c>
      <x:c r="L10" s="117" t="inlineStr">
        <x:is>
          <x:t xml:space="preserve">Try Msafiri for calmer speed awareness.</x:t>
        </x:is>
      </x:c>
      <x:c r="M10" s="117" t="inlineStr">
        <x:is>
          <x:t xml:space="preserve">POV speed-limit reminder; captions; app screen-record; branded end card</x:t>
        </x:is>
      </x:c>
      <x:c r="N10" s="117" t="inlineStr">
        <x:is>
          <x:t xml:space="preserve">High</x:t>
        </x:is>
      </x:c>
      <x:c r="O10" s="117" t="n">
        <x:v>4</x:v>
      </x:c>
      <x:c r="P10" s="117" t="n">
        <x:v>4</x:v>
      </x:c>
      <x:c r="Q10" s="117" t="n">
        <x:v>3</x:v>
      </x:c>
      <x:c r="R10" s="117" t="n">
        <x:v>3</x:v>
      </x:c>
      <x:c r="S10" s="117" t="n">
        <x:v>2</x:v>
      </x:c>
      <x:c r="T10" s="117" t="n">
        <x:f>O10+P10+Q10+S10-R10</x:f>
        <x:v>10</x:v>
      </x:c>
      <x:c r="U10" s="117" t="inlineStr">
        <x:is>
          <x:t xml:space="preserve">Compliance-first: never say “beat cameras” or encourage evasion.</x:t>
        </x:is>
      </x:c>
      <x:c r="V10" s="117" t="inlineStr">
        <x:is>
          <x:t xml:space="preserve">Cut into a 15-sec hook, a Story poll and a carousel slide if it gets saves/comments.</x:t>
        </x:is>
      </x:c>
    </x:row>
    <x:row r="11" ht="58" customHeight="1">
      <x:c r="A11" s="110" t="n">
        <x:v>7</x:v>
      </x:c>
      <x:c r="B11" s="110" t="inlineStr">
        <x:is>
          <x:t xml:space="preserve">Community / UGC</x:t>
        </x:is>
      </x:c>
      <x:c r="C11" s="110" t="inlineStr">
        <x:is>
          <x:t xml:space="preserve">Speed camera alerts</x:t>
        </x:is>
      </x:c>
      <x:c r="D11" s="110" t="inlineStr">
        <x:is>
          <x:t xml:space="preserve">Ask a Kenyan Driver</x:t>
        </x:is>
      </x:c>
      <x:c r="E11" s="110" t="inlineStr">
        <x:is>
          <x:t xml:space="preserve">Professional driver</x:t>
        </x:is>
      </x:c>
      <x:c r="F11" s="110" t="inlineStr">
        <x:is>
          <x:t xml:space="preserve">Community</x:t>
        </x:is>
      </x:c>
      <x:c r="G11" s="110" t="inlineStr">
        <x:is>
          <x:t xml:space="preserve">Street Interview</x:t>
        </x:is>
      </x:c>
      <x:c r="H11" s="110" t="inlineStr">
        <x:is>
          <x:t xml:space="preserve">We asked drivers: which road makes you slow down even when you are not speeding?</x:t>
        </x:is>
      </x:c>
      <x:c r="I11" s="110" t="inlineStr">
        <x:is>
          <x:t xml:space="preserve">Street answers + subtitle template; split-screen commute.</x:t>
        </x:is>
      </x:c>
      <x:c r="J11" s="110" t="inlineStr">
        <x:is>
          <x:t xml:space="preserve">Community stories and future ideas.</x:t>
        </x:is>
      </x:c>
      <x:c r="K11" s="110" t="inlineStr">
        <x:is>
          <x:t xml:space="preserve">Use the story to show speed pressure and missed road context and end with one practical takeaway.</x:t>
        </x:is>
      </x:c>
      <x:c r="L11" s="110" t="inlineStr">
        <x:is>
          <x:t xml:space="preserve">Try Msafiri for calmer speed awareness.</x:t>
        </x:is>
      </x:c>
      <x:c r="M11" s="110" t="inlineStr">
        <x:is>
          <x:t xml:space="preserve">split-screen commute; captions; app screen-record; branded end card</x:t>
        </x:is>
      </x:c>
      <x:c r="N11" s="110" t="inlineStr">
        <x:is>
          <x:t xml:space="preserve">Low</x:t>
        </x:is>
      </x:c>
      <x:c r="O11" s="110" t="n">
        <x:v>3</x:v>
      </x:c>
      <x:c r="P11" s="110" t="n">
        <x:v>4</x:v>
      </x:c>
      <x:c r="Q11" s="110" t="n">
        <x:v>3</x:v>
      </x:c>
      <x:c r="R11" s="110" t="n">
        <x:v>1</x:v>
      </x:c>
      <x:c r="S11" s="110" t="n">
        <x:v>2</x:v>
      </x:c>
      <x:c r="T11" s="110" t="n">
        <x:f>O11+P11+Q11+S11-R11</x:f>
        <x:v>11</x:v>
      </x:c>
      <x:c r="U11" s="110" t="inlineStr">
        <x:is>
          <x:t xml:space="preserve">Compliance-first: never say “beat cameras” or encourage evasion.</x:t>
        </x:is>
      </x:c>
      <x:c r="V11" s="110" t="inlineStr">
        <x:is>
          <x:t xml:space="preserve">Turn best responses into Comment-to-Video and add to next week’s road-check queue.</x:t>
        </x:is>
      </x:c>
    </x:row>
    <x:row r="12" ht="58" customHeight="1">
      <x:c r="A12" s="117" t="n">
        <x:v>8</x:v>
      </x:c>
      <x:c r="B12" s="117" t="inlineStr">
        <x:is>
          <x:t xml:space="preserve">Accident Readiness</x:t>
        </x:is>
      </x:c>
      <x:c r="C12" s="117" t="inlineStr">
        <x:is>
          <x:t xml:space="preserve">Speed camera alerts</x:t>
        </x:is>
      </x:c>
      <x:c r="D12" s="117" t="inlineStr">
        <x:is>
          <x:t xml:space="preserve">Would You Know What To Do?</x:t>
        </x:is>
      </x:c>
      <x:c r="E12" s="117" t="inlineStr">
        <x:is>
          <x:t xml:space="preserve">Family driver</x:t>
        </x:is>
      </x:c>
      <x:c r="F12" s="117" t="inlineStr">
        <x:is>
          <x:t xml:space="preserve">Trust</x:t>
        </x:is>
      </x:c>
      <x:c r="G12" s="117" t="inlineStr">
        <x:is>
          <x:t xml:space="preserve">Short-form video</x:t>
        </x:is>
      </x:c>
      <x:c r="H12" s="117" t="inlineStr">
        <x:is>
          <x:t xml:space="preserve">If this happened today, would you know what to do first?</x:t>
        </x:is>
      </x:c>
      <x:c r="I12" s="117" t="inlineStr">
        <x:is>
          <x:t xml:space="preserve">Scenario roleplay + checklist; route overlay.</x:t>
        </x:is>
      </x:c>
      <x:c r="J12" s="117" t="inlineStr">
        <x:is>
          <x:t xml:space="preserve">Preparedness without fear.</x:t>
        </x:is>
      </x:c>
      <x:c r="K12" s="117" t="inlineStr">
        <x:is>
          <x:t xml:space="preserve">Use the story to show speed pressure and missed road context and end with one practical takeaway.</x:t>
        </x:is>
      </x:c>
      <x:c r="L12" s="117" t="inlineStr">
        <x:is>
          <x:t xml:space="preserve">Try Msafiri for calmer speed awareness.</x:t>
        </x:is>
      </x:c>
      <x:c r="M12" s="117" t="inlineStr">
        <x:is>
          <x:t xml:space="preserve">route overlay; captions; app screen-record; branded end card</x:t>
        </x:is>
      </x:c>
      <x:c r="N12" s="117" t="inlineStr">
        <x:is>
          <x:t xml:space="preserve">Medium</x:t>
        </x:is>
      </x:c>
      <x:c r="O12" s="117" t="n">
        <x:v>3</x:v>
      </x:c>
      <x:c r="P12" s="117" t="n">
        <x:v>5</x:v>
      </x:c>
      <x:c r="Q12" s="117" t="n">
        <x:v>3</x:v>
      </x:c>
      <x:c r="R12" s="117" t="n">
        <x:v>2</x:v>
      </x:c>
      <x:c r="S12" s="117" t="n">
        <x:v>2</x:v>
      </x:c>
      <x:c r="T12" s="117" t="n">
        <x:f>O12+P12+Q12+S12-R12</x:f>
        <x:v>11</x:v>
      </x:c>
      <x:c r="U12" s="117" t="inlineStr">
        <x:is>
          <x:t xml:space="preserve">Compliance-first: never say “beat cameras” or encourage evasion.</x:t>
        </x:is>
      </x:c>
      <x:c r="V12" s="117" t="inlineStr">
        <x:is>
          <x:t xml:space="preserve">Cut into a 15-sec hook, a Story poll and a carousel slide if it gets saves/comments.</x:t>
        </x:is>
      </x:c>
    </x:row>
    <x:row r="13" ht="58" customHeight="1">
      <x:c r="A13" s="110" t="n">
        <x:v>9</x:v>
      </x:c>
      <x:c r="B13" s="110" t="inlineStr">
        <x:is>
          <x:t xml:space="preserve">Product / Feature Proof</x:t>
        </x:is>
      </x:c>
      <x:c r="C13" s="110" t="inlineStr">
        <x:is>
          <x:t xml:space="preserve">Speed camera alerts</x:t>
        </x:is>
      </x:c>
      <x:c r="D13" s="110" t="inlineStr">
        <x:is>
          <x:t xml:space="preserve">Can Msafiri Do This?</x:t>
        </x:is>
      </x:c>
      <x:c r="E13" s="110" t="inlineStr">
        <x:is>
          <x:t xml:space="preserve">Daily Nairobi commuter</x:t>
        </x:is>
      </x:c>
      <x:c r="F13" s="110" t="inlineStr">
        <x:is>
          <x:t xml:space="preserve">Feature Discovery</x:t>
        </x:is>
      </x:c>
      <x:c r="G13" s="110" t="inlineStr">
        <x:is>
          <x:t xml:space="preserve">Short-form video</x:t>
        </x:is>
      </x:c>
      <x:c r="H13" s="110" t="inlineStr">
        <x:is>
          <x:t xml:space="preserve">Can Msafiri help when speed pressure and missed road context? Let’s test it.</x:t>
        </x:is>
      </x:c>
      <x:c r="I13" s="110" t="inlineStr">
        <x:is>
          <x:t xml:space="preserve">Live test with timer; driver reaction cut.</x:t>
        </x:is>
      </x:c>
      <x:c r="J13" s="110" t="inlineStr">
        <x:is>
          <x:t xml:space="preserve">Proof through demonstration.</x:t>
        </x:is>
      </x:c>
      <x:c r="K13" s="110" t="inlineStr">
        <x:is>
          <x:t xml:space="preserve">Use the story to show speed pressure and missed road context and end with one practical takeaway.</x:t>
        </x:is>
      </x:c>
      <x:c r="L13" s="110" t="inlineStr">
        <x:is>
          <x:t xml:space="preserve">Try Msafiri for calmer speed awareness.</x:t>
        </x:is>
      </x:c>
      <x:c r="M13" s="110" t="inlineStr">
        <x:is>
          <x:t xml:space="preserve">driver reaction cut; captions; app screen-record; branded end card</x:t>
        </x:is>
      </x:c>
      <x:c r="N13" s="110" t="inlineStr">
        <x:is>
          <x:t xml:space="preserve">High</x:t>
        </x:is>
      </x:c>
      <x:c r="O13" s="110" t="n">
        <x:v>3</x:v>
      </x:c>
      <x:c r="P13" s="110" t="n">
        <x:v>4</x:v>
      </x:c>
      <x:c r="Q13" s="110" t="n">
        <x:v>5</x:v>
      </x:c>
      <x:c r="R13" s="110" t="n">
        <x:v>3</x:v>
      </x:c>
      <x:c r="S13" s="110" t="n">
        <x:v>2</x:v>
      </x:c>
      <x:c r="T13" s="110" t="n">
        <x:f>O13+P13+Q13+S13-R13</x:f>
        <x:v>11</x:v>
      </x:c>
      <x:c r="U13" s="110" t="inlineStr">
        <x:is>
          <x:t xml:space="preserve">Compliance-first: never say “beat cameras” or encourage evasion.</x:t>
        </x:is>
      </x:c>
      <x:c r="V13" s="110" t="inlineStr">
        <x:is>
          <x:t xml:space="preserve">Cut into a 15-sec hook, a Story poll and a carousel slide if it gets saves/comments.</x:t>
        </x:is>
      </x:c>
    </x:row>
    <x:row r="14" ht="58" customHeight="1">
      <x:c r="A14" s="117" t="n">
        <x:v>10</x:v>
      </x:c>
      <x:c r="B14" s="117" t="inlineStr">
        <x:is>
          <x:t xml:space="preserve">Road Intelligence</x:t>
        </x:is>
      </x:c>
      <x:c r="C14" s="117" t="inlineStr">
        <x:is>
          <x:t xml:space="preserve">Speed camera alerts</x:t>
        </x:is>
      </x:c>
      <x:c r="D14" s="117" t="inlineStr">
        <x:is>
          <x:t xml:space="preserve">Road Trip POV</x:t>
        </x:is>
      </x:c>
      <x:c r="E14" s="117" t="inlineStr">
        <x:is>
          <x:t xml:space="preserve">New driver</x:t>
        </x:is>
      </x:c>
      <x:c r="F14" s="117" t="inlineStr">
        <x:is>
          <x:t xml:space="preserve">Awareness</x:t>
        </x:is>
      </x:c>
      <x:c r="G14" s="117" t="inlineStr">
        <x:is>
          <x:t xml:space="preserve">Hero / Reel</x:t>
        </x:is>
      </x:c>
      <x:c r="H14" s="117" t="inlineStr">
        <x:is>
          <x:t xml:space="preserve">A calm drive is not luck — watch how we planned a group trip.</x:t>
        </x:is>
      </x:c>
      <x:c r="I14" s="117" t="inlineStr">
        <x:is>
          <x:t xml:space="preserve">Cinematic POV + UI moments; before/after calm drive.</x:t>
        </x:is>
      </x:c>
      <x:c r="J14" s="117" t="inlineStr">
        <x:is>
          <x:t xml:space="preserve">Aspirational practical brand feel.</x:t>
        </x:is>
      </x:c>
      <x:c r="K14" s="117" t="inlineStr">
        <x:is>
          <x:t xml:space="preserve">Use the story to show speed pressure and missed road context and end with one practical takeaway.</x:t>
        </x:is>
      </x:c>
      <x:c r="L14" s="117" t="inlineStr">
        <x:is>
          <x:t xml:space="preserve">Try Msafiri for calmer speed awareness.</x:t>
        </x:is>
      </x:c>
      <x:c r="M14" s="117" t="inlineStr">
        <x:is>
          <x:t xml:space="preserve">before/after calm drive; captions; app screen-record; branded end card</x:t>
        </x:is>
      </x:c>
      <x:c r="N14" s="117" t="inlineStr">
        <x:is>
          <x:t xml:space="preserve">Low</x:t>
        </x:is>
      </x:c>
      <x:c r="O14" s="117" t="n">
        <x:v>3</x:v>
      </x:c>
      <x:c r="P14" s="117" t="n">
        <x:v>5</x:v>
      </x:c>
      <x:c r="Q14" s="117" t="n">
        <x:v>3</x:v>
      </x:c>
      <x:c r="R14" s="117" t="n">
        <x:v>1</x:v>
      </x:c>
      <x:c r="S14" s="117" t="n">
        <x:v>3</x:v>
      </x:c>
      <x:c r="T14" s="117" t="n">
        <x:f>O14+P14+Q14+S14-R14</x:f>
        <x:v>13</x:v>
      </x:c>
      <x:c r="U14" s="117" t="inlineStr">
        <x:is>
          <x:t xml:space="preserve">Compliance-first: never say “beat cameras” or encourage evasion.</x:t>
        </x:is>
      </x:c>
      <x:c r="V14" s="117" t="inlineStr">
        <x:is>
          <x:t xml:space="preserve">Cut into a 15-sec hook, a Story poll and a carousel slide if it gets saves/comments.</x:t>
        </x:is>
      </x:c>
    </x:row>
    <x:row r="15" ht="58" customHeight="1">
      <x:c r="A15" s="110" t="n">
        <x:v>11</x:v>
      </x:c>
      <x:c r="B15" s="110" t="inlineStr">
        <x:is>
          <x:t xml:space="preserve">Education / Safety</x:t>
        </x:is>
      </x:c>
      <x:c r="C15" s="110" t="inlineStr">
        <x:is>
          <x:t xml:space="preserve">Speed camera alerts</x:t>
        </x:is>
      </x:c>
      <x:c r="D15" s="110" t="inlineStr">
        <x:is>
          <x:t xml:space="preserve">One Minute Road Safety</x:t>
        </x:is>
      </x:c>
      <x:c r="E15" s="110" t="inlineStr">
        <x:is>
          <x:t xml:space="preserve">Professional driver</x:t>
        </x:is>
      </x:c>
      <x:c r="F15" s="110" t="inlineStr">
        <x:is>
          <x:t xml:space="preserve">Retention</x:t>
        </x:is>
      </x:c>
      <x:c r="G15" s="110" t="inlineStr">
        <x:is>
          <x:t xml:space="preserve">Checklist Reel</x:t>
        </x:is>
      </x:c>
      <x:c r="H15" s="110" t="inlineStr">
        <x:is>
          <x:t xml:space="preserve">One minute road safety: speed camera alerts edition.</x:t>
        </x:is>
      </x:c>
      <x:c r="I15" s="110" t="inlineStr">
        <x:is>
          <x:t xml:space="preserve">One tip per beat; POV speed-limit reminder.</x:t>
        </x:is>
      </x:c>
      <x:c r="J15" s="110" t="inlineStr">
        <x:is>
          <x:t xml:space="preserve">Quick knowledge people can use.</x:t>
        </x:is>
      </x:c>
      <x:c r="K15" s="110" t="inlineStr">
        <x:is>
          <x:t xml:space="preserve">Use the story to show speed pressure and missed road context and end with one practical takeaway.</x:t>
        </x:is>
      </x:c>
      <x:c r="L15" s="110" t="inlineStr">
        <x:is>
          <x:t xml:space="preserve">Try Msafiri for calmer speed awareness.</x:t>
        </x:is>
      </x:c>
      <x:c r="M15" s="110" t="inlineStr">
        <x:is>
          <x:t xml:space="preserve">POV speed-limit reminder; captions; app screen-record; branded end card</x:t>
        </x:is>
      </x:c>
      <x:c r="N15" s="110" t="inlineStr">
        <x:is>
          <x:t xml:space="preserve">Medium</x:t>
        </x:is>
      </x:c>
      <x:c r="O15" s="110" t="n">
        <x:v>3</x:v>
      </x:c>
      <x:c r="P15" s="110" t="n">
        <x:v>5</x:v>
      </x:c>
      <x:c r="Q15" s="110" t="n">
        <x:v>3</x:v>
      </x:c>
      <x:c r="R15" s="110" t="n">
        <x:v>2</x:v>
      </x:c>
      <x:c r="S15" s="110" t="n">
        <x:v>2</x:v>
      </x:c>
      <x:c r="T15" s="110" t="n">
        <x:f>O15+P15+Q15+S15-R15</x:f>
        <x:v>11</x:v>
      </x:c>
      <x:c r="U15" s="110" t="inlineStr">
        <x:is>
          <x:t xml:space="preserve">Compliance-first: never say “beat cameras” or encourage evasion.</x:t>
        </x:is>
      </x:c>
      <x:c r="V15" s="110" t="inlineStr">
        <x:is>
          <x:t xml:space="preserve">Cut into a 15-sec hook, a Story poll and a carousel slide if it gets saves/comments.</x:t>
        </x:is>
      </x:c>
    </x:row>
    <x:row r="16" ht="58" customHeight="1">
      <x:c r="A16" s="117" t="n">
        <x:v>12</x:v>
      </x:c>
      <x:c r="B16" s="117" t="inlineStr">
        <x:is>
          <x:t xml:space="preserve">Founder / BTS</x:t>
        </x:is>
      </x:c>
      <x:c r="C16" s="117" t="inlineStr">
        <x:is>
          <x:t xml:space="preserve">Speed camera alerts</x:t>
        </x:is>
      </x:c>
      <x:c r="D16" s="117" t="inlineStr">
        <x:is>
          <x:t xml:space="preserve">Build With Peter</x:t>
        </x:is>
      </x:c>
      <x:c r="E16" s="117" t="inlineStr">
        <x:is>
          <x:t xml:space="preserve">Family driver</x:t>
        </x:is>
      </x:c>
      <x:c r="F16" s="117" t="inlineStr">
        <x:is>
          <x:t xml:space="preserve">Trust</x:t>
        </x:is>
      </x:c>
      <x:c r="G16" s="117" t="inlineStr">
        <x:is>
          <x:t xml:space="preserve">Founder-to-camera</x:t>
        </x:is>
      </x:c>
      <x:c r="H16" s="117" t="inlineStr">
        <x:is>
          <x:t xml:space="preserve">The product decision we almost got wrong with speed camera alerts.</x:t>
        </x:is>
      </x:c>
      <x:c r="I16" s="117" t="inlineStr">
        <x:is>
          <x:t xml:space="preserve">Peter + notes + app prototype; split-screen commute.</x:t>
        </x:is>
      </x:c>
      <x:c r="J16" s="117" t="inlineStr">
        <x:is>
          <x:t xml:space="preserve">Humanizing the build process.</x:t>
        </x:is>
      </x:c>
      <x:c r="K16" s="117" t="inlineStr">
        <x:is>
          <x:t xml:space="preserve">Use the story to show speed pressure and missed road context and end with one practical takeaway.</x:t>
        </x:is>
      </x:c>
      <x:c r="L16" s="117" t="inlineStr">
        <x:is>
          <x:t xml:space="preserve">Try Msafiri for calmer speed awareness.</x:t>
        </x:is>
      </x:c>
      <x:c r="M16" s="117" t="inlineStr">
        <x:is>
          <x:t xml:space="preserve">split-screen commute; captions; app screen-record; branded end card</x:t>
        </x:is>
      </x:c>
      <x:c r="N16" s="117" t="inlineStr">
        <x:is>
          <x:t xml:space="preserve">High</x:t>
        </x:is>
      </x:c>
      <x:c r="O16" s="117" t="n">
        <x:v>3</x:v>
      </x:c>
      <x:c r="P16" s="117" t="n">
        <x:v>4</x:v>
      </x:c>
      <x:c r="Q16" s="117" t="n">
        <x:v>3</x:v>
      </x:c>
      <x:c r="R16" s="117" t="n">
        <x:v>3</x:v>
      </x:c>
      <x:c r="S16" s="117" t="n">
        <x:v>2</x:v>
      </x:c>
      <x:c r="T16" s="117" t="n">
        <x:f>O16+P16+Q16+S16-R16</x:f>
        <x:v>9</x:v>
      </x:c>
      <x:c r="U16" s="117" t="inlineStr">
        <x:is>
          <x:t xml:space="preserve">Compliance-first: never say “beat cameras” or encourage evasion.</x:t>
        </x:is>
      </x:c>
      <x:c r="V16" s="117" t="inlineStr">
        <x:is>
          <x:t xml:space="preserve">Cut into a 15-sec hook, a Story poll and a carousel slide if it gets saves/comments.</x:t>
        </x:is>
      </x:c>
    </x:row>
    <x:row r="17" ht="58" customHeight="1">
      <x:c r="A17" s="110" t="n">
        <x:v>13</x:v>
      </x:c>
      <x:c r="B17" s="110" t="inlineStr">
        <x:is>
          <x:t xml:space="preserve">Community / UGC</x:t>
        </x:is>
      </x:c>
      <x:c r="C17" s="110" t="inlineStr">
        <x:is>
          <x:t xml:space="preserve">Speed camera alerts</x:t>
        </x:is>
      </x:c>
      <x:c r="D17" s="110" t="inlineStr">
        <x:is>
          <x:t xml:space="preserve">Comment-to-Video</x:t>
        </x:is>
      </x:c>
      <x:c r="E17" s="110" t="inlineStr">
        <x:is>
          <x:t xml:space="preserve">Daily Nairobi commuter</x:t>
        </x:is>
      </x:c>
      <x:c r="F17" s="110" t="inlineStr">
        <x:is>
          <x:t xml:space="preserve">Community</x:t>
        </x:is>
      </x:c>
      <x:c r="G17" s="110" t="inlineStr">
        <x:is>
          <x:t xml:space="preserve">Community Reply</x:t>
        </x:is>
      </x:c>
      <x:c r="H17" s="110" t="inlineStr">
        <x:is>
          <x:t xml:space="preserve">A follower asked about speed pressure and missed road context; here is the practical answer.</x:t>
        </x:is>
      </x:c>
      <x:c r="I17" s="110" t="inlineStr">
        <x:is>
          <x:t xml:space="preserve">Comment sticker + direct answer; route overlay.</x:t>
        </x:is>
      </x:c>
      <x:c r="J17" s="110" t="inlineStr">
        <x:is>
          <x:t xml:space="preserve">Reward comments and build trust.</x:t>
        </x:is>
      </x:c>
      <x:c r="K17" s="110" t="inlineStr">
        <x:is>
          <x:t xml:space="preserve">Use the story to show speed pressure and missed road context and end with one practical takeaway.</x:t>
        </x:is>
      </x:c>
      <x:c r="L17" s="110" t="inlineStr">
        <x:is>
          <x:t xml:space="preserve">Try Msafiri for calmer speed awareness.</x:t>
        </x:is>
      </x:c>
      <x:c r="M17" s="110" t="inlineStr">
        <x:is>
          <x:t xml:space="preserve">route overlay; captions; app screen-record; branded end card</x:t>
        </x:is>
      </x:c>
      <x:c r="N17" s="110" t="inlineStr">
        <x:is>
          <x:t xml:space="preserve">Low</x:t>
        </x:is>
      </x:c>
      <x:c r="O17" s="110" t="n">
        <x:v>3</x:v>
      </x:c>
      <x:c r="P17" s="110" t="n">
        <x:v>4</x:v>
      </x:c>
      <x:c r="Q17" s="110" t="n">
        <x:v>3</x:v>
      </x:c>
      <x:c r="R17" s="110" t="n">
        <x:v>1</x:v>
      </x:c>
      <x:c r="S17" s="110" t="n">
        <x:v>2</x:v>
      </x:c>
      <x:c r="T17" s="110" t="n">
        <x:f>O17+P17+Q17+S17-R17</x:f>
        <x:v>11</x:v>
      </x:c>
      <x:c r="U17" s="110" t="inlineStr">
        <x:is>
          <x:t xml:space="preserve">Compliance-first: never say “beat cameras” or encourage evasion.</x:t>
        </x:is>
      </x:c>
      <x:c r="V17" s="110" t="inlineStr">
        <x:is>
          <x:t xml:space="preserve">Cut into a 15-sec hook, a Story poll and a carousel slide if it gets saves/comments.</x:t>
        </x:is>
      </x:c>
    </x:row>
    <x:row r="18" ht="58" customHeight="1">
      <x:c r="A18" s="117" t="n">
        <x:v>14</x:v>
      </x:c>
      <x:c r="B18" s="117" t="inlineStr">
        <x:is>
          <x:t xml:space="preserve">Kenyan Driving Reality</x:t>
        </x:is>
      </x:c>
      <x:c r="C18" s="117" t="inlineStr">
        <x:is>
          <x:t xml:space="preserve">Speed camera alerts</x:t>
        </x:is>
      </x:c>
      <x:c r="D18" s="117" t="inlineStr">
        <x:is>
          <x:t xml:space="preserve">Driver Confessions</x:t>
        </x:is>
      </x:c>
      <x:c r="E18" s="117" t="inlineStr">
        <x:is>
          <x:t xml:space="preserve">New driver</x:t>
        </x:is>
      </x:c>
      <x:c r="F18" s="117" t="inlineStr">
        <x:is>
          <x:t xml:space="preserve">Engagement</x:t>
        </x:is>
      </x:c>
      <x:c r="G18" s="117" t="inlineStr">
        <x:is>
          <x:t xml:space="preserve">Street Interview</x:t>
        </x:is>
      </x:c>
      <x:c r="H18" s="117" t="inlineStr">
        <x:is>
          <x:t xml:space="preserve">Confession time: what is the one driving mistake you learned from?</x:t>
        </x:is>
      </x:c>
      <x:c r="I18" s="117" t="inlineStr">
        <x:is>
          <x:t xml:space="preserve">Anonymous driver confession; driver reaction cut.</x:t>
        </x:is>
      </x:c>
      <x:c r="J18" s="117" t="inlineStr">
        <x:is>
          <x:t xml:space="preserve">Relatable vulnerability.</x:t>
        </x:is>
      </x:c>
      <x:c r="K18" s="117" t="inlineStr">
        <x:is>
          <x:t xml:space="preserve">Use the story to show speed pressure and missed road context and end with one practical takeaway.</x:t>
        </x:is>
      </x:c>
      <x:c r="L18" s="117" t="inlineStr">
        <x:is>
          <x:t xml:space="preserve">Try Msafiri for calmer speed awareness.</x:t>
        </x:is>
      </x:c>
      <x:c r="M18" s="117" t="inlineStr">
        <x:is>
          <x:t xml:space="preserve">driver reaction cut; captions; app screen-record; branded end card</x:t>
        </x:is>
      </x:c>
      <x:c r="N18" s="117" t="inlineStr">
        <x:is>
          <x:t xml:space="preserve">Medium</x:t>
        </x:is>
      </x:c>
      <x:c r="O18" s="117" t="n">
        <x:v>4</x:v>
      </x:c>
      <x:c r="P18" s="117" t="n">
        <x:v>4</x:v>
      </x:c>
      <x:c r="Q18" s="117" t="n">
        <x:v>3</x:v>
      </x:c>
      <x:c r="R18" s="117" t="n">
        <x:v>2</x:v>
      </x:c>
      <x:c r="S18" s="117" t="n">
        <x:v>2</x:v>
      </x:c>
      <x:c r="T18" s="117" t="n">
        <x:f>O18+P18+Q18+S18-R18</x:f>
        <x:v>11</x:v>
      </x:c>
      <x:c r="U18" s="117" t="inlineStr">
        <x:is>
          <x:t xml:space="preserve">Compliance-first: never say “beat cameras” or encourage evasion.</x:t>
        </x:is>
      </x:c>
      <x:c r="V18" s="117" t="inlineStr">
        <x:is>
          <x:t xml:space="preserve">Turn best responses into Comment-to-Video and add to next week’s road-check queue.</x:t>
        </x:is>
      </x:c>
    </x:row>
    <x:row r="19" ht="58" customHeight="1">
      <x:c r="A19" s="110" t="n">
        <x:v>15</x:v>
      </x:c>
      <x:c r="B19" s="110" t="inlineStr">
        <x:is>
          <x:t xml:space="preserve">Product / Feature Proof</x:t>
        </x:is>
      </x:c>
      <x:c r="C19" s="110" t="inlineStr">
        <x:is>
          <x:t xml:space="preserve">Speed camera alerts</x:t>
        </x:is>
      </x:c>
      <x:c r="D19" s="110" t="inlineStr">
        <x:is>
          <x:t xml:space="preserve">Before / After</x:t>
        </x:is>
      </x:c>
      <x:c r="E19" s="110" t="inlineStr">
        <x:is>
          <x:t xml:space="preserve">Professional driver</x:t>
        </x:is>
      </x:c>
      <x:c r="F19" s="110" t="inlineStr">
        <x:is>
          <x:t xml:space="preserve">Conversion</x:t>
        </x:is>
      </x:c>
      <x:c r="G19" s="110" t="inlineStr">
        <x:is>
          <x:t xml:space="preserve">Short-form video</x:t>
        </x:is>
      </x:c>
      <x:c r="H19" s="110" t="inlineStr">
        <x:is>
          <x:t xml:space="preserve">Before Msafiri vs after Msafiri when speed pressure and missed road context.</x:t>
        </x:is>
      </x:c>
      <x:c r="I19" s="110" t="inlineStr">
        <x:is>
          <x:t xml:space="preserve">Two-act split screen; before/after calm drive.</x:t>
        </x:is>
      </x:c>
      <x:c r="J19" s="110" t="inlineStr">
        <x:is>
          <x:t xml:space="preserve">A clear reason to try.</x:t>
        </x:is>
      </x:c>
      <x:c r="K19" s="110" t="inlineStr">
        <x:is>
          <x:t xml:space="preserve">Use the story to show speed pressure and missed road context and end with one practical takeaway.</x:t>
        </x:is>
      </x:c>
      <x:c r="L19" s="110" t="inlineStr">
        <x:is>
          <x:t xml:space="preserve">Try Msafiri for calmer speed awareness.</x:t>
        </x:is>
      </x:c>
      <x:c r="M19" s="110" t="inlineStr">
        <x:is>
          <x:t xml:space="preserve">before/after calm drive; captions; app screen-record; branded end card</x:t>
        </x:is>
      </x:c>
      <x:c r="N19" s="110" t="inlineStr">
        <x:is>
          <x:t xml:space="preserve">High</x:t>
        </x:is>
      </x:c>
      <x:c r="O19" s="110" t="n">
        <x:v>3</x:v>
      </x:c>
      <x:c r="P19" s="110" t="n">
        <x:v>4</x:v>
      </x:c>
      <x:c r="Q19" s="110" t="n">
        <x:v>5</x:v>
      </x:c>
      <x:c r="R19" s="110" t="n">
        <x:v>3</x:v>
      </x:c>
      <x:c r="S19" s="110" t="n">
        <x:v>2</x:v>
      </x:c>
      <x:c r="T19" s="110" t="n">
        <x:f>O19+P19+Q19+S19-R19</x:f>
        <x:v>11</x:v>
      </x:c>
      <x:c r="U19" s="110" t="inlineStr">
        <x:is>
          <x:t xml:space="preserve">Compliance-first: never say “beat cameras” or encourage evasion.</x:t>
        </x:is>
      </x:c>
      <x:c r="V19" s="110" t="inlineStr">
        <x:is>
          <x:t xml:space="preserve">Cut into a 15-sec hook, a Story poll and a carousel slide if it gets saves/comments.</x:t>
        </x:is>
      </x:c>
    </x:row>
    <x:row r="20" ht="58" customHeight="1">
      <x:c r="A20" s="117" t="n">
        <x:v>16</x:v>
      </x:c>
      <x:c r="B20" s="117" t="inlineStr">
        <x:is>
          <x:t xml:space="preserve">Seasonal Campaign</x:t>
        </x:is>
      </x:c>
      <x:c r="C20" s="117" t="inlineStr">
        <x:is>
          <x:t xml:space="preserve">Speed camera alerts</x:t>
        </x:is>
      </x:c>
      <x:c r="D20" s="117" t="inlineStr">
        <x:is>
          <x:t xml:space="preserve">Holiday Road Prep</x:t>
        </x:is>
      </x:c>
      <x:c r="E20" s="117" t="inlineStr">
        <x:is>
          <x:t xml:space="preserve">Family driver</x:t>
        </x:is>
      </x:c>
      <x:c r="F20" s="117" t="inlineStr">
        <x:is>
          <x:t xml:space="preserve">Awareness</x:t>
        </x:is>
      </x:c>
      <x:c r="G20" s="117" t="inlineStr">
        <x:is>
          <x:t xml:space="preserve">Checklist Reel</x:t>
        </x:is>
      </x:c>
      <x:c r="H20" s="117" t="inlineStr">
        <x:is>
          <x:t xml:space="preserve">Holiday drive coming up? Do not leave before checking this.</x:t>
        </x:is>
      </x:c>
      <x:c r="I20" s="117" t="inlineStr">
        <x:is>
          <x:t xml:space="preserve">Packing + car + phone mount; POV speed-limit reminder.</x:t>
        </x:is>
      </x:c>
      <x:c r="J20" s="117" t="inlineStr">
        <x:is>
          <x:t xml:space="preserve">Seasonal urgency.</x:t>
        </x:is>
      </x:c>
      <x:c r="K20" s="117" t="inlineStr">
        <x:is>
          <x:t xml:space="preserve">Use the story to show speed pressure and missed road context and end with one practical takeaway.</x:t>
        </x:is>
      </x:c>
      <x:c r="L20" s="117" t="inlineStr">
        <x:is>
          <x:t xml:space="preserve">Try Msafiri for calmer speed awareness.</x:t>
        </x:is>
      </x:c>
      <x:c r="M20" s="117" t="inlineStr">
        <x:is>
          <x:t xml:space="preserve">POV speed-limit reminder; captions; app screen-record; branded end card</x:t>
        </x:is>
      </x:c>
      <x:c r="N20" s="117" t="inlineStr">
        <x:is>
          <x:t xml:space="preserve">Low</x:t>
        </x:is>
      </x:c>
      <x:c r="O20" s="117" t="n">
        <x:v>4</x:v>
      </x:c>
      <x:c r="P20" s="117" t="n">
        <x:v>4</x:v>
      </x:c>
      <x:c r="Q20" s="117" t="n">
        <x:v>3</x:v>
      </x:c>
      <x:c r="R20" s="117" t="n">
        <x:v>1</x:v>
      </x:c>
      <x:c r="S20" s="117" t="n">
        <x:v>4</x:v>
      </x:c>
      <x:c r="T20" s="117" t="n">
        <x:f>O20+P20+Q20+S20-R20</x:f>
        <x:v>14</x:v>
      </x:c>
      <x:c r="U20" s="117" t="inlineStr">
        <x:is>
          <x:t xml:space="preserve">Compliance-first: never say “beat cameras” or encourage evasion.</x:t>
        </x:is>
      </x:c>
      <x:c r="V20" s="117" t="inlineStr">
        <x:is>
          <x:t xml:space="preserve">Cut into a 15-sec hook, a Story poll and a carousel slide if it gets saves/comments.</x:t>
        </x:is>
      </x:c>
    </x:row>
    <x:row r="21" ht="58" customHeight="1">
      <x:c r="A21" s="110" t="n">
        <x:v>17</x:v>
      </x:c>
      <x:c r="B21" s="110" t="inlineStr">
        <x:is>
          <x:t xml:space="preserve">Education / Safety</x:t>
        </x:is>
      </x:c>
      <x:c r="C21" s="110" t="inlineStr">
        <x:is>
          <x:t xml:space="preserve">Speed camera alerts</x:t>
        </x:is>
      </x:c>
      <x:c r="D21" s="110" t="inlineStr">
        <x:is>
          <x:t xml:space="preserve">Passenger POV</x:t>
        </x:is>
      </x:c>
      <x:c r="E21" s="110" t="inlineStr">
        <x:is>
          <x:t xml:space="preserve">Daily Nairobi commuter</x:t>
        </x:is>
      </x:c>
      <x:c r="F21" s="110" t="inlineStr">
        <x:is>
          <x:t xml:space="preserve">Community</x:t>
        </x:is>
      </x:c>
      <x:c r="G21" s="110" t="inlineStr">
        <x:is>
          <x:t xml:space="preserve">Short-form video</x:t>
        </x:is>
      </x:c>
      <x:c r="H21" s="110" t="inlineStr">
        <x:is>
          <x:t xml:space="preserve">Passenger script: how to tell the driver to slow down without starting a fight.</x:t>
        </x:is>
      </x:c>
      <x:c r="I21" s="110" t="inlineStr">
        <x:is>
          <x:t xml:space="preserve">Passenger POV + text overlay; split-screen commute.</x:t>
        </x:is>
      </x:c>
      <x:c r="J21" s="110" t="inlineStr">
        <x:is>
          <x:t xml:space="preserve">Safety through social behavior.</x:t>
        </x:is>
      </x:c>
      <x:c r="K21" s="110" t="inlineStr">
        <x:is>
          <x:t xml:space="preserve">Use the story to show speed pressure and missed road context and end with one practical takeaway.</x:t>
        </x:is>
      </x:c>
      <x:c r="L21" s="110" t="inlineStr">
        <x:is>
          <x:t xml:space="preserve">Try Msafiri for calmer speed awareness.</x:t>
        </x:is>
      </x:c>
      <x:c r="M21" s="110" t="inlineStr">
        <x:is>
          <x:t xml:space="preserve">split-screen commute; captions; app screen-record; branded end card</x:t>
        </x:is>
      </x:c>
      <x:c r="N21" s="110" t="inlineStr">
        <x:is>
          <x:t xml:space="preserve">Medium</x:t>
        </x:is>
      </x:c>
      <x:c r="O21" s="110" t="n">
        <x:v>3</x:v>
      </x:c>
      <x:c r="P21" s="110" t="n">
        <x:v>5</x:v>
      </x:c>
      <x:c r="Q21" s="110" t="n">
        <x:v>3</x:v>
      </x:c>
      <x:c r="R21" s="110" t="n">
        <x:v>2</x:v>
      </x:c>
      <x:c r="S21" s="110" t="n">
        <x:v>2</x:v>
      </x:c>
      <x:c r="T21" s="110" t="n">
        <x:f>O21+P21+Q21+S21-R21</x:f>
        <x:v>11</x:v>
      </x:c>
      <x:c r="U21" s="110" t="inlineStr">
        <x:is>
          <x:t xml:space="preserve">Compliance-first: never say “beat cameras” or encourage evasion.</x:t>
        </x:is>
      </x:c>
      <x:c r="V21" s="110" t="inlineStr">
        <x:is>
          <x:t xml:space="preserve">Cut into a 15-sec hook, a Story poll and a carousel slide if it gets saves/comments.</x:t>
        </x:is>
      </x:c>
    </x:row>
    <x:row r="22" ht="58" customHeight="1">
      <x:c r="A22" s="117" t="n">
        <x:v>18</x:v>
      </x:c>
      <x:c r="B22" s="117" t="inlineStr">
        <x:is>
          <x:t xml:space="preserve">Product / Feature Proof</x:t>
        </x:is>
      </x:c>
      <x:c r="C22" s="117" t="inlineStr">
        <x:is>
          <x:t xml:space="preserve">Speed camera alerts</x:t>
        </x:is>
      </x:c>
      <x:c r="D22" s="117" t="inlineStr">
        <x:is>
          <x:t xml:space="preserve">Feature FAQ</x:t>
        </x:is>
      </x:c>
      <x:c r="E22" s="117" t="inlineStr">
        <x:is>
          <x:t xml:space="preserve">New driver</x:t>
        </x:is>
      </x:c>
      <x:c r="F22" s="117" t="inlineStr">
        <x:is>
          <x:t xml:space="preserve">Feature Discovery</x:t>
        </x:is>
      </x:c>
      <x:c r="G22" s="117" t="inlineStr">
        <x:is>
          <x:t xml:space="preserve">Carousel</x:t>
        </x:is>
      </x:c>
      <x:c r="H22" s="117" t="inlineStr">
        <x:is>
          <x:t xml:space="preserve">The question people ask about speed camera alerts, answered simply.</x:t>
        </x:is>
      </x:c>
      <x:c r="I22" s="117" t="inlineStr">
        <x:is>
          <x:t xml:space="preserve">Carousel with one answer per slide; route overlay.</x:t>
        </x:is>
      </x:c>
      <x:c r="J22" s="117" t="inlineStr">
        <x:is>
          <x:t xml:space="preserve">Reduce confusion.</x:t>
        </x:is>
      </x:c>
      <x:c r="K22" s="117" t="inlineStr">
        <x:is>
          <x:t xml:space="preserve">Use the story to show speed pressure and missed road context and end with one practical takeaway.</x:t>
        </x:is>
      </x:c>
      <x:c r="L22" s="117" t="inlineStr">
        <x:is>
          <x:t xml:space="preserve">Try Msafiri for calmer speed awareness.</x:t>
        </x:is>
      </x:c>
      <x:c r="M22" s="117" t="inlineStr">
        <x:is>
          <x:t xml:space="preserve">route overlay; captions; app screen-record; branded end card</x:t>
        </x:is>
      </x:c>
      <x:c r="N22" s="117" t="inlineStr">
        <x:is>
          <x:t xml:space="preserve">High</x:t>
        </x:is>
      </x:c>
      <x:c r="O22" s="117" t="n">
        <x:v>3</x:v>
      </x:c>
      <x:c r="P22" s="117" t="n">
        <x:v>4</x:v>
      </x:c>
      <x:c r="Q22" s="117" t="n">
        <x:v>5</x:v>
      </x:c>
      <x:c r="R22" s="117" t="n">
        <x:v>3</x:v>
      </x:c>
      <x:c r="S22" s="117" t="n">
        <x:v>2</x:v>
      </x:c>
      <x:c r="T22" s="117" t="n">
        <x:f>O22+P22+Q22+S22-R22</x:f>
        <x:v>11</x:v>
      </x:c>
      <x:c r="U22" s="117" t="inlineStr">
        <x:is>
          <x:t xml:space="preserve">Compliance-first: never say “beat cameras” or encourage evasion.</x:t>
        </x:is>
      </x:c>
      <x:c r="V22" s="117" t="inlineStr">
        <x:is>
          <x:t xml:space="preserve">Cut into a 15-sec hook, a Story poll and a carousel slide if it gets saves/comments.</x:t>
        </x:is>
      </x:c>
    </x:row>
    <x:row r="23" ht="58" customHeight="1">
      <x:c r="A23" s="110" t="n">
        <x:v>19</x:v>
      </x:c>
      <x:c r="B23" s="110" t="inlineStr">
        <x:is>
          <x:t xml:space="preserve">Debate / Mythbusters</x:t>
        </x:is>
      </x:c>
      <x:c r="C23" s="110" t="inlineStr">
        <x:is>
          <x:t xml:space="preserve">Speed camera alerts</x:t>
        </x:is>
      </x:c>
      <x:c r="D23" s="110" t="inlineStr">
        <x:is>
          <x:t xml:space="preserve">Road Mythbusters</x:t>
        </x:is>
      </x:c>
      <x:c r="E23" s="110" t="inlineStr">
        <x:is>
          <x:t xml:space="preserve">Professional driver</x:t>
        </x:is>
      </x:c>
      <x:c r="F23" s="110" t="inlineStr">
        <x:is>
          <x:t xml:space="preserve">Engagement</x:t>
        </x:is>
      </x:c>
      <x:c r="G23" s="110" t="inlineStr">
        <x:is>
          <x:t xml:space="preserve">Story Poll</x:t>
        </x:is>
      </x:c>
      <x:c r="H23" s="110" t="inlineStr">
        <x:is>
          <x:t xml:space="preserve">Would you trust speed camera alerts on a normal weekday drive?</x:t>
        </x:is>
      </x:c>
      <x:c r="I23" s="110" t="inlineStr">
        <x:is>
          <x:t xml:space="preserve">Poll sticker + quick setup; driver reaction cut.</x:t>
        </x:is>
      </x:c>
      <x:c r="J23" s="110" t="inlineStr">
        <x:is>
          <x:t xml:space="preserve">Low-friction responses.</x:t>
        </x:is>
      </x:c>
      <x:c r="K23" s="110" t="inlineStr">
        <x:is>
          <x:t xml:space="preserve">Use the story to show speed pressure and missed road context and end with one practical takeaway.</x:t>
        </x:is>
      </x:c>
      <x:c r="L23" s="110" t="inlineStr">
        <x:is>
          <x:t xml:space="preserve">Try Msafiri for calmer speed awareness.</x:t>
        </x:is>
      </x:c>
      <x:c r="M23" s="110" t="inlineStr">
        <x:is>
          <x:t xml:space="preserve">driver reaction cut; captions; app screen-record; branded end card</x:t>
        </x:is>
      </x:c>
      <x:c r="N23" s="110" t="inlineStr">
        <x:is>
          <x:t xml:space="preserve">Low</x:t>
        </x:is>
      </x:c>
      <x:c r="O23" s="110" t="n">
        <x:v>4</x:v>
      </x:c>
      <x:c r="P23" s="110" t="n">
        <x:v>4</x:v>
      </x:c>
      <x:c r="Q23" s="110" t="n">
        <x:v>3</x:v>
      </x:c>
      <x:c r="R23" s="110" t="n">
        <x:v>1</x:v>
      </x:c>
      <x:c r="S23" s="110" t="n">
        <x:v>2</x:v>
      </x:c>
      <x:c r="T23" s="110" t="n">
        <x:f>O23+P23+Q23+S23-R23</x:f>
        <x:v>12</x:v>
      </x:c>
      <x:c r="U23" s="110" t="inlineStr">
        <x:is>
          <x:t xml:space="preserve">Compliance-first: never say “beat cameras” or encourage evasion.</x:t>
        </x:is>
      </x:c>
      <x:c r="V23" s="110" t="inlineStr">
        <x:is>
          <x:t xml:space="preserve">Turn best responses into Comment-to-Video and add to next week’s road-check queue.</x:t>
        </x:is>
      </x:c>
    </x:row>
    <x:row r="24" ht="58" customHeight="1">
      <x:c r="A24" s="117" t="n">
        <x:v>20</x:v>
      </x:c>
      <x:c r="B24" s="117" t="inlineStr">
        <x:is>
          <x:t xml:space="preserve">Road Intelligence</x:t>
        </x:is>
      </x:c>
      <x:c r="C24" s="117" t="inlineStr">
        <x:is>
          <x:t xml:space="preserve">Speed camera alerts</x:t>
        </x:is>
      </x:c>
      <x:c r="D24" s="117" t="inlineStr">
        <x:is>
          <x:t xml:space="preserve">Msafiri Explains</x:t>
        </x:is>
      </x:c>
      <x:c r="E24" s="117" t="inlineStr">
        <x:is>
          <x:t xml:space="preserve">Family driver</x:t>
        </x:is>
      </x:c>
      <x:c r="F24" s="117" t="inlineStr">
        <x:is>
          <x:t xml:space="preserve">Trust</x:t>
        </x:is>
      </x:c>
      <x:c r="G24" s="117" t="inlineStr">
        <x:is>
          <x:t xml:space="preserve">Short-form video</x:t>
        </x:is>
      </x:c>
      <x:c r="H24" s="117" t="inlineStr">
        <x:is>
          <x:t xml:space="preserve">The road habit that makes speed pressure and missed road context worse.</x:t>
        </x:is>
      </x:c>
      <x:c r="I24" s="117" t="inlineStr">
        <x:is>
          <x:t xml:space="preserve">Explainer with road B-roll; before/after calm drive.</x:t>
        </x:is>
      </x:c>
      <x:c r="J24" s="117" t="inlineStr">
        <x:is>
          <x:t xml:space="preserve">Teach without lecturing.</x:t>
        </x:is>
      </x:c>
      <x:c r="K24" s="117" t="inlineStr">
        <x:is>
          <x:t xml:space="preserve">Use the story to show speed pressure and missed road context and end with one practical takeaway.</x:t>
        </x:is>
      </x:c>
      <x:c r="L24" s="117" t="inlineStr">
        <x:is>
          <x:t xml:space="preserve">Try Msafiri for calmer speed awareness.</x:t>
        </x:is>
      </x:c>
      <x:c r="M24" s="117" t="inlineStr">
        <x:is>
          <x:t xml:space="preserve">before/after calm drive; captions; app screen-record; branded end card</x:t>
        </x:is>
      </x:c>
      <x:c r="N24" s="117" t="inlineStr">
        <x:is>
          <x:t xml:space="preserve">Medium</x:t>
        </x:is>
      </x:c>
      <x:c r="O24" s="117" t="n">
        <x:v>3</x:v>
      </x:c>
      <x:c r="P24" s="117" t="n">
        <x:v>5</x:v>
      </x:c>
      <x:c r="Q24" s="117" t="n">
        <x:v>3</x:v>
      </x:c>
      <x:c r="R24" s="117" t="n">
        <x:v>2</x:v>
      </x:c>
      <x:c r="S24" s="117" t="n">
        <x:v>2</x:v>
      </x:c>
      <x:c r="T24" s="117" t="n">
        <x:f>O24+P24+Q24+S24-R24</x:f>
        <x:v>11</x:v>
      </x:c>
      <x:c r="U24" s="117" t="inlineStr">
        <x:is>
          <x:t xml:space="preserve">Compliance-first: never say “beat cameras” or encourage evasion.</x:t>
        </x:is>
      </x:c>
      <x:c r="V24" s="117" t="inlineStr">
        <x:is>
          <x:t xml:space="preserve">Cut into a 15-sec hook, a Story poll and a carousel slide if it gets saves/comments.</x:t>
        </x:is>
      </x:c>
    </x:row>
    <x:row r="25" ht="58" customHeight="1">
      <x:c r="A25" s="110" t="n">
        <x:v>21</x:v>
      </x:c>
      <x:c r="B25" s="110" t="inlineStr">
        <x:is>
          <x:t xml:space="preserve">Community / UGC</x:t>
        </x:is>
      </x:c>
      <x:c r="C25" s="110" t="inlineStr">
        <x:is>
          <x:t xml:space="preserve">Speed camera alerts</x:t>
        </x:is>
      </x:c>
      <x:c r="D25" s="110" t="inlineStr">
        <x:is>
          <x:t xml:space="preserve">Ask a Kenyan Driver</x:t>
        </x:is>
      </x:c>
      <x:c r="E25" s="110" t="inlineStr">
        <x:is>
          <x:t xml:space="preserve">Daily Nairobi commuter</x:t>
        </x:is>
      </x:c>
      <x:c r="F25" s="110" t="inlineStr">
        <x:is>
          <x:t xml:space="preserve">Community</x:t>
        </x:is>
      </x:c>
      <x:c r="G25" s="110" t="inlineStr">
        <x:is>
          <x:t xml:space="preserve">Story Poll</x:t>
        </x:is>
      </x:c>
      <x:c r="H25" s="110" t="inlineStr">
        <x:is>
          <x:t xml:space="preserve">Choose our next test: speed camera alerts on a commute or a road trip?</x:t>
        </x:is>
      </x:c>
      <x:c r="I25" s="110" t="inlineStr">
        <x:is>
          <x:t xml:space="preserve">Two-option story poll; POV speed-limit reminder.</x:t>
        </x:is>
      </x:c>
      <x:c r="J25" s="110" t="inlineStr">
        <x:is>
          <x:t xml:space="preserve">Audience participation.</x:t>
        </x:is>
      </x:c>
      <x:c r="K25" s="110" t="inlineStr">
        <x:is>
          <x:t xml:space="preserve">Use the story to show speed pressure and missed road context and end with one practical takeaway.</x:t>
        </x:is>
      </x:c>
      <x:c r="L25" s="110" t="inlineStr">
        <x:is>
          <x:t xml:space="preserve">Try Msafiri for calmer speed awareness.</x:t>
        </x:is>
      </x:c>
      <x:c r="M25" s="110" t="inlineStr">
        <x:is>
          <x:t xml:space="preserve">POV speed-limit reminder; captions; app screen-record; branded end card</x:t>
        </x:is>
      </x:c>
      <x:c r="N25" s="110" t="inlineStr">
        <x:is>
          <x:t xml:space="preserve">High</x:t>
        </x:is>
      </x:c>
      <x:c r="O25" s="110" t="n">
        <x:v>3</x:v>
      </x:c>
      <x:c r="P25" s="110" t="n">
        <x:v>4</x:v>
      </x:c>
      <x:c r="Q25" s="110" t="n">
        <x:v>3</x:v>
      </x:c>
      <x:c r="R25" s="110" t="n">
        <x:v>3</x:v>
      </x:c>
      <x:c r="S25" s="110" t="n">
        <x:v>2</x:v>
      </x:c>
      <x:c r="T25" s="110" t="n">
        <x:f>O25+P25+Q25+S25-R25</x:f>
        <x:v>9</x:v>
      </x:c>
      <x:c r="U25" s="110" t="inlineStr">
        <x:is>
          <x:t xml:space="preserve">Compliance-first: never say “beat cameras” or encourage evasion.</x:t>
        </x:is>
      </x:c>
      <x:c r="V25" s="110" t="inlineStr">
        <x:is>
          <x:t xml:space="preserve">Turn best responses into Comment-to-Video and add to next week’s road-check queue.</x:t>
        </x:is>
      </x:c>
    </x:row>
    <x:row r="26" ht="58" customHeight="1">
      <x:c r="A26" s="117" t="n">
        <x:v>22</x:v>
      </x:c>
      <x:c r="B26" s="117" t="inlineStr">
        <x:is>
          <x:t xml:space="preserve">Product / Feature Proof</x:t>
        </x:is>
      </x:c>
      <x:c r="C26" s="117" t="inlineStr">
        <x:is>
          <x:t xml:space="preserve">Speed camera alerts</x:t>
        </x:is>
      </x:c>
      <x:c r="D26" s="117" t="inlineStr">
        <x:is>
          <x:t xml:space="preserve">Feature Combo</x:t>
        </x:is>
      </x:c>
      <x:c r="E26" s="117" t="inlineStr">
        <x:is>
          <x:t xml:space="preserve">New driver</x:t>
        </x:is>
      </x:c>
      <x:c r="F26" s="117" t="inlineStr">
        <x:is>
          <x:t xml:space="preserve">Conversion</x:t>
        </x:is>
      </x:c>
      <x:c r="G26" s="117" t="inlineStr">
        <x:is>
          <x:t xml:space="preserve">Short-form video</x:t>
        </x:is>
      </x:c>
      <x:c r="H26" s="117" t="inlineStr">
        <x:is>
          <x:t xml:space="preserve">Two Msafiri features that work better together when speed pressure and missed road context.</x:t>
        </x:is>
      </x:c>
      <x:c r="I26" s="117" t="inlineStr">
        <x:is>
          <x:t xml:space="preserve">UI + real drive + end card; split-screen commute.</x:t>
        </x:is>
      </x:c>
      <x:c r="J26" s="117" t="inlineStr">
        <x:is>
          <x:t xml:space="preserve">Feature bundling.</x:t>
        </x:is>
      </x:c>
      <x:c r="K26" s="117" t="inlineStr">
        <x:is>
          <x:t xml:space="preserve">Use the story to show speed pressure and missed road context and end with one practical takeaway.</x:t>
        </x:is>
      </x:c>
      <x:c r="L26" s="117" t="inlineStr">
        <x:is>
          <x:t xml:space="preserve">Try Msafiri for calmer speed awareness.</x:t>
        </x:is>
      </x:c>
      <x:c r="M26" s="117" t="inlineStr">
        <x:is>
          <x:t xml:space="preserve">split-screen commute; captions; app screen-record; branded end card</x:t>
        </x:is>
      </x:c>
      <x:c r="N26" s="117" t="inlineStr">
        <x:is>
          <x:t xml:space="preserve">Low</x:t>
        </x:is>
      </x:c>
      <x:c r="O26" s="117" t="n">
        <x:v>3</x:v>
      </x:c>
      <x:c r="P26" s="117" t="n">
        <x:v>4</x:v>
      </x:c>
      <x:c r="Q26" s="117" t="n">
        <x:v>5</x:v>
      </x:c>
      <x:c r="R26" s="117" t="n">
        <x:v>1</x:v>
      </x:c>
      <x:c r="S26" s="117" t="n">
        <x:v>2</x:v>
      </x:c>
      <x:c r="T26" s="117" t="n">
        <x:f>O26+P26+Q26+S26-R26</x:f>
        <x:v>13</x:v>
      </x:c>
      <x:c r="U26" s="117" t="inlineStr">
        <x:is>
          <x:t xml:space="preserve">Compliance-first: never say “beat cameras” or encourage evasion.</x:t>
        </x:is>
      </x:c>
      <x:c r="V26" s="117" t="inlineStr">
        <x:is>
          <x:t xml:space="preserve">Cut into a 15-sec hook, a Story poll and a carousel slide if it gets saves/comments.</x:t>
        </x:is>
      </x:c>
    </x:row>
    <x:row r="27" ht="58" customHeight="1">
      <x:c r="A27" s="110" t="n">
        <x:v>23</x:v>
      </x:c>
      <x:c r="B27" s="110" t="inlineStr">
        <x:is>
          <x:t xml:space="preserve">Education / Safety</x:t>
        </x:is>
      </x:c>
      <x:c r="C27" s="110" t="inlineStr">
        <x:is>
          <x:t xml:space="preserve">Speed camera alerts</x:t>
        </x:is>
      </x:c>
      <x:c r="D27" s="110" t="inlineStr">
        <x:is>
          <x:t xml:space="preserve">What Not To Do</x:t>
        </x:is>
      </x:c>
      <x:c r="E27" s="110" t="inlineStr">
        <x:is>
          <x:t xml:space="preserve">Professional driver</x:t>
        </x:is>
      </x:c>
      <x:c r="F27" s="110" t="inlineStr">
        <x:is>
          <x:t xml:space="preserve">Retention</x:t>
        </x:is>
      </x:c>
      <x:c r="G27" s="110" t="inlineStr">
        <x:is>
          <x:t xml:space="preserve">Short-form video</x:t>
        </x:is>
      </x:c>
      <x:c r="H27" s="110" t="inlineStr">
        <x:is>
          <x:t xml:space="preserve">Do not make this mistake when speed pressure and missed road context.</x:t>
        </x:is>
      </x:c>
      <x:c r="I27" s="110" t="inlineStr">
        <x:is>
          <x:t xml:space="preserve">Wrong vs right mini demo; route overlay.</x:t>
        </x:is>
      </x:c>
      <x:c r="J27" s="110" t="inlineStr">
        <x:is>
          <x:t xml:space="preserve">Memorable caution.</x:t>
        </x:is>
      </x:c>
      <x:c r="K27" s="110" t="inlineStr">
        <x:is>
          <x:t xml:space="preserve">Use the story to show speed pressure and missed road context and end with one practical takeaway.</x:t>
        </x:is>
      </x:c>
      <x:c r="L27" s="110" t="inlineStr">
        <x:is>
          <x:t xml:space="preserve">Try Msafiri for calmer speed awareness.</x:t>
        </x:is>
      </x:c>
      <x:c r="M27" s="110" t="inlineStr">
        <x:is>
          <x:t xml:space="preserve">route overlay; captions; app screen-record; branded end card</x:t>
        </x:is>
      </x:c>
      <x:c r="N27" s="110" t="inlineStr">
        <x:is>
          <x:t xml:space="preserve">Medium</x:t>
        </x:is>
      </x:c>
      <x:c r="O27" s="110" t="n">
        <x:v>3</x:v>
      </x:c>
      <x:c r="P27" s="110" t="n">
        <x:v>5</x:v>
      </x:c>
      <x:c r="Q27" s="110" t="n">
        <x:v>3</x:v>
      </x:c>
      <x:c r="R27" s="110" t="n">
        <x:v>2</x:v>
      </x:c>
      <x:c r="S27" s="110" t="n">
        <x:v>2</x:v>
      </x:c>
      <x:c r="T27" s="110" t="n">
        <x:f>O27+P27+Q27+S27-R27</x:f>
        <x:v>11</x:v>
      </x:c>
      <x:c r="U27" s="110" t="inlineStr">
        <x:is>
          <x:t xml:space="preserve">Compliance-first: never say “beat cameras” or encourage evasion.</x:t>
        </x:is>
      </x:c>
      <x:c r="V27" s="110" t="inlineStr">
        <x:is>
          <x:t xml:space="preserve">Cut into a 15-sec hook, a Story poll and a carousel slide if it gets saves/comments.</x:t>
        </x:is>
      </x:c>
    </x:row>
    <x:row r="28" ht="58" customHeight="1">
      <x:c r="A28" s="117" t="n">
        <x:v>24</x:v>
      </x:c>
      <x:c r="B28" s="117" t="inlineStr">
        <x:is>
          <x:t xml:space="preserve">Founder / BTS</x:t>
        </x:is>
      </x:c>
      <x:c r="C28" s="117" t="inlineStr">
        <x:is>
          <x:t xml:space="preserve">Speed camera alerts</x:t>
        </x:is>
      </x:c>
      <x:c r="D28" s="117" t="inlineStr">
        <x:is>
          <x:t xml:space="preserve">Founder Files</x:t>
        </x:is>
      </x:c>
      <x:c r="E28" s="117" t="inlineStr">
        <x:is>
          <x:t xml:space="preserve">Family driver</x:t>
        </x:is>
      </x:c>
      <x:c r="F28" s="117" t="inlineStr">
        <x:is>
          <x:t xml:space="preserve">Trust</x:t>
        </x:is>
      </x:c>
      <x:c r="G28" s="117" t="inlineStr">
        <x:is>
          <x:t xml:space="preserve">Founder-to-camera</x:t>
        </x:is>
      </x:c>
      <x:c r="H28" s="117" t="inlineStr">
        <x:is>
          <x:t xml:space="preserve">The most uncomfortable truth about building speed camera alerts.</x:t>
        </x:is>
      </x:c>
      <x:c r="I28" s="117" t="inlineStr">
        <x:is>
          <x:t xml:space="preserve">Founder honest reflection; driver reaction cut.</x:t>
        </x:is>
      </x:c>
      <x:c r="J28" s="117" t="inlineStr">
        <x:is>
          <x:t xml:space="preserve">Trust through honesty.</x:t>
        </x:is>
      </x:c>
      <x:c r="K28" s="117" t="inlineStr">
        <x:is>
          <x:t xml:space="preserve">Use the story to show speed pressure and missed road context and end with one practical takeaway.</x:t>
        </x:is>
      </x:c>
      <x:c r="L28" s="117" t="inlineStr">
        <x:is>
          <x:t xml:space="preserve">Try Msafiri for calmer speed awareness.</x:t>
        </x:is>
      </x:c>
      <x:c r="M28" s="117" t="inlineStr">
        <x:is>
          <x:t xml:space="preserve">driver reaction cut; captions; app screen-record; branded end card</x:t>
        </x:is>
      </x:c>
      <x:c r="N28" s="117" t="inlineStr">
        <x:is>
          <x:t xml:space="preserve">High</x:t>
        </x:is>
      </x:c>
      <x:c r="O28" s="117" t="n">
        <x:v>3</x:v>
      </x:c>
      <x:c r="P28" s="117" t="n">
        <x:v>4</x:v>
      </x:c>
      <x:c r="Q28" s="117" t="n">
        <x:v>3</x:v>
      </x:c>
      <x:c r="R28" s="117" t="n">
        <x:v>3</x:v>
      </x:c>
      <x:c r="S28" s="117" t="n">
        <x:v>2</x:v>
      </x:c>
      <x:c r="T28" s="117" t="n">
        <x:f>O28+P28+Q28+S28-R28</x:f>
        <x:v>9</x:v>
      </x:c>
      <x:c r="U28" s="117" t="inlineStr">
        <x:is>
          <x:t xml:space="preserve">Compliance-first: never say “beat cameras” or encourage evasion.</x:t>
        </x:is>
      </x:c>
      <x:c r="V28" s="117" t="inlineStr">
        <x:is>
          <x:t xml:space="preserve">Cut into a 15-sec hook, a Story poll and a carousel slide if it gets saves/comments.</x:t>
        </x:is>
      </x:c>
    </x:row>
    <x:row r="29" ht="58" customHeight="1">
      <x:c r="A29" s="110" t="n">
        <x:v>25</x:v>
      </x:c>
      <x:c r="B29" s="110" t="inlineStr">
        <x:is>
          <x:t xml:space="preserve">Road Intelligence</x:t>
        </x:is>
      </x:c>
      <x:c r="C29" s="110" t="inlineStr">
        <x:is>
          <x:t xml:space="preserve">Speed camera alerts</x:t>
        </x:is>
      </x:c>
      <x:c r="D29" s="110" t="inlineStr">
        <x:is>
          <x:t xml:space="preserve">Map vs Reality</x:t>
        </x:is>
      </x:c>
      <x:c r="E29" s="110" t="inlineStr">
        <x:is>
          <x:t xml:space="preserve">Daily Nairobi commuter</x:t>
        </x:is>
      </x:c>
      <x:c r="F29" s="110" t="inlineStr">
        <x:is>
          <x:t xml:space="preserve">Awareness</x:t>
        </x:is>
      </x:c>
      <x:c r="G29" s="110" t="inlineStr">
        <x:is>
          <x:t xml:space="preserve">POV Drive</x:t>
        </x:is>
      </x:c>
      <x:c r="H29" s="110" t="inlineStr">
        <x:is>
          <x:t xml:space="preserve">The map says one thing; the road says another.</x:t>
        </x:is>
      </x:c>
      <x:c r="I29" s="110" t="inlineStr">
        <x:is>
          <x:t xml:space="preserve">Map overlay + road footage; before/after calm drive.</x:t>
        </x:is>
      </x:c>
      <x:c r="J29" s="110" t="inlineStr">
        <x:is>
          <x:t xml:space="preserve">Road-intelligence authority.</x:t>
        </x:is>
      </x:c>
      <x:c r="K29" s="110" t="inlineStr">
        <x:is>
          <x:t xml:space="preserve">Use the story to show speed pressure and missed road context and end with one practical takeaway.</x:t>
        </x:is>
      </x:c>
      <x:c r="L29" s="110" t="inlineStr">
        <x:is>
          <x:t xml:space="preserve">Try Msafiri for calmer speed awareness.</x:t>
        </x:is>
      </x:c>
      <x:c r="M29" s="110" t="inlineStr">
        <x:is>
          <x:t xml:space="preserve">before/after calm drive; captions; app screen-record; branded end card</x:t>
        </x:is>
      </x:c>
      <x:c r="N29" s="110" t="inlineStr">
        <x:is>
          <x:t xml:space="preserve">Low</x:t>
        </x:is>
      </x:c>
      <x:c r="O29" s="110" t="n">
        <x:v>3</x:v>
      </x:c>
      <x:c r="P29" s="110" t="n">
        <x:v>5</x:v>
      </x:c>
      <x:c r="Q29" s="110" t="n">
        <x:v>3</x:v>
      </x:c>
      <x:c r="R29" s="110" t="n">
        <x:v>1</x:v>
      </x:c>
      <x:c r="S29" s="110" t="n">
        <x:v>2</x:v>
      </x:c>
      <x:c r="T29" s="110" t="n">
        <x:f>O29+P29+Q29+S29-R29</x:f>
        <x:v>12</x:v>
      </x:c>
      <x:c r="U29" s="110" t="inlineStr">
        <x:is>
          <x:t xml:space="preserve">Compliance-first: never say “beat cameras” or encourage evasion.</x:t>
        </x:is>
      </x:c>
      <x:c r="V29" s="110" t="inlineStr">
        <x:is>
          <x:t xml:space="preserve">Cut into a 15-sec hook, a Story poll and a carousel slide if it gets saves/comments.</x:t>
        </x:is>
      </x:c>
    </x:row>
    <x:row r="30" ht="58" customHeight="1">
      <x:c r="A30" s="117" t="n">
        <x:v>26</x:v>
      </x:c>
      <x:c r="B30" s="117" t="inlineStr">
        <x:is>
          <x:t xml:space="preserve">Product / Feature Proof</x:t>
        </x:is>
      </x:c>
      <x:c r="C30" s="117" t="inlineStr">
        <x:is>
          <x:t xml:space="preserve">Speed camera alerts</x:t>
        </x:is>
      </x:c>
      <x:c r="D30" s="117" t="inlineStr">
        <x:is>
          <x:t xml:space="preserve">One-Tap Test</x:t>
        </x:is>
      </x:c>
      <x:c r="E30" s="117" t="inlineStr">
        <x:is>
          <x:t xml:space="preserve">New driver</x:t>
        </x:is>
      </x:c>
      <x:c r="F30" s="117" t="inlineStr">
        <x:is>
          <x:t xml:space="preserve">Feature Discovery</x:t>
        </x:is>
      </x:c>
      <x:c r="G30" s="117" t="inlineStr">
        <x:is>
          <x:t xml:space="preserve">Screen-record Demo</x:t>
        </x:is>
      </x:c>
      <x:c r="H30" s="117" t="inlineStr">
        <x:is>
          <x:t xml:space="preserve">How fast can you set up speed camera alerts before leaving?</x:t>
        </x:is>
      </x:c>
      <x:c r="I30" s="117" t="inlineStr">
        <x:is>
          <x:t xml:space="preserve">Timer + UI taps; POV speed-limit reminder.</x:t>
        </x:is>
      </x:c>
      <x:c r="J30" s="117" t="inlineStr">
        <x:is>
          <x:t xml:space="preserve">Lower adoption friction.</x:t>
        </x:is>
      </x:c>
      <x:c r="K30" s="117" t="inlineStr">
        <x:is>
          <x:t xml:space="preserve">Use the story to show speed pressure and missed road context and end with one practical takeaway.</x:t>
        </x:is>
      </x:c>
      <x:c r="L30" s="117" t="inlineStr">
        <x:is>
          <x:t xml:space="preserve">Try Msafiri for calmer speed awareness.</x:t>
        </x:is>
      </x:c>
      <x:c r="M30" s="117" t="inlineStr">
        <x:is>
          <x:t xml:space="preserve">POV speed-limit reminder; captions; app screen-record; branded end card</x:t>
        </x:is>
      </x:c>
      <x:c r="N30" s="117" t="inlineStr">
        <x:is>
          <x:t xml:space="preserve">Medium</x:t>
        </x:is>
      </x:c>
      <x:c r="O30" s="117" t="n">
        <x:v>3</x:v>
      </x:c>
      <x:c r="P30" s="117" t="n">
        <x:v>4</x:v>
      </x:c>
      <x:c r="Q30" s="117" t="n">
        <x:v>5</x:v>
      </x:c>
      <x:c r="R30" s="117" t="n">
        <x:v>2</x:v>
      </x:c>
      <x:c r="S30" s="117" t="n">
        <x:v>2</x:v>
      </x:c>
      <x:c r="T30" s="117" t="n">
        <x:f>O30+P30+Q30+S30-R30</x:f>
        <x:v>12</x:v>
      </x:c>
      <x:c r="U30" s="117" t="inlineStr">
        <x:is>
          <x:t xml:space="preserve">Compliance-first: never say “beat cameras” or encourage evasion.</x:t>
        </x:is>
      </x:c>
      <x:c r="V30" s="117" t="inlineStr">
        <x:is>
          <x:t xml:space="preserve">Cut into a 15-sec hook, a Story poll and a carousel slide if it gets saves/comments.</x:t>
        </x:is>
      </x:c>
    </x:row>
    <x:row r="31" ht="58" customHeight="1">
      <x:c r="A31" s="110" t="n">
        <x:v>27</x:v>
      </x:c>
      <x:c r="B31" s="110" t="inlineStr">
        <x:is>
          <x:t xml:space="preserve">Community / UGC</x:t>
        </x:is>
      </x:c>
      <x:c r="C31" s="110" t="inlineStr">
        <x:is>
          <x:t xml:space="preserve">Speed camera alerts</x:t>
        </x:is>
      </x:c>
      <x:c r="D31" s="110" t="inlineStr">
        <x:is>
          <x:t xml:space="preserve">UGC Prompt</x:t>
        </x:is>
      </x:c>
      <x:c r="E31" s="110" t="inlineStr">
        <x:is>
          <x:t xml:space="preserve">Professional driver</x:t>
        </x:is>
      </x:c>
      <x:c r="F31" s="110" t="inlineStr">
        <x:is>
          <x:t xml:space="preserve">Community</x:t>
        </x:is>
      </x:c>
      <x:c r="G31" s="110" t="inlineStr">
        <x:is>
          <x:t xml:space="preserve">Static Graphic</x:t>
        </x:is>
      </x:c>
      <x:c r="H31" s="110" t="inlineStr">
        <x:is>
          <x:t xml:space="preserve">Tell us your speed camera alerts story and we may feature it.</x:t>
        </x:is>
      </x:c>
      <x:c r="I31" s="110" t="inlineStr">
        <x:is>
          <x:t xml:space="preserve">Branded prompt graphic; split-screen commute.</x:t>
        </x:is>
      </x:c>
      <x:c r="J31" s="110" t="inlineStr">
        <x:is>
          <x:t xml:space="preserve">User-generated content pipeline.</x:t>
        </x:is>
      </x:c>
      <x:c r="K31" s="110" t="inlineStr">
        <x:is>
          <x:t xml:space="preserve">Use the story to show speed pressure and missed road context and end with one practical takeaway.</x:t>
        </x:is>
      </x:c>
      <x:c r="L31" s="110" t="inlineStr">
        <x:is>
          <x:t xml:space="preserve">Try Msafiri for calmer speed awareness.</x:t>
        </x:is>
      </x:c>
      <x:c r="M31" s="110" t="inlineStr">
        <x:is>
          <x:t xml:space="preserve">split-screen commute; captions; app screen-record; branded end card</x:t>
        </x:is>
      </x:c>
      <x:c r="N31" s="110" t="inlineStr">
        <x:is>
          <x:t xml:space="preserve">High</x:t>
        </x:is>
      </x:c>
      <x:c r="O31" s="110" t="n">
        <x:v>3</x:v>
      </x:c>
      <x:c r="P31" s="110" t="n">
        <x:v>4</x:v>
      </x:c>
      <x:c r="Q31" s="110" t="n">
        <x:v>3</x:v>
      </x:c>
      <x:c r="R31" s="110" t="n">
        <x:v>3</x:v>
      </x:c>
      <x:c r="S31" s="110" t="n">
        <x:v>2</x:v>
      </x:c>
      <x:c r="T31" s="110" t="n">
        <x:f>O31+P31+Q31+S31-R31</x:f>
        <x:v>9</x:v>
      </x:c>
      <x:c r="U31" s="110" t="inlineStr">
        <x:is>
          <x:t xml:space="preserve">Compliance-first: never say “beat cameras” or encourage evasion.</x:t>
        </x:is>
      </x:c>
      <x:c r="V31" s="110" t="inlineStr">
        <x:is>
          <x:t xml:space="preserve">Turn best responses into Comment-to-Video and add to next week’s road-check queue.</x:t>
        </x:is>
      </x:c>
    </x:row>
    <x:row r="32" ht="58" customHeight="1">
      <x:c r="A32" s="117" t="n">
        <x:v>28</x:v>
      </x:c>
      <x:c r="B32" s="117" t="inlineStr">
        <x:is>
          <x:t xml:space="preserve">Seasonal Campaign</x:t>
        </x:is>
      </x:c>
      <x:c r="C32" s="117" t="inlineStr">
        <x:is>
          <x:t xml:space="preserve">Speed camera alerts</x:t>
        </x:is>
      </x:c>
      <x:c r="D32" s="117" t="inlineStr">
        <x:is>
          <x:t xml:space="preserve">End-Year Road Prep</x:t>
        </x:is>
      </x:c>
      <x:c r="E32" s="117" t="inlineStr">
        <x:is>
          <x:t xml:space="preserve">Family driver</x:t>
        </x:is>
      </x:c>
      <x:c r="F32" s="117" t="inlineStr">
        <x:is>
          <x:t xml:space="preserve">Conversion</x:t>
        </x:is>
      </x:c>
      <x:c r="G32" s="117" t="inlineStr">
        <x:is>
          <x:t xml:space="preserve">Hero / Reel</x:t>
        </x:is>
      </x:c>
      <x:c r="H32" s="117" t="inlineStr">
        <x:is>
          <x:t xml:space="preserve">Before the December drive, open Msafiri and check this.</x:t>
        </x:is>
      </x:c>
      <x:c r="I32" s="117" t="inlineStr">
        <x:is>
          <x:t xml:space="preserve">December packing + app + road POV; route overlay.</x:t>
        </x:is>
      </x:c>
      <x:c r="J32" s="117" t="inlineStr">
        <x:is>
          <x:t xml:space="preserve">Seasonal conversion.</x:t>
        </x:is>
      </x:c>
      <x:c r="K32" s="117" t="inlineStr">
        <x:is>
          <x:t xml:space="preserve">Use the story to show speed pressure and missed road context and end with one practical takeaway.</x:t>
        </x:is>
      </x:c>
      <x:c r="L32" s="117" t="inlineStr">
        <x:is>
          <x:t xml:space="preserve">Try Msafiri for calmer speed awareness.</x:t>
        </x:is>
      </x:c>
      <x:c r="M32" s="117" t="inlineStr">
        <x:is>
          <x:t xml:space="preserve">route overlay; captions; app screen-record; branded end card</x:t>
        </x:is>
      </x:c>
      <x:c r="N32" s="117" t="inlineStr">
        <x:is>
          <x:t xml:space="preserve">Low</x:t>
        </x:is>
      </x:c>
      <x:c r="O32" s="117" t="n">
        <x:v>4</x:v>
      </x:c>
      <x:c r="P32" s="117" t="n">
        <x:v>4</x:v>
      </x:c>
      <x:c r="Q32" s="117" t="n">
        <x:v>5</x:v>
      </x:c>
      <x:c r="R32" s="117" t="n">
        <x:v>1</x:v>
      </x:c>
      <x:c r="S32" s="117" t="n">
        <x:v>4</x:v>
      </x:c>
      <x:c r="T32" s="117" t="n">
        <x:f>O32+P32+Q32+S32-R32</x:f>
        <x:v>16</x:v>
      </x:c>
      <x:c r="U32" s="117" t="inlineStr">
        <x:is>
          <x:t xml:space="preserve">Compliance-first: never say “beat cameras” or encourage evasion.</x:t>
        </x:is>
      </x:c>
      <x:c r="V32" s="117" t="inlineStr">
        <x:is>
          <x:t xml:space="preserve">Cut into a 15-sec hook, a Story poll and a carousel slide if it gets saves/comments.</x:t>
        </x:is>
      </x:c>
    </x:row>
    <x:row r="33" ht="58" customHeight="1">
      <x:c r="A33" s="110" t="n">
        <x:v>29</x:v>
      </x:c>
      <x:c r="B33" s="110" t="inlineStr">
        <x:is>
          <x:t xml:space="preserve">Road Intelligence</x:t>
        </x:is>
      </x:c>
      <x:c r="C33" s="110" t="inlineStr">
        <x:is>
          <x:t xml:space="preserve">Built-in Dashcam</x:t>
        </x:is>
      </x:c>
      <x:c r="D33" s="110" t="inlineStr">
        <x:is>
          <x:t xml:space="preserve">Msafiri Road Check</x:t>
        </x:is>
      </x:c>
      <x:c r="E33" s="110" t="inlineStr">
        <x:is>
          <x:t xml:space="preserve">Car owner</x:t>
        </x:is>
      </x:c>
      <x:c r="F33" s="110" t="inlineStr">
        <x:is>
          <x:t xml:space="preserve">Awareness</x:t>
        </x:is>
      </x:c>
      <x:c r="G33" s="110" t="inlineStr">
        <x:is>
          <x:t xml:space="preserve">POV Drive</x:t>
        </x:is>
      </x:c>
      <x:c r="H33" s="110" t="inlineStr">
        <x:is>
          <x:t xml:space="preserve">We drove a long-distance route to see where built-in dashcam actually helps.</x:t>
        </x:is>
      </x:c>
      <x:c r="I33" s="110" t="inlineStr">
        <x:is>
          <x:t xml:space="preserve">Road POV with 3 marked moments; phone mount setup.</x:t>
        </x:is>
      </x:c>
      <x:c r="J33" s="110" t="inlineStr">
        <x:is>
          <x:t xml:space="preserve">A practical route lesson people can save.</x:t>
        </x:is>
      </x:c>
      <x:c r="K33" s="110" t="inlineStr">
        <x:is>
          <x:t xml:space="preserve">Use the story to show conflicting stories after an incident and end with one practical takeaway.</x:t>
        </x:is>
      </x:c>
      <x:c r="L33" s="110" t="inlineStr">
        <x:is>
          <x:t xml:space="preserve">Try Msafiri Dashcam on your next drive.</x:t>
        </x:is>
      </x:c>
      <x:c r="M33" s="110" t="inlineStr">
        <x:is>
          <x:t xml:space="preserve">phone mount setup; captions; app screen-record; branded end card</x:t>
        </x:is>
      </x:c>
      <x:c r="N33" s="110" t="inlineStr">
        <x:is>
          <x:t xml:space="preserve">Medium</x:t>
        </x:is>
      </x:c>
      <x:c r="O33" s="110" t="n">
        <x:v>3</x:v>
      </x:c>
      <x:c r="P33" s="110" t="n">
        <x:v>5</x:v>
      </x:c>
      <x:c r="Q33" s="110" t="n">
        <x:v>3</x:v>
      </x:c>
      <x:c r="R33" s="110" t="n">
        <x:v>2</x:v>
      </x:c>
      <x:c r="S33" s="110" t="n">
        <x:v>2</x:v>
      </x:c>
      <x:c r="T33" s="110" t="n">
        <x:f>O33+P33+Q33+S33-R33</x:f>
        <x:v>11</x:v>
      </x:c>
      <x:c r="U33" s="110" t="inlineStr">
        <x:is>
          <x:t xml:space="preserve">Do not imply legal/insurance guarantees.</x:t>
        </x:is>
      </x:c>
      <x:c r="V33" s="110" t="inlineStr">
        <x:is>
          <x:t xml:space="preserve">Cut into a 15-sec hook, a Story poll and a carousel slide if it gets saves/comments.</x:t>
        </x:is>
      </x:c>
    </x:row>
    <x:row r="34" ht="58" customHeight="1">
      <x:c r="A34" s="117" t="n">
        <x:v>30</x:v>
      </x:c>
      <x:c r="B34" s="117" t="inlineStr">
        <x:is>
          <x:t xml:space="preserve">Product / Feature Proof</x:t>
        </x:is>
      </x:c>
      <x:c r="C34" s="117" t="inlineStr">
        <x:is>
          <x:t xml:space="preserve">Built-in Dashcam</x:t>
        </x:is>
      </x:c>
      <x:c r="D34" s="117" t="inlineStr">
        <x:is>
          <x:t xml:space="preserve">Feature in the Wild</x:t>
        </x:is>
      </x:c>
      <x:c r="E34" s="117" t="inlineStr">
        <x:is>
          <x:t xml:space="preserve">Professional driver</x:t>
        </x:is>
      </x:c>
      <x:c r="F34" s="117" t="inlineStr">
        <x:is>
          <x:t xml:space="preserve">Feature Discovery</x:t>
        </x:is>
      </x:c>
      <x:c r="G34" s="117" t="inlineStr">
        <x:is>
          <x:t xml:space="preserve">Screen-record Demo</x:t>
        </x:is>
      </x:c>
      <x:c r="H34" s="117" t="inlineStr">
        <x:is>
          <x:t xml:space="preserve">Built-in Dashcam in 30 seconds: here is the moment it becomes useful.</x:t>
        </x:is>
      </x:c>
      <x:c r="I34" s="117" t="inlineStr">
        <x:is>
          <x:t xml:space="preserve">Phone screen + real-world cutaway; dashcam replay.</x:t>
        </x:is>
      </x:c>
      <x:c r="J34" s="117" t="inlineStr">
        <x:is>
          <x:t xml:space="preserve">Feature clarity without a hard sell.</x:t>
        </x:is>
      </x:c>
      <x:c r="K34" s="117" t="inlineStr">
        <x:is>
          <x:t xml:space="preserve">Use the story to show conflicting stories after an incident and end with one practical takeaway.</x:t>
        </x:is>
      </x:c>
      <x:c r="L34" s="117" t="inlineStr">
        <x:is>
          <x:t xml:space="preserve">Try Msafiri Dashcam on your next drive.</x:t>
        </x:is>
      </x:c>
      <x:c r="M34" s="117" t="inlineStr">
        <x:is>
          <x:t xml:space="preserve">dashcam replay; captions; app screen-record; branded end card</x:t>
        </x:is>
      </x:c>
      <x:c r="N34" s="117" t="inlineStr">
        <x:is>
          <x:t xml:space="preserve">High</x:t>
        </x:is>
      </x:c>
      <x:c r="O34" s="117" t="n">
        <x:v>3</x:v>
      </x:c>
      <x:c r="P34" s="117" t="n">
        <x:v>4</x:v>
      </x:c>
      <x:c r="Q34" s="117" t="n">
        <x:v>5</x:v>
      </x:c>
      <x:c r="R34" s="117" t="n">
        <x:v>3</x:v>
      </x:c>
      <x:c r="S34" s="117" t="n">
        <x:v>2</x:v>
      </x:c>
      <x:c r="T34" s="117" t="n">
        <x:f>O34+P34+Q34+S34-R34</x:f>
        <x:v>11</x:v>
      </x:c>
      <x:c r="U34" s="117" t="inlineStr">
        <x:is>
          <x:t xml:space="preserve">Do not imply legal/insurance guarantees.</x:t>
        </x:is>
      </x:c>
      <x:c r="V34" s="117" t="inlineStr">
        <x:is>
          <x:t xml:space="preserve">Cut into a 15-sec hook, a Story poll and a carousel slide if it gets saves/comments.</x:t>
        </x:is>
      </x:c>
    </x:row>
    <x:row r="35" ht="58" customHeight="1">
      <x:c r="A35" s="110" t="n">
        <x:v>31</x:v>
      </x:c>
      <x:c r="B35" s="110" t="inlineStr">
        <x:is>
          <x:t xml:space="preserve">Kenyan Driving Reality</x:t>
        </x:is>
      </x:c>
      <x:c r="C35" s="110" t="inlineStr">
        <x:is>
          <x:t xml:space="preserve">Built-in Dashcam</x:t>
        </x:is>
      </x:c>
      <x:c r="D35" s="110" t="inlineStr">
        <x:is>
          <x:t xml:space="preserve">Kenyan Driver Problems</x:t>
        </x:is>
      </x:c>
      <x:c r="E35" s="110" t="inlineStr">
        <x:is>
          <x:t xml:space="preserve">Daily Nairobi commuter</x:t>
        </x:is>
      </x:c>
      <x:c r="F35" s="110" t="inlineStr">
        <x:is>
          <x:t xml:space="preserve">Engagement</x:t>
        </x:is>
      </x:c>
      <x:c r="G35" s="110" t="inlineStr">
        <x:is>
          <x:t xml:space="preserve">Skit</x:t>
        </x:is>
      </x:c>
      <x:c r="H35" s="110" t="inlineStr">
        <x:is>
          <x:t xml:space="preserve">POV: conflicting stories after an incident and everyone in the car has an opinion.</x:t>
        </x:is>
      </x:c>
      <x:c r="I35" s="110" t="inlineStr">
        <x:is>
          <x:t xml:space="preserve">Fast skit with driver/passenger tension; simulated parking incident.</x:t>
        </x:is>
      </x:c>
      <x:c r="J35" s="110" t="inlineStr">
        <x:is>
          <x:t xml:space="preserve">Relatability and shares.</x:t>
        </x:is>
      </x:c>
      <x:c r="K35" s="110" t="inlineStr">
        <x:is>
          <x:t xml:space="preserve">Use the story to show conflicting stories after an incident and end with one practical takeaway.</x:t>
        </x:is>
      </x:c>
      <x:c r="L35" s="110" t="inlineStr">
        <x:is>
          <x:t xml:space="preserve">Try Msafiri Dashcam on your next drive.</x:t>
        </x:is>
      </x:c>
      <x:c r="M35" s="110" t="inlineStr">
        <x:is>
          <x:t xml:space="preserve">simulated parking incident; captions; app screen-record; branded end card</x:t>
        </x:is>
      </x:c>
      <x:c r="N35" s="110" t="inlineStr">
        <x:is>
          <x:t xml:space="preserve">Low</x:t>
        </x:is>
      </x:c>
      <x:c r="O35" s="110" t="n">
        <x:v>4</x:v>
      </x:c>
      <x:c r="P35" s="110" t="n">
        <x:v>4</x:v>
      </x:c>
      <x:c r="Q35" s="110" t="n">
        <x:v>3</x:v>
      </x:c>
      <x:c r="R35" s="110" t="n">
        <x:v>1</x:v>
      </x:c>
      <x:c r="S35" s="110" t="n">
        <x:v>2</x:v>
      </x:c>
      <x:c r="T35" s="110" t="n">
        <x:f>O35+P35+Q35+S35-R35</x:f>
        <x:v>12</x:v>
      </x:c>
      <x:c r="U35" s="110" t="inlineStr">
        <x:is>
          <x:t xml:space="preserve">Do not imply legal/insurance guarantees.</x:t>
        </x:is>
      </x:c>
      <x:c r="V35" s="110" t="inlineStr">
        <x:is>
          <x:t xml:space="preserve">Cut into a 15-sec hook, a Story poll and a carousel slide if it gets saves/comments.</x:t>
        </x:is>
      </x:c>
    </x:row>
    <x:row r="36" ht="58" customHeight="1">
      <x:c r="A36" s="117" t="n">
        <x:v>32</x:v>
      </x:c>
      <x:c r="B36" s="117" t="inlineStr">
        <x:is>
          <x:t xml:space="preserve">Education / Safety</x:t>
        </x:is>
      </x:c>
      <x:c r="C36" s="117" t="inlineStr">
        <x:is>
          <x:t xml:space="preserve">Built-in Dashcam</x:t>
        </x:is>
      </x:c>
      <x:c r="D36" s="117" t="inlineStr">
        <x:is>
          <x:t xml:space="preserve">Before You Drive</x:t>
        </x:is>
      </x:c>
      <x:c r="E36" s="117" t="inlineStr">
        <x:is>
          <x:t xml:space="preserve">Family driver</x:t>
        </x:is>
      </x:c>
      <x:c r="F36" s="117" t="inlineStr">
        <x:is>
          <x:t xml:space="preserve">Retention</x:t>
        </x:is>
      </x:c>
      <x:c r="G36" s="117" t="inlineStr">
        <x:is>
          <x:t xml:space="preserve">Checklist Reel</x:t>
        </x:is>
      </x:c>
      <x:c r="H36" s="117" t="inlineStr">
        <x:is>
          <x:t xml:space="preserve">Save this before a garage visit: 3 things to check.</x:t>
        </x:is>
      </x:c>
      <x:c r="I36" s="117" t="inlineStr">
        <x:is>
          <x:t xml:space="preserve">Checklist overlay with hands-on shots; split-screen proof.</x:t>
        </x:is>
      </x:c>
      <x:c r="J36" s="117" t="inlineStr">
        <x:is>
          <x:t xml:space="preserve">A saveable pre-drive behavior.</x:t>
        </x:is>
      </x:c>
      <x:c r="K36" s="117" t="inlineStr">
        <x:is>
          <x:t xml:space="preserve">Use the story to show conflicting stories after an incident and end with one practical takeaway.</x:t>
        </x:is>
      </x:c>
      <x:c r="L36" s="117" t="inlineStr">
        <x:is>
          <x:t xml:space="preserve">Try Msafiri Dashcam on your next drive.</x:t>
        </x:is>
      </x:c>
      <x:c r="M36" s="117" t="inlineStr">
        <x:is>
          <x:t xml:space="preserve">split-screen proof; captions; app screen-record; branded end card</x:t>
        </x:is>
      </x:c>
      <x:c r="N36" s="117" t="inlineStr">
        <x:is>
          <x:t xml:space="preserve">Medium</x:t>
        </x:is>
      </x:c>
      <x:c r="O36" s="117" t="n">
        <x:v>3</x:v>
      </x:c>
      <x:c r="P36" s="117" t="n">
        <x:v>5</x:v>
      </x:c>
      <x:c r="Q36" s="117" t="n">
        <x:v>3</x:v>
      </x:c>
      <x:c r="R36" s="117" t="n">
        <x:v>2</x:v>
      </x:c>
      <x:c r="S36" s="117" t="n">
        <x:v>2</x:v>
      </x:c>
      <x:c r="T36" s="117" t="n">
        <x:f>O36+P36+Q36+S36-R36</x:f>
        <x:v>11</x:v>
      </x:c>
      <x:c r="U36" s="117" t="inlineStr">
        <x:is>
          <x:t xml:space="preserve">Do not imply legal/insurance guarantees.</x:t>
        </x:is>
      </x:c>
      <x:c r="V36" s="117" t="inlineStr">
        <x:is>
          <x:t xml:space="preserve">Cut into a 15-sec hook, a Story poll and a carousel slide if it gets saves/comments.</x:t>
        </x:is>
      </x:c>
    </x:row>
    <x:row r="37" ht="58" customHeight="1">
      <x:c r="A37" s="110" t="n">
        <x:v>33</x:v>
      </x:c>
      <x:c r="B37" s="110" t="inlineStr">
        <x:is>
          <x:t xml:space="preserve">Founder / BTS</x:t>
        </x:is>
      </x:c>
      <x:c r="C37" s="110" t="inlineStr">
        <x:is>
          <x:t xml:space="preserve">Built-in Dashcam</x:t>
        </x:is>
      </x:c>
      <x:c r="D37" s="110" t="inlineStr">
        <x:is>
          <x:t xml:space="preserve">Founder Files</x:t>
        </x:is>
      </x:c>
      <x:c r="E37" s="110" t="inlineStr">
        <x:is>
          <x:t xml:space="preserve">Car owner</x:t>
        </x:is>
      </x:c>
      <x:c r="F37" s="110" t="inlineStr">
        <x:is>
          <x:t xml:space="preserve">Trust</x:t>
        </x:is>
      </x:c>
      <x:c r="G37" s="110" t="inlineStr">
        <x:is>
          <x:t xml:space="preserve">Founder-to-camera</x:t>
        </x:is>
      </x:c>
      <x:c r="H37" s="110" t="inlineStr">
        <x:is>
          <x:t xml:space="preserve">Peter explains why built-in dashcam belongs in a Kenyan driving app.</x:t>
        </x:is>
      </x:c>
      <x:c r="I37" s="110" t="inlineStr">
        <x:is>
          <x:t xml:space="preserve">Peter in car + product cutaway; night-drive clip.</x:t>
        </x:is>
      </x:c>
      <x:c r="J37" s="110" t="inlineStr">
        <x:is>
          <x:t xml:space="preserve">Founder trust and mission clarity.</x:t>
        </x:is>
      </x:c>
      <x:c r="K37" s="110" t="inlineStr">
        <x:is>
          <x:t xml:space="preserve">Use the story to show conflicting stories after an incident and end with one practical takeaway.</x:t>
        </x:is>
      </x:c>
      <x:c r="L37" s="110" t="inlineStr">
        <x:is>
          <x:t xml:space="preserve">Try Msafiri Dashcam on your next drive.</x:t>
        </x:is>
      </x:c>
      <x:c r="M37" s="110" t="inlineStr">
        <x:is>
          <x:t xml:space="preserve">night-drive clip; captions; app screen-record; branded end card</x:t>
        </x:is>
      </x:c>
      <x:c r="N37" s="110" t="inlineStr">
        <x:is>
          <x:t xml:space="preserve">High</x:t>
        </x:is>
      </x:c>
      <x:c r="O37" s="110" t="n">
        <x:v>3</x:v>
      </x:c>
      <x:c r="P37" s="110" t="n">
        <x:v>4</x:v>
      </x:c>
      <x:c r="Q37" s="110" t="n">
        <x:v>3</x:v>
      </x:c>
      <x:c r="R37" s="110" t="n">
        <x:v>3</x:v>
      </x:c>
      <x:c r="S37" s="110" t="n">
        <x:v>2</x:v>
      </x:c>
      <x:c r="T37" s="110" t="n">
        <x:f>O37+P37+Q37+S37-R37</x:f>
        <x:v>9</x:v>
      </x:c>
      <x:c r="U37" s="110" t="inlineStr">
        <x:is>
          <x:t xml:space="preserve">Do not imply legal/insurance guarantees.</x:t>
        </x:is>
      </x:c>
      <x:c r="V37" s="110" t="inlineStr">
        <x:is>
          <x:t xml:space="preserve">Cut into a 15-sec hook, a Story poll and a carousel slide if it gets saves/comments.</x:t>
        </x:is>
      </x:c>
    </x:row>
    <x:row r="38" ht="58" customHeight="1">
      <x:c r="A38" s="117" t="n">
        <x:v>34</x:v>
      </x:c>
      <x:c r="B38" s="117" t="inlineStr">
        <x:is>
          <x:t xml:space="preserve">Debate / Mythbusters</x:t>
        </x:is>
      </x:c>
      <x:c r="C38" s="117" t="inlineStr">
        <x:is>
          <x:t xml:space="preserve">Built-in Dashcam</x:t>
        </x:is>
      </x:c>
      <x:c r="D38" s="117" t="inlineStr">
        <x:is>
          <x:t xml:space="preserve">Road Mythbusters</x:t>
        </x:is>
      </x:c>
      <x:c r="E38" s="117" t="inlineStr">
        <x:is>
          <x:t xml:space="preserve">Professional driver</x:t>
        </x:is>
      </x:c>
      <x:c r="F38" s="117" t="inlineStr">
        <x:is>
          <x:t xml:space="preserve">Engagement</x:t>
        </x:is>
      </x:c>
      <x:c r="G38" s="117" t="inlineStr">
        <x:is>
          <x:t xml:space="preserve">Short-form video</x:t>
        </x:is>
      </x:c>
      <x:c r="H38" s="117" t="inlineStr">
        <x:is>
          <x:t xml:space="preserve">Hot take: every daily driver should have video evidence, even for short trips..</x:t>
        </x:is>
      </x:c>
      <x:c r="I38" s="117" t="inlineStr">
        <x:is>
          <x:t xml:space="preserve">Claim vs reality split screen; phone mount setup.</x:t>
        </x:is>
      </x:c>
      <x:c r="J38" s="117" t="inlineStr">
        <x:is>
          <x:t xml:space="preserve">Controlled comments and debate.</x:t>
        </x:is>
      </x:c>
      <x:c r="K38" s="117" t="inlineStr">
        <x:is>
          <x:t xml:space="preserve">Use the story to show conflicting stories after an incident and end with one practical takeaway.</x:t>
        </x:is>
      </x:c>
      <x:c r="L38" s="117" t="inlineStr">
        <x:is>
          <x:t xml:space="preserve">Try Msafiri Dashcam on your next drive.</x:t>
        </x:is>
      </x:c>
      <x:c r="M38" s="117" t="inlineStr">
        <x:is>
          <x:t xml:space="preserve">phone mount setup; captions; app screen-record; branded end card</x:t>
        </x:is>
      </x:c>
      <x:c r="N38" s="117" t="inlineStr">
        <x:is>
          <x:t xml:space="preserve">Low</x:t>
        </x:is>
      </x:c>
      <x:c r="O38" s="117" t="n">
        <x:v>4</x:v>
      </x:c>
      <x:c r="P38" s="117" t="n">
        <x:v>4</x:v>
      </x:c>
      <x:c r="Q38" s="117" t="n">
        <x:v>3</x:v>
      </x:c>
      <x:c r="R38" s="117" t="n">
        <x:v>1</x:v>
      </x:c>
      <x:c r="S38" s="117" t="n">
        <x:v>2</x:v>
      </x:c>
      <x:c r="T38" s="117" t="n">
        <x:f>O38+P38+Q38+S38-R38</x:f>
        <x:v>12</x:v>
      </x:c>
      <x:c r="U38" s="117" t="inlineStr">
        <x:is>
          <x:t xml:space="preserve">Do not imply legal/insurance guarantees.</x:t>
        </x:is>
      </x:c>
      <x:c r="V38" s="117" t="inlineStr">
        <x:is>
          <x:t xml:space="preserve">Cut into a 15-sec hook, a Story poll and a carousel slide if it gets saves/comments.</x:t>
        </x:is>
      </x:c>
    </x:row>
    <x:row r="39" ht="58" customHeight="1">
      <x:c r="A39" s="110" t="n">
        <x:v>35</x:v>
      </x:c>
      <x:c r="B39" s="110" t="inlineStr">
        <x:is>
          <x:t xml:space="preserve">Community / UGC</x:t>
        </x:is>
      </x:c>
      <x:c r="C39" s="110" t="inlineStr">
        <x:is>
          <x:t xml:space="preserve">Built-in Dashcam</x:t>
        </x:is>
      </x:c>
      <x:c r="D39" s="110" t="inlineStr">
        <x:is>
          <x:t xml:space="preserve">Ask a Kenyan Driver</x:t>
        </x:is>
      </x:c>
      <x:c r="E39" s="110" t="inlineStr">
        <x:is>
          <x:t xml:space="preserve">Daily Nairobi commuter</x:t>
        </x:is>
      </x:c>
      <x:c r="F39" s="110" t="inlineStr">
        <x:is>
          <x:t xml:space="preserve">Community</x:t>
        </x:is>
      </x:c>
      <x:c r="G39" s="110" t="inlineStr">
        <x:is>
          <x:t xml:space="preserve">Street Interview</x:t>
        </x:is>
      </x:c>
      <x:c r="H39" s="110" t="inlineStr">
        <x:is>
          <x:t xml:space="preserve">We asked drivers: have you ever wished you had recorded what happened?</x:t>
        </x:is>
      </x:c>
      <x:c r="I39" s="110" t="inlineStr">
        <x:is>
          <x:t xml:space="preserve">Street answers + subtitle template; dashcam replay.</x:t>
        </x:is>
      </x:c>
      <x:c r="J39" s="110" t="inlineStr">
        <x:is>
          <x:t xml:space="preserve">Community stories and future ideas.</x:t>
        </x:is>
      </x:c>
      <x:c r="K39" s="110" t="inlineStr">
        <x:is>
          <x:t xml:space="preserve">Use the story to show conflicting stories after an incident and end with one practical takeaway.</x:t>
        </x:is>
      </x:c>
      <x:c r="L39" s="110" t="inlineStr">
        <x:is>
          <x:t xml:space="preserve">Try Msafiri Dashcam on your next drive.</x:t>
        </x:is>
      </x:c>
      <x:c r="M39" s="110" t="inlineStr">
        <x:is>
          <x:t xml:space="preserve">dashcam replay; captions; app screen-record; branded end card</x:t>
        </x:is>
      </x:c>
      <x:c r="N39" s="110" t="inlineStr">
        <x:is>
          <x:t xml:space="preserve">Medium</x:t>
        </x:is>
      </x:c>
      <x:c r="O39" s="110" t="n">
        <x:v>3</x:v>
      </x:c>
      <x:c r="P39" s="110" t="n">
        <x:v>4</x:v>
      </x:c>
      <x:c r="Q39" s="110" t="n">
        <x:v>3</x:v>
      </x:c>
      <x:c r="R39" s="110" t="n">
        <x:v>2</x:v>
      </x:c>
      <x:c r="S39" s="110" t="n">
        <x:v>2</x:v>
      </x:c>
      <x:c r="T39" s="110" t="n">
        <x:f>O39+P39+Q39+S39-R39</x:f>
        <x:v>10</x:v>
      </x:c>
      <x:c r="U39" s="110" t="inlineStr">
        <x:is>
          <x:t xml:space="preserve">Do not imply legal/insurance guarantees.</x:t>
        </x:is>
      </x:c>
      <x:c r="V39" s="110" t="inlineStr">
        <x:is>
          <x:t xml:space="preserve">Turn best responses into Comment-to-Video and add to next week’s road-check queue.</x:t>
        </x:is>
      </x:c>
    </x:row>
    <x:row r="40" ht="58" customHeight="1">
      <x:c r="A40" s="117" t="n">
        <x:v>36</x:v>
      </x:c>
      <x:c r="B40" s="117" t="inlineStr">
        <x:is>
          <x:t xml:space="preserve">Accident Readiness</x:t>
        </x:is>
      </x:c>
      <x:c r="C40" s="117" t="inlineStr">
        <x:is>
          <x:t xml:space="preserve">Built-in Dashcam</x:t>
        </x:is>
      </x:c>
      <x:c r="D40" s="117" t="inlineStr">
        <x:is>
          <x:t xml:space="preserve">Would You Know What To Do?</x:t>
        </x:is>
      </x:c>
      <x:c r="E40" s="117" t="inlineStr">
        <x:is>
          <x:t xml:space="preserve">Family driver</x:t>
        </x:is>
      </x:c>
      <x:c r="F40" s="117" t="inlineStr">
        <x:is>
          <x:t xml:space="preserve">Trust</x:t>
        </x:is>
      </x:c>
      <x:c r="G40" s="117" t="inlineStr">
        <x:is>
          <x:t xml:space="preserve">Short-form video</x:t>
        </x:is>
      </x:c>
      <x:c r="H40" s="117" t="inlineStr">
        <x:is>
          <x:t xml:space="preserve">If this happened today, would you know what to do first?</x:t>
        </x:is>
      </x:c>
      <x:c r="I40" s="117" t="inlineStr">
        <x:is>
          <x:t xml:space="preserve">Scenario roleplay + checklist; simulated parking incident.</x:t>
        </x:is>
      </x:c>
      <x:c r="J40" s="117" t="inlineStr">
        <x:is>
          <x:t xml:space="preserve">Preparedness without fear.</x:t>
        </x:is>
      </x:c>
      <x:c r="K40" s="117" t="inlineStr">
        <x:is>
          <x:t xml:space="preserve">Use the story to show conflicting stories after an incident and end with one practical takeaway.</x:t>
        </x:is>
      </x:c>
      <x:c r="L40" s="117" t="inlineStr">
        <x:is>
          <x:t xml:space="preserve">Try Msafiri Dashcam on your next drive.</x:t>
        </x:is>
      </x:c>
      <x:c r="M40" s="117" t="inlineStr">
        <x:is>
          <x:t xml:space="preserve">simulated parking incident; captions; app screen-record; branded end card</x:t>
        </x:is>
      </x:c>
      <x:c r="N40" s="117" t="inlineStr">
        <x:is>
          <x:t xml:space="preserve">High</x:t>
        </x:is>
      </x:c>
      <x:c r="O40" s="117" t="n">
        <x:v>3</x:v>
      </x:c>
      <x:c r="P40" s="117" t="n">
        <x:v>5</x:v>
      </x:c>
      <x:c r="Q40" s="117" t="n">
        <x:v>3</x:v>
      </x:c>
      <x:c r="R40" s="117" t="n">
        <x:v>3</x:v>
      </x:c>
      <x:c r="S40" s="117" t="n">
        <x:v>2</x:v>
      </x:c>
      <x:c r="T40" s="117" t="n">
        <x:f>O40+P40+Q40+S40-R40</x:f>
        <x:v>10</x:v>
      </x:c>
      <x:c r="U40" s="117" t="inlineStr">
        <x:is>
          <x:t xml:space="preserve">Do not imply legal/insurance guarantees.</x:t>
        </x:is>
      </x:c>
      <x:c r="V40" s="117" t="inlineStr">
        <x:is>
          <x:t xml:space="preserve">Cut into a 15-sec hook, a Story poll and a carousel slide if it gets saves/comments.</x:t>
        </x:is>
      </x:c>
    </x:row>
    <x:row r="41" ht="58" customHeight="1">
      <x:c r="A41" s="110" t="n">
        <x:v>37</x:v>
      </x:c>
      <x:c r="B41" s="110" t="inlineStr">
        <x:is>
          <x:t xml:space="preserve">Product / Feature Proof</x:t>
        </x:is>
      </x:c>
      <x:c r="C41" s="110" t="inlineStr">
        <x:is>
          <x:t xml:space="preserve">Built-in Dashcam</x:t>
        </x:is>
      </x:c>
      <x:c r="D41" s="110" t="inlineStr">
        <x:is>
          <x:t xml:space="preserve">Can Msafiri Do This?</x:t>
        </x:is>
      </x:c>
      <x:c r="E41" s="110" t="inlineStr">
        <x:is>
          <x:t xml:space="preserve">Car owner</x:t>
        </x:is>
      </x:c>
      <x:c r="F41" s="110" t="inlineStr">
        <x:is>
          <x:t xml:space="preserve">Feature Discovery</x:t>
        </x:is>
      </x:c>
      <x:c r="G41" s="110" t="inlineStr">
        <x:is>
          <x:t xml:space="preserve">Short-form video</x:t>
        </x:is>
      </x:c>
      <x:c r="H41" s="110" t="inlineStr">
        <x:is>
          <x:t xml:space="preserve">Can Msafiri help when conflicting stories after an incident? Let’s test it.</x:t>
        </x:is>
      </x:c>
      <x:c r="I41" s="110" t="inlineStr">
        <x:is>
          <x:t xml:space="preserve">Live test with timer; split-screen proof.</x:t>
        </x:is>
      </x:c>
      <x:c r="J41" s="110" t="inlineStr">
        <x:is>
          <x:t xml:space="preserve">Proof through demonstration.</x:t>
        </x:is>
      </x:c>
      <x:c r="K41" s="110" t="inlineStr">
        <x:is>
          <x:t xml:space="preserve">Use the story to show conflicting stories after an incident and end with one practical takeaway.</x:t>
        </x:is>
      </x:c>
      <x:c r="L41" s="110" t="inlineStr">
        <x:is>
          <x:t xml:space="preserve">Try Msafiri Dashcam on your next drive.</x:t>
        </x:is>
      </x:c>
      <x:c r="M41" s="110" t="inlineStr">
        <x:is>
          <x:t xml:space="preserve">split-screen proof; captions; app screen-record; branded end card</x:t>
        </x:is>
      </x:c>
      <x:c r="N41" s="110" t="inlineStr">
        <x:is>
          <x:t xml:space="preserve">Low</x:t>
        </x:is>
      </x:c>
      <x:c r="O41" s="110" t="n">
        <x:v>3</x:v>
      </x:c>
      <x:c r="P41" s="110" t="n">
        <x:v>4</x:v>
      </x:c>
      <x:c r="Q41" s="110" t="n">
        <x:v>5</x:v>
      </x:c>
      <x:c r="R41" s="110" t="n">
        <x:v>1</x:v>
      </x:c>
      <x:c r="S41" s="110" t="n">
        <x:v>2</x:v>
      </x:c>
      <x:c r="T41" s="110" t="n">
        <x:f>O41+P41+Q41+S41-R41</x:f>
        <x:v>13</x:v>
      </x:c>
      <x:c r="U41" s="110" t="inlineStr">
        <x:is>
          <x:t xml:space="preserve">Do not imply legal/insurance guarantees.</x:t>
        </x:is>
      </x:c>
      <x:c r="V41" s="110" t="inlineStr">
        <x:is>
          <x:t xml:space="preserve">Cut into a 15-sec hook, a Story poll and a carousel slide if it gets saves/comments.</x:t>
        </x:is>
      </x:c>
    </x:row>
    <x:row r="42" ht="58" customHeight="1">
      <x:c r="A42" s="117" t="n">
        <x:v>38</x:v>
      </x:c>
      <x:c r="B42" s="117" t="inlineStr">
        <x:is>
          <x:t xml:space="preserve">Road Intelligence</x:t>
        </x:is>
      </x:c>
      <x:c r="C42" s="117" t="inlineStr">
        <x:is>
          <x:t xml:space="preserve">Built-in Dashcam</x:t>
        </x:is>
      </x:c>
      <x:c r="D42" s="117" t="inlineStr">
        <x:is>
          <x:t xml:space="preserve">Road Trip POV</x:t>
        </x:is>
      </x:c>
      <x:c r="E42" s="117" t="inlineStr">
        <x:is>
          <x:t xml:space="preserve">Professional driver</x:t>
        </x:is>
      </x:c>
      <x:c r="F42" s="117" t="inlineStr">
        <x:is>
          <x:t xml:space="preserve">Awareness</x:t>
        </x:is>
      </x:c>
      <x:c r="G42" s="117" t="inlineStr">
        <x:is>
          <x:t xml:space="preserve">Hero / Reel</x:t>
        </x:is>
      </x:c>
      <x:c r="H42" s="117" t="inlineStr">
        <x:is>
          <x:t xml:space="preserve">A calm drive is not luck — watch how we planned a school run.</x:t>
        </x:is>
      </x:c>
      <x:c r="I42" s="117" t="inlineStr">
        <x:is>
          <x:t xml:space="preserve">Cinematic POV + UI moments; night-drive clip.</x:t>
        </x:is>
      </x:c>
      <x:c r="J42" s="117" t="inlineStr">
        <x:is>
          <x:t xml:space="preserve">Aspirational practical brand feel.</x:t>
        </x:is>
      </x:c>
      <x:c r="K42" s="117" t="inlineStr">
        <x:is>
          <x:t xml:space="preserve">Use the story to show conflicting stories after an incident and end with one practical takeaway.</x:t>
        </x:is>
      </x:c>
      <x:c r="L42" s="117" t="inlineStr">
        <x:is>
          <x:t xml:space="preserve">Try Msafiri Dashcam on your next drive.</x:t>
        </x:is>
      </x:c>
      <x:c r="M42" s="117" t="inlineStr">
        <x:is>
          <x:t xml:space="preserve">night-drive clip; captions; app screen-record; branded end card</x:t>
        </x:is>
      </x:c>
      <x:c r="N42" s="117" t="inlineStr">
        <x:is>
          <x:t xml:space="preserve">Medium</x:t>
        </x:is>
      </x:c>
      <x:c r="O42" s="117" t="n">
        <x:v>3</x:v>
      </x:c>
      <x:c r="P42" s="117" t="n">
        <x:v>5</x:v>
      </x:c>
      <x:c r="Q42" s="117" t="n">
        <x:v>3</x:v>
      </x:c>
      <x:c r="R42" s="117" t="n">
        <x:v>2</x:v>
      </x:c>
      <x:c r="S42" s="117" t="n">
        <x:v>3</x:v>
      </x:c>
      <x:c r="T42" s="117" t="n">
        <x:f>O42+P42+Q42+S42-R42</x:f>
        <x:v>12</x:v>
      </x:c>
      <x:c r="U42" s="117" t="inlineStr">
        <x:is>
          <x:t xml:space="preserve">Do not imply legal/insurance guarantees.</x:t>
        </x:is>
      </x:c>
      <x:c r="V42" s="117" t="inlineStr">
        <x:is>
          <x:t xml:space="preserve">Cut into a 15-sec hook, a Story poll and a carousel slide if it gets saves/comments.</x:t>
        </x:is>
      </x:c>
    </x:row>
    <x:row r="43" ht="58" customHeight="1">
      <x:c r="A43" s="110" t="n">
        <x:v>39</x:v>
      </x:c>
      <x:c r="B43" s="110" t="inlineStr">
        <x:is>
          <x:t xml:space="preserve">Education / Safety</x:t>
        </x:is>
      </x:c>
      <x:c r="C43" s="110" t="inlineStr">
        <x:is>
          <x:t xml:space="preserve">Built-in Dashcam</x:t>
        </x:is>
      </x:c>
      <x:c r="D43" s="110" t="inlineStr">
        <x:is>
          <x:t xml:space="preserve">One Minute Road Safety</x:t>
        </x:is>
      </x:c>
      <x:c r="E43" s="110" t="inlineStr">
        <x:is>
          <x:t xml:space="preserve">Daily Nairobi commuter</x:t>
        </x:is>
      </x:c>
      <x:c r="F43" s="110" t="inlineStr">
        <x:is>
          <x:t xml:space="preserve">Retention</x:t>
        </x:is>
      </x:c>
      <x:c r="G43" s="110" t="inlineStr">
        <x:is>
          <x:t xml:space="preserve">Checklist Reel</x:t>
        </x:is>
      </x:c>
      <x:c r="H43" s="110" t="inlineStr">
        <x:is>
          <x:t xml:space="preserve">One minute road safety: built-in dashcam edition.</x:t>
        </x:is>
      </x:c>
      <x:c r="I43" s="110" t="inlineStr">
        <x:is>
          <x:t xml:space="preserve">One tip per beat; phone mount setup.</x:t>
        </x:is>
      </x:c>
      <x:c r="J43" s="110" t="inlineStr">
        <x:is>
          <x:t xml:space="preserve">Quick knowledge people can use.</x:t>
        </x:is>
      </x:c>
      <x:c r="K43" s="110" t="inlineStr">
        <x:is>
          <x:t xml:space="preserve">Use the story to show conflicting stories after an incident and end with one practical takeaway.</x:t>
        </x:is>
      </x:c>
      <x:c r="L43" s="110" t="inlineStr">
        <x:is>
          <x:t xml:space="preserve">Try Msafiri Dashcam on your next drive.</x:t>
        </x:is>
      </x:c>
      <x:c r="M43" s="110" t="inlineStr">
        <x:is>
          <x:t xml:space="preserve">phone mount setup; captions; app screen-record; branded end card</x:t>
        </x:is>
      </x:c>
      <x:c r="N43" s="110" t="inlineStr">
        <x:is>
          <x:t xml:space="preserve">High</x:t>
        </x:is>
      </x:c>
      <x:c r="O43" s="110" t="n">
        <x:v>3</x:v>
      </x:c>
      <x:c r="P43" s="110" t="n">
        <x:v>5</x:v>
      </x:c>
      <x:c r="Q43" s="110" t="n">
        <x:v>3</x:v>
      </x:c>
      <x:c r="R43" s="110" t="n">
        <x:v>3</x:v>
      </x:c>
      <x:c r="S43" s="110" t="n">
        <x:v>2</x:v>
      </x:c>
      <x:c r="T43" s="110" t="n">
        <x:f>O43+P43+Q43+S43-R43</x:f>
        <x:v>10</x:v>
      </x:c>
      <x:c r="U43" s="110" t="inlineStr">
        <x:is>
          <x:t xml:space="preserve">Do not imply legal/insurance guarantees.</x:t>
        </x:is>
      </x:c>
      <x:c r="V43" s="110" t="inlineStr">
        <x:is>
          <x:t xml:space="preserve">Cut into a 15-sec hook, a Story poll and a carousel slide if it gets saves/comments.</x:t>
        </x:is>
      </x:c>
    </x:row>
    <x:row r="44" ht="58" customHeight="1">
      <x:c r="A44" s="117" t="n">
        <x:v>40</x:v>
      </x:c>
      <x:c r="B44" s="117" t="inlineStr">
        <x:is>
          <x:t xml:space="preserve">Founder / BTS</x:t>
        </x:is>
      </x:c>
      <x:c r="C44" s="117" t="inlineStr">
        <x:is>
          <x:t xml:space="preserve">Built-in Dashcam</x:t>
        </x:is>
      </x:c>
      <x:c r="D44" s="117" t="inlineStr">
        <x:is>
          <x:t xml:space="preserve">Build With Peter</x:t>
        </x:is>
      </x:c>
      <x:c r="E44" s="117" t="inlineStr">
        <x:is>
          <x:t xml:space="preserve">Family driver</x:t>
        </x:is>
      </x:c>
      <x:c r="F44" s="117" t="inlineStr">
        <x:is>
          <x:t xml:space="preserve">Trust</x:t>
        </x:is>
      </x:c>
      <x:c r="G44" s="117" t="inlineStr">
        <x:is>
          <x:t xml:space="preserve">Founder-to-camera</x:t>
        </x:is>
      </x:c>
      <x:c r="H44" s="117" t="inlineStr">
        <x:is>
          <x:t xml:space="preserve">The product decision we almost got wrong with built-in dashcam.</x:t>
        </x:is>
      </x:c>
      <x:c r="I44" s="117" t="inlineStr">
        <x:is>
          <x:t xml:space="preserve">Peter + notes + app prototype; dashcam replay.</x:t>
        </x:is>
      </x:c>
      <x:c r="J44" s="117" t="inlineStr">
        <x:is>
          <x:t xml:space="preserve">Humanizing the build process.</x:t>
        </x:is>
      </x:c>
      <x:c r="K44" s="117" t="inlineStr">
        <x:is>
          <x:t xml:space="preserve">Use the story to show conflicting stories after an incident and end with one practical takeaway.</x:t>
        </x:is>
      </x:c>
      <x:c r="L44" s="117" t="inlineStr">
        <x:is>
          <x:t xml:space="preserve">Try Msafiri Dashcam on your next drive.</x:t>
        </x:is>
      </x:c>
      <x:c r="M44" s="117" t="inlineStr">
        <x:is>
          <x:t xml:space="preserve">dashcam replay; captions; app screen-record; branded end card</x:t>
        </x:is>
      </x:c>
      <x:c r="N44" s="117" t="inlineStr">
        <x:is>
          <x:t xml:space="preserve">Low</x:t>
        </x:is>
      </x:c>
      <x:c r="O44" s="117" t="n">
        <x:v>3</x:v>
      </x:c>
      <x:c r="P44" s="117" t="n">
        <x:v>4</x:v>
      </x:c>
      <x:c r="Q44" s="117" t="n">
        <x:v>3</x:v>
      </x:c>
      <x:c r="R44" s="117" t="n">
        <x:v>1</x:v>
      </x:c>
      <x:c r="S44" s="117" t="n">
        <x:v>2</x:v>
      </x:c>
      <x:c r="T44" s="117" t="n">
        <x:f>O44+P44+Q44+S44-R44</x:f>
        <x:v>11</x:v>
      </x:c>
      <x:c r="U44" s="117" t="inlineStr">
        <x:is>
          <x:t xml:space="preserve">Do not imply legal/insurance guarantees.</x:t>
        </x:is>
      </x:c>
      <x:c r="V44" s="117" t="inlineStr">
        <x:is>
          <x:t xml:space="preserve">Cut into a 15-sec hook, a Story poll and a carousel slide if it gets saves/comments.</x:t>
        </x:is>
      </x:c>
    </x:row>
    <x:row r="45" ht="58" customHeight="1">
      <x:c r="A45" s="110" t="n">
        <x:v>41</x:v>
      </x:c>
      <x:c r="B45" s="110" t="inlineStr">
        <x:is>
          <x:t xml:space="preserve">Community / UGC</x:t>
        </x:is>
      </x:c>
      <x:c r="C45" s="110" t="inlineStr">
        <x:is>
          <x:t xml:space="preserve">Built-in Dashcam</x:t>
        </x:is>
      </x:c>
      <x:c r="D45" s="110" t="inlineStr">
        <x:is>
          <x:t xml:space="preserve">Comment-to-Video</x:t>
        </x:is>
      </x:c>
      <x:c r="E45" s="110" t="inlineStr">
        <x:is>
          <x:t xml:space="preserve">Car owner</x:t>
        </x:is>
      </x:c>
      <x:c r="F45" s="110" t="inlineStr">
        <x:is>
          <x:t xml:space="preserve">Community</x:t>
        </x:is>
      </x:c>
      <x:c r="G45" s="110" t="inlineStr">
        <x:is>
          <x:t xml:space="preserve">Community Reply</x:t>
        </x:is>
      </x:c>
      <x:c r="H45" s="110" t="inlineStr">
        <x:is>
          <x:t xml:space="preserve">A follower asked about conflicting stories after an incident; here is the practical answer.</x:t>
        </x:is>
      </x:c>
      <x:c r="I45" s="110" t="inlineStr">
        <x:is>
          <x:t xml:space="preserve">Comment sticker + direct answer; simulated parking incident.</x:t>
        </x:is>
      </x:c>
      <x:c r="J45" s="110" t="inlineStr">
        <x:is>
          <x:t xml:space="preserve">Reward comments and build trust.</x:t>
        </x:is>
      </x:c>
      <x:c r="K45" s="110" t="inlineStr">
        <x:is>
          <x:t xml:space="preserve">Use the story to show conflicting stories after an incident and end with one practical takeaway.</x:t>
        </x:is>
      </x:c>
      <x:c r="L45" s="110" t="inlineStr">
        <x:is>
          <x:t xml:space="preserve">Try Msafiri Dashcam on your next drive.</x:t>
        </x:is>
      </x:c>
      <x:c r="M45" s="110" t="inlineStr">
        <x:is>
          <x:t xml:space="preserve">simulated parking incident; captions; app screen-record; branded end card</x:t>
        </x:is>
      </x:c>
      <x:c r="N45" s="110" t="inlineStr">
        <x:is>
          <x:t xml:space="preserve">Medium</x:t>
        </x:is>
      </x:c>
      <x:c r="O45" s="110" t="n">
        <x:v>3</x:v>
      </x:c>
      <x:c r="P45" s="110" t="n">
        <x:v>4</x:v>
      </x:c>
      <x:c r="Q45" s="110" t="n">
        <x:v>3</x:v>
      </x:c>
      <x:c r="R45" s="110" t="n">
        <x:v>2</x:v>
      </x:c>
      <x:c r="S45" s="110" t="n">
        <x:v>2</x:v>
      </x:c>
      <x:c r="T45" s="110" t="n">
        <x:f>O45+P45+Q45+S45-R45</x:f>
        <x:v>10</x:v>
      </x:c>
      <x:c r="U45" s="110" t="inlineStr">
        <x:is>
          <x:t xml:space="preserve">Do not imply legal/insurance guarantees.</x:t>
        </x:is>
      </x:c>
      <x:c r="V45" s="110" t="inlineStr">
        <x:is>
          <x:t xml:space="preserve">Cut into a 15-sec hook, a Story poll and a carousel slide if it gets saves/comments.</x:t>
        </x:is>
      </x:c>
    </x:row>
    <x:row r="46" ht="58" customHeight="1">
      <x:c r="A46" s="117" t="n">
        <x:v>42</x:v>
      </x:c>
      <x:c r="B46" s="117" t="inlineStr">
        <x:is>
          <x:t xml:space="preserve">Kenyan Driving Reality</x:t>
        </x:is>
      </x:c>
      <x:c r="C46" s="117" t="inlineStr">
        <x:is>
          <x:t xml:space="preserve">Built-in Dashcam</x:t>
        </x:is>
      </x:c>
      <x:c r="D46" s="117" t="inlineStr">
        <x:is>
          <x:t xml:space="preserve">Driver Confessions</x:t>
        </x:is>
      </x:c>
      <x:c r="E46" s="117" t="inlineStr">
        <x:is>
          <x:t xml:space="preserve">Professional driver</x:t>
        </x:is>
      </x:c>
      <x:c r="F46" s="117" t="inlineStr">
        <x:is>
          <x:t xml:space="preserve">Engagement</x:t>
        </x:is>
      </x:c>
      <x:c r="G46" s="117" t="inlineStr">
        <x:is>
          <x:t xml:space="preserve">Street Interview</x:t>
        </x:is>
      </x:c>
      <x:c r="H46" s="117" t="inlineStr">
        <x:is>
          <x:t xml:space="preserve">Confession time: what is the one driving mistake you learned from?</x:t>
        </x:is>
      </x:c>
      <x:c r="I46" s="117" t="inlineStr">
        <x:is>
          <x:t xml:space="preserve">Anonymous driver confession; split-screen proof.</x:t>
        </x:is>
      </x:c>
      <x:c r="J46" s="117" t="inlineStr">
        <x:is>
          <x:t xml:space="preserve">Relatable vulnerability.</x:t>
        </x:is>
      </x:c>
      <x:c r="K46" s="117" t="inlineStr">
        <x:is>
          <x:t xml:space="preserve">Use the story to show conflicting stories after an incident and end with one practical takeaway.</x:t>
        </x:is>
      </x:c>
      <x:c r="L46" s="117" t="inlineStr">
        <x:is>
          <x:t xml:space="preserve">Try Msafiri Dashcam on your next drive.</x:t>
        </x:is>
      </x:c>
      <x:c r="M46" s="117" t="inlineStr">
        <x:is>
          <x:t xml:space="preserve">split-screen proof; captions; app screen-record; branded end card</x:t>
        </x:is>
      </x:c>
      <x:c r="N46" s="117" t="inlineStr">
        <x:is>
          <x:t xml:space="preserve">High</x:t>
        </x:is>
      </x:c>
      <x:c r="O46" s="117" t="n">
        <x:v>4</x:v>
      </x:c>
      <x:c r="P46" s="117" t="n">
        <x:v>4</x:v>
      </x:c>
      <x:c r="Q46" s="117" t="n">
        <x:v>3</x:v>
      </x:c>
      <x:c r="R46" s="117" t="n">
        <x:v>3</x:v>
      </x:c>
      <x:c r="S46" s="117" t="n">
        <x:v>2</x:v>
      </x:c>
      <x:c r="T46" s="117" t="n">
        <x:f>O46+P46+Q46+S46-R46</x:f>
        <x:v>10</x:v>
      </x:c>
      <x:c r="U46" s="117" t="inlineStr">
        <x:is>
          <x:t xml:space="preserve">Do not imply legal/insurance guarantees.</x:t>
        </x:is>
      </x:c>
      <x:c r="V46" s="117" t="inlineStr">
        <x:is>
          <x:t xml:space="preserve">Turn best responses into Comment-to-Video and add to next week’s road-check queue.</x:t>
        </x:is>
      </x:c>
    </x:row>
    <x:row r="47" ht="58" customHeight="1">
      <x:c r="A47" s="110" t="n">
        <x:v>43</x:v>
      </x:c>
      <x:c r="B47" s="110" t="inlineStr">
        <x:is>
          <x:t xml:space="preserve">Product / Feature Proof</x:t>
        </x:is>
      </x:c>
      <x:c r="C47" s="110" t="inlineStr">
        <x:is>
          <x:t xml:space="preserve">Built-in Dashcam</x:t>
        </x:is>
      </x:c>
      <x:c r="D47" s="110" t="inlineStr">
        <x:is>
          <x:t xml:space="preserve">Before / After</x:t>
        </x:is>
      </x:c>
      <x:c r="E47" s="110" t="inlineStr">
        <x:is>
          <x:t xml:space="preserve">Daily Nairobi commuter</x:t>
        </x:is>
      </x:c>
      <x:c r="F47" s="110" t="inlineStr">
        <x:is>
          <x:t xml:space="preserve">Conversion</x:t>
        </x:is>
      </x:c>
      <x:c r="G47" s="110" t="inlineStr">
        <x:is>
          <x:t xml:space="preserve">Short-form video</x:t>
        </x:is>
      </x:c>
      <x:c r="H47" s="110" t="inlineStr">
        <x:is>
          <x:t xml:space="preserve">Before Msafiri vs after Msafiri when conflicting stories after an incident.</x:t>
        </x:is>
      </x:c>
      <x:c r="I47" s="110" t="inlineStr">
        <x:is>
          <x:t xml:space="preserve">Two-act split screen; night-drive clip.</x:t>
        </x:is>
      </x:c>
      <x:c r="J47" s="110" t="inlineStr">
        <x:is>
          <x:t xml:space="preserve">A clear reason to try.</x:t>
        </x:is>
      </x:c>
      <x:c r="K47" s="110" t="inlineStr">
        <x:is>
          <x:t xml:space="preserve">Use the story to show conflicting stories after an incident and end with one practical takeaway.</x:t>
        </x:is>
      </x:c>
      <x:c r="L47" s="110" t="inlineStr">
        <x:is>
          <x:t xml:space="preserve">Try Msafiri Dashcam on your next drive.</x:t>
        </x:is>
      </x:c>
      <x:c r="M47" s="110" t="inlineStr">
        <x:is>
          <x:t xml:space="preserve">night-drive clip; captions; app screen-record; branded end card</x:t>
        </x:is>
      </x:c>
      <x:c r="N47" s="110" t="inlineStr">
        <x:is>
          <x:t xml:space="preserve">Low</x:t>
        </x:is>
      </x:c>
      <x:c r="O47" s="110" t="n">
        <x:v>3</x:v>
      </x:c>
      <x:c r="P47" s="110" t="n">
        <x:v>4</x:v>
      </x:c>
      <x:c r="Q47" s="110" t="n">
        <x:v>5</x:v>
      </x:c>
      <x:c r="R47" s="110" t="n">
        <x:v>1</x:v>
      </x:c>
      <x:c r="S47" s="110" t="n">
        <x:v>2</x:v>
      </x:c>
      <x:c r="T47" s="110" t="n">
        <x:f>O47+P47+Q47+S47-R47</x:f>
        <x:v>13</x:v>
      </x:c>
      <x:c r="U47" s="110" t="inlineStr">
        <x:is>
          <x:t xml:space="preserve">Do not imply legal/insurance guarantees.</x:t>
        </x:is>
      </x:c>
      <x:c r="V47" s="110" t="inlineStr">
        <x:is>
          <x:t xml:space="preserve">Cut into a 15-sec hook, a Story poll and a carousel slide if it gets saves/comments.</x:t>
        </x:is>
      </x:c>
    </x:row>
    <x:row r="48" ht="58" customHeight="1">
      <x:c r="A48" s="117" t="n">
        <x:v>44</x:v>
      </x:c>
      <x:c r="B48" s="117" t="inlineStr">
        <x:is>
          <x:t xml:space="preserve">Seasonal Campaign</x:t>
        </x:is>
      </x:c>
      <x:c r="C48" s="117" t="inlineStr">
        <x:is>
          <x:t xml:space="preserve">Built-in Dashcam</x:t>
        </x:is>
      </x:c>
      <x:c r="D48" s="117" t="inlineStr">
        <x:is>
          <x:t xml:space="preserve">Holiday Road Prep</x:t>
        </x:is>
      </x:c>
      <x:c r="E48" s="117" t="inlineStr">
        <x:is>
          <x:t xml:space="preserve">Family driver</x:t>
        </x:is>
      </x:c>
      <x:c r="F48" s="117" t="inlineStr">
        <x:is>
          <x:t xml:space="preserve">Awareness</x:t>
        </x:is>
      </x:c>
      <x:c r="G48" s="117" t="inlineStr">
        <x:is>
          <x:t xml:space="preserve">Checklist Reel</x:t>
        </x:is>
      </x:c>
      <x:c r="H48" s="117" t="inlineStr">
        <x:is>
          <x:t xml:space="preserve">Holiday drive coming up? Do not leave before checking this.</x:t>
        </x:is>
      </x:c>
      <x:c r="I48" s="117" t="inlineStr">
        <x:is>
          <x:t xml:space="preserve">Packing + car + phone mount; phone mount setup.</x:t>
        </x:is>
      </x:c>
      <x:c r="J48" s="117" t="inlineStr">
        <x:is>
          <x:t xml:space="preserve">Seasonal urgency.</x:t>
        </x:is>
      </x:c>
      <x:c r="K48" s="117" t="inlineStr">
        <x:is>
          <x:t xml:space="preserve">Use the story to show conflicting stories after an incident and end with one practical takeaway.</x:t>
        </x:is>
      </x:c>
      <x:c r="L48" s="117" t="inlineStr">
        <x:is>
          <x:t xml:space="preserve">Try Msafiri Dashcam on your next drive.</x:t>
        </x:is>
      </x:c>
      <x:c r="M48" s="117" t="inlineStr">
        <x:is>
          <x:t xml:space="preserve">phone mount setup; captions; app screen-record; branded end card</x:t>
        </x:is>
      </x:c>
      <x:c r="N48" s="117" t="inlineStr">
        <x:is>
          <x:t xml:space="preserve">Medium</x:t>
        </x:is>
      </x:c>
      <x:c r="O48" s="117" t="n">
        <x:v>4</x:v>
      </x:c>
      <x:c r="P48" s="117" t="n">
        <x:v>4</x:v>
      </x:c>
      <x:c r="Q48" s="117" t="n">
        <x:v>3</x:v>
      </x:c>
      <x:c r="R48" s="117" t="n">
        <x:v>2</x:v>
      </x:c>
      <x:c r="S48" s="117" t="n">
        <x:v>4</x:v>
      </x:c>
      <x:c r="T48" s="117" t="n">
        <x:f>O48+P48+Q48+S48-R48</x:f>
        <x:v>13</x:v>
      </x:c>
      <x:c r="U48" s="117" t="inlineStr">
        <x:is>
          <x:t xml:space="preserve">Do not imply legal/insurance guarantees.</x:t>
        </x:is>
      </x:c>
      <x:c r="V48" s="117" t="inlineStr">
        <x:is>
          <x:t xml:space="preserve">Cut into a 15-sec hook, a Story poll and a carousel slide if it gets saves/comments.</x:t>
        </x:is>
      </x:c>
    </x:row>
    <x:row r="49" ht="58" customHeight="1">
      <x:c r="A49" s="110" t="n">
        <x:v>45</x:v>
      </x:c>
      <x:c r="B49" s="110" t="inlineStr">
        <x:is>
          <x:t xml:space="preserve">Education / Safety</x:t>
        </x:is>
      </x:c>
      <x:c r="C49" s="110" t="inlineStr">
        <x:is>
          <x:t xml:space="preserve">Built-in Dashcam</x:t>
        </x:is>
      </x:c>
      <x:c r="D49" s="110" t="inlineStr">
        <x:is>
          <x:t xml:space="preserve">Passenger POV</x:t>
        </x:is>
      </x:c>
      <x:c r="E49" s="110" t="inlineStr">
        <x:is>
          <x:t xml:space="preserve">Car owner</x:t>
        </x:is>
      </x:c>
      <x:c r="F49" s="110" t="inlineStr">
        <x:is>
          <x:t xml:space="preserve">Community</x:t>
        </x:is>
      </x:c>
      <x:c r="G49" s="110" t="inlineStr">
        <x:is>
          <x:t xml:space="preserve">Short-form video</x:t>
        </x:is>
      </x:c>
      <x:c r="H49" s="110" t="inlineStr">
        <x:is>
          <x:t xml:space="preserve">Passenger script: how to tell the driver to slow down without starting a fight.</x:t>
        </x:is>
      </x:c>
      <x:c r="I49" s="110" t="inlineStr">
        <x:is>
          <x:t xml:space="preserve">Passenger POV + text overlay; dashcam replay.</x:t>
        </x:is>
      </x:c>
      <x:c r="J49" s="110" t="inlineStr">
        <x:is>
          <x:t xml:space="preserve">Safety through social behavior.</x:t>
        </x:is>
      </x:c>
      <x:c r="K49" s="110" t="inlineStr">
        <x:is>
          <x:t xml:space="preserve">Use the story to show conflicting stories after an incident and end with one practical takeaway.</x:t>
        </x:is>
      </x:c>
      <x:c r="L49" s="110" t="inlineStr">
        <x:is>
          <x:t xml:space="preserve">Try Msafiri Dashcam on your next drive.</x:t>
        </x:is>
      </x:c>
      <x:c r="M49" s="110" t="inlineStr">
        <x:is>
          <x:t xml:space="preserve">dashcam replay; captions; app screen-record; branded end card</x:t>
        </x:is>
      </x:c>
      <x:c r="N49" s="110" t="inlineStr">
        <x:is>
          <x:t xml:space="preserve">High</x:t>
        </x:is>
      </x:c>
      <x:c r="O49" s="110" t="n">
        <x:v>3</x:v>
      </x:c>
      <x:c r="P49" s="110" t="n">
        <x:v>5</x:v>
      </x:c>
      <x:c r="Q49" s="110" t="n">
        <x:v>3</x:v>
      </x:c>
      <x:c r="R49" s="110" t="n">
        <x:v>3</x:v>
      </x:c>
      <x:c r="S49" s="110" t="n">
        <x:v>2</x:v>
      </x:c>
      <x:c r="T49" s="110" t="n">
        <x:f>O49+P49+Q49+S49-R49</x:f>
        <x:v>10</x:v>
      </x:c>
      <x:c r="U49" s="110" t="inlineStr">
        <x:is>
          <x:t xml:space="preserve">Do not imply legal/insurance guarantees.</x:t>
        </x:is>
      </x:c>
      <x:c r="V49" s="110" t="inlineStr">
        <x:is>
          <x:t xml:space="preserve">Cut into a 15-sec hook, a Story poll and a carousel slide if it gets saves/comments.</x:t>
        </x:is>
      </x:c>
    </x:row>
    <x:row r="50" ht="58" customHeight="1">
      <x:c r="A50" s="117" t="n">
        <x:v>46</x:v>
      </x:c>
      <x:c r="B50" s="117" t="inlineStr">
        <x:is>
          <x:t xml:space="preserve">Product / Feature Proof</x:t>
        </x:is>
      </x:c>
      <x:c r="C50" s="117" t="inlineStr">
        <x:is>
          <x:t xml:space="preserve">Built-in Dashcam</x:t>
        </x:is>
      </x:c>
      <x:c r="D50" s="117" t="inlineStr">
        <x:is>
          <x:t xml:space="preserve">Feature FAQ</x:t>
        </x:is>
      </x:c>
      <x:c r="E50" s="117" t="inlineStr">
        <x:is>
          <x:t xml:space="preserve">Professional driver</x:t>
        </x:is>
      </x:c>
      <x:c r="F50" s="117" t="inlineStr">
        <x:is>
          <x:t xml:space="preserve">Feature Discovery</x:t>
        </x:is>
      </x:c>
      <x:c r="G50" s="117" t="inlineStr">
        <x:is>
          <x:t xml:space="preserve">Carousel</x:t>
        </x:is>
      </x:c>
      <x:c r="H50" s="117" t="inlineStr">
        <x:is>
          <x:t xml:space="preserve">The question people ask about built-in dashcam, answered simply.</x:t>
        </x:is>
      </x:c>
      <x:c r="I50" s="117" t="inlineStr">
        <x:is>
          <x:t xml:space="preserve">Carousel with one answer per slide; simulated parking incident.</x:t>
        </x:is>
      </x:c>
      <x:c r="J50" s="117" t="inlineStr">
        <x:is>
          <x:t xml:space="preserve">Reduce confusion.</x:t>
        </x:is>
      </x:c>
      <x:c r="K50" s="117" t="inlineStr">
        <x:is>
          <x:t xml:space="preserve">Use the story to show conflicting stories after an incident and end with one practical takeaway.</x:t>
        </x:is>
      </x:c>
      <x:c r="L50" s="117" t="inlineStr">
        <x:is>
          <x:t xml:space="preserve">Try Msafiri Dashcam on your next drive.</x:t>
        </x:is>
      </x:c>
      <x:c r="M50" s="117" t="inlineStr">
        <x:is>
          <x:t xml:space="preserve">simulated parking incident; captions; app screen-record; branded end card</x:t>
        </x:is>
      </x:c>
      <x:c r="N50" s="117" t="inlineStr">
        <x:is>
          <x:t xml:space="preserve">Low</x:t>
        </x:is>
      </x:c>
      <x:c r="O50" s="117" t="n">
        <x:v>3</x:v>
      </x:c>
      <x:c r="P50" s="117" t="n">
        <x:v>4</x:v>
      </x:c>
      <x:c r="Q50" s="117" t="n">
        <x:v>5</x:v>
      </x:c>
      <x:c r="R50" s="117" t="n">
        <x:v>1</x:v>
      </x:c>
      <x:c r="S50" s="117" t="n">
        <x:v>2</x:v>
      </x:c>
      <x:c r="T50" s="117" t="n">
        <x:f>O50+P50+Q50+S50-R50</x:f>
        <x:v>13</x:v>
      </x:c>
      <x:c r="U50" s="117" t="inlineStr">
        <x:is>
          <x:t xml:space="preserve">Do not imply legal/insurance guarantees.</x:t>
        </x:is>
      </x:c>
      <x:c r="V50" s="117" t="inlineStr">
        <x:is>
          <x:t xml:space="preserve">Cut into a 15-sec hook, a Story poll and a carousel slide if it gets saves/comments.</x:t>
        </x:is>
      </x:c>
    </x:row>
    <x:row r="51" ht="58" customHeight="1">
      <x:c r="A51" s="110" t="n">
        <x:v>47</x:v>
      </x:c>
      <x:c r="B51" s="110" t="inlineStr">
        <x:is>
          <x:t xml:space="preserve">Debate / Mythbusters</x:t>
        </x:is>
      </x:c>
      <x:c r="C51" s="110" t="inlineStr">
        <x:is>
          <x:t xml:space="preserve">Built-in Dashcam</x:t>
        </x:is>
      </x:c>
      <x:c r="D51" s="110" t="inlineStr">
        <x:is>
          <x:t xml:space="preserve">Road Mythbusters</x:t>
        </x:is>
      </x:c>
      <x:c r="E51" s="110" t="inlineStr">
        <x:is>
          <x:t xml:space="preserve">Daily Nairobi commuter</x:t>
        </x:is>
      </x:c>
      <x:c r="F51" s="110" t="inlineStr">
        <x:is>
          <x:t xml:space="preserve">Engagement</x:t>
        </x:is>
      </x:c>
      <x:c r="G51" s="110" t="inlineStr">
        <x:is>
          <x:t xml:space="preserve">Story Poll</x:t>
        </x:is>
      </x:c>
      <x:c r="H51" s="110" t="inlineStr">
        <x:is>
          <x:t xml:space="preserve">Would you trust built-in dashcam on a normal weekday drive?</x:t>
        </x:is>
      </x:c>
      <x:c r="I51" s="110" t="inlineStr">
        <x:is>
          <x:t xml:space="preserve">Poll sticker + quick setup; split-screen proof.</x:t>
        </x:is>
      </x:c>
      <x:c r="J51" s="110" t="inlineStr">
        <x:is>
          <x:t xml:space="preserve">Low-friction responses.</x:t>
        </x:is>
      </x:c>
      <x:c r="K51" s="110" t="inlineStr">
        <x:is>
          <x:t xml:space="preserve">Use the story to show conflicting stories after an incident and end with one practical takeaway.</x:t>
        </x:is>
      </x:c>
      <x:c r="L51" s="110" t="inlineStr">
        <x:is>
          <x:t xml:space="preserve">Try Msafiri Dashcam on your next drive.</x:t>
        </x:is>
      </x:c>
      <x:c r="M51" s="110" t="inlineStr">
        <x:is>
          <x:t xml:space="preserve">split-screen proof; captions; app screen-record; branded end card</x:t>
        </x:is>
      </x:c>
      <x:c r="N51" s="110" t="inlineStr">
        <x:is>
          <x:t xml:space="preserve">Medium</x:t>
        </x:is>
      </x:c>
      <x:c r="O51" s="110" t="n">
        <x:v>4</x:v>
      </x:c>
      <x:c r="P51" s="110" t="n">
        <x:v>4</x:v>
      </x:c>
      <x:c r="Q51" s="110" t="n">
        <x:v>3</x:v>
      </x:c>
      <x:c r="R51" s="110" t="n">
        <x:v>2</x:v>
      </x:c>
      <x:c r="S51" s="110" t="n">
        <x:v>2</x:v>
      </x:c>
      <x:c r="T51" s="110" t="n">
        <x:f>O51+P51+Q51+S51-R51</x:f>
        <x:v>11</x:v>
      </x:c>
      <x:c r="U51" s="110" t="inlineStr">
        <x:is>
          <x:t xml:space="preserve">Do not imply legal/insurance guarantees.</x:t>
        </x:is>
      </x:c>
      <x:c r="V51" s="110" t="inlineStr">
        <x:is>
          <x:t xml:space="preserve">Turn best responses into Comment-to-Video and add to next week’s road-check queue.</x:t>
        </x:is>
      </x:c>
    </x:row>
    <x:row r="52" ht="58" customHeight="1">
      <x:c r="A52" s="117" t="n">
        <x:v>48</x:v>
      </x:c>
      <x:c r="B52" s="117" t="inlineStr">
        <x:is>
          <x:t xml:space="preserve">Road Intelligence</x:t>
        </x:is>
      </x:c>
      <x:c r="C52" s="117" t="inlineStr">
        <x:is>
          <x:t xml:space="preserve">Built-in Dashcam</x:t>
        </x:is>
      </x:c>
      <x:c r="D52" s="117" t="inlineStr">
        <x:is>
          <x:t xml:space="preserve">Msafiri Explains</x:t>
        </x:is>
      </x:c>
      <x:c r="E52" s="117" t="inlineStr">
        <x:is>
          <x:t xml:space="preserve">Family driver</x:t>
        </x:is>
      </x:c>
      <x:c r="F52" s="117" t="inlineStr">
        <x:is>
          <x:t xml:space="preserve">Trust</x:t>
        </x:is>
      </x:c>
      <x:c r="G52" s="117" t="inlineStr">
        <x:is>
          <x:t xml:space="preserve">Short-form video</x:t>
        </x:is>
      </x:c>
      <x:c r="H52" s="117" t="inlineStr">
        <x:is>
          <x:t xml:space="preserve">The road habit that makes conflicting stories after an incident worse.</x:t>
        </x:is>
      </x:c>
      <x:c r="I52" s="117" t="inlineStr">
        <x:is>
          <x:t xml:space="preserve">Explainer with road B-roll; night-drive clip.</x:t>
        </x:is>
      </x:c>
      <x:c r="J52" s="117" t="inlineStr">
        <x:is>
          <x:t xml:space="preserve">Teach without lecturing.</x:t>
        </x:is>
      </x:c>
      <x:c r="K52" s="117" t="inlineStr">
        <x:is>
          <x:t xml:space="preserve">Use the story to show conflicting stories after an incident and end with one practical takeaway.</x:t>
        </x:is>
      </x:c>
      <x:c r="L52" s="117" t="inlineStr">
        <x:is>
          <x:t xml:space="preserve">Try Msafiri Dashcam on your next drive.</x:t>
        </x:is>
      </x:c>
      <x:c r="M52" s="117" t="inlineStr">
        <x:is>
          <x:t xml:space="preserve">night-drive clip; captions; app screen-record; branded end card</x:t>
        </x:is>
      </x:c>
      <x:c r="N52" s="117" t="inlineStr">
        <x:is>
          <x:t xml:space="preserve">High</x:t>
        </x:is>
      </x:c>
      <x:c r="O52" s="117" t="n">
        <x:v>3</x:v>
      </x:c>
      <x:c r="P52" s="117" t="n">
        <x:v>5</x:v>
      </x:c>
      <x:c r="Q52" s="117" t="n">
        <x:v>3</x:v>
      </x:c>
      <x:c r="R52" s="117" t="n">
        <x:v>3</x:v>
      </x:c>
      <x:c r="S52" s="117" t="n">
        <x:v>2</x:v>
      </x:c>
      <x:c r="T52" s="117" t="n">
        <x:f>O52+P52+Q52+S52-R52</x:f>
        <x:v>10</x:v>
      </x:c>
      <x:c r="U52" s="117" t="inlineStr">
        <x:is>
          <x:t xml:space="preserve">Do not imply legal/insurance guarantees.</x:t>
        </x:is>
      </x:c>
      <x:c r="V52" s="117" t="inlineStr">
        <x:is>
          <x:t xml:space="preserve">Cut into a 15-sec hook, a Story poll and a carousel slide if it gets saves/comments.</x:t>
        </x:is>
      </x:c>
    </x:row>
    <x:row r="53" ht="58" customHeight="1">
      <x:c r="A53" s="110" t="n">
        <x:v>49</x:v>
      </x:c>
      <x:c r="B53" s="110" t="inlineStr">
        <x:is>
          <x:t xml:space="preserve">Community / UGC</x:t>
        </x:is>
      </x:c>
      <x:c r="C53" s="110" t="inlineStr">
        <x:is>
          <x:t xml:space="preserve">Built-in Dashcam</x:t>
        </x:is>
      </x:c>
      <x:c r="D53" s="110" t="inlineStr">
        <x:is>
          <x:t xml:space="preserve">Ask a Kenyan Driver</x:t>
        </x:is>
      </x:c>
      <x:c r="E53" s="110" t="inlineStr">
        <x:is>
          <x:t xml:space="preserve">Car owner</x:t>
        </x:is>
      </x:c>
      <x:c r="F53" s="110" t="inlineStr">
        <x:is>
          <x:t xml:space="preserve">Community</x:t>
        </x:is>
      </x:c>
      <x:c r="G53" s="110" t="inlineStr">
        <x:is>
          <x:t xml:space="preserve">Story Poll</x:t>
        </x:is>
      </x:c>
      <x:c r="H53" s="110" t="inlineStr">
        <x:is>
          <x:t xml:space="preserve">Choose our next test: built-in dashcam on a commute or a road trip?</x:t>
        </x:is>
      </x:c>
      <x:c r="I53" s="110" t="inlineStr">
        <x:is>
          <x:t xml:space="preserve">Two-option story poll; phone mount setup.</x:t>
        </x:is>
      </x:c>
      <x:c r="J53" s="110" t="inlineStr">
        <x:is>
          <x:t xml:space="preserve">Audience participation.</x:t>
        </x:is>
      </x:c>
      <x:c r="K53" s="110" t="inlineStr">
        <x:is>
          <x:t xml:space="preserve">Use the story to show conflicting stories after an incident and end with one practical takeaway.</x:t>
        </x:is>
      </x:c>
      <x:c r="L53" s="110" t="inlineStr">
        <x:is>
          <x:t xml:space="preserve">Try Msafiri Dashcam on your next drive.</x:t>
        </x:is>
      </x:c>
      <x:c r="M53" s="110" t="inlineStr">
        <x:is>
          <x:t xml:space="preserve">phone mount setup; captions; app screen-record; branded end card</x:t>
        </x:is>
      </x:c>
      <x:c r="N53" s="110" t="inlineStr">
        <x:is>
          <x:t xml:space="preserve">Low</x:t>
        </x:is>
      </x:c>
      <x:c r="O53" s="110" t="n">
        <x:v>3</x:v>
      </x:c>
      <x:c r="P53" s="110" t="n">
        <x:v>4</x:v>
      </x:c>
      <x:c r="Q53" s="110" t="n">
        <x:v>3</x:v>
      </x:c>
      <x:c r="R53" s="110" t="n">
        <x:v>1</x:v>
      </x:c>
      <x:c r="S53" s="110" t="n">
        <x:v>2</x:v>
      </x:c>
      <x:c r="T53" s="110" t="n">
        <x:f>O53+P53+Q53+S53-R53</x:f>
        <x:v>11</x:v>
      </x:c>
      <x:c r="U53" s="110" t="inlineStr">
        <x:is>
          <x:t xml:space="preserve">Do not imply legal/insurance guarantees.</x:t>
        </x:is>
      </x:c>
      <x:c r="V53" s="110" t="inlineStr">
        <x:is>
          <x:t xml:space="preserve">Turn best responses into Comment-to-Video and add to next week’s road-check queue.</x:t>
        </x:is>
      </x:c>
    </x:row>
    <x:row r="54" ht="58" customHeight="1">
      <x:c r="A54" s="117" t="n">
        <x:v>50</x:v>
      </x:c>
      <x:c r="B54" s="117" t="inlineStr">
        <x:is>
          <x:t xml:space="preserve">Product / Feature Proof</x:t>
        </x:is>
      </x:c>
      <x:c r="C54" s="117" t="inlineStr">
        <x:is>
          <x:t xml:space="preserve">Built-in Dashcam</x:t>
        </x:is>
      </x:c>
      <x:c r="D54" s="117" t="inlineStr">
        <x:is>
          <x:t xml:space="preserve">Feature Combo</x:t>
        </x:is>
      </x:c>
      <x:c r="E54" s="117" t="inlineStr">
        <x:is>
          <x:t xml:space="preserve">Professional driver</x:t>
        </x:is>
      </x:c>
      <x:c r="F54" s="117" t="inlineStr">
        <x:is>
          <x:t xml:space="preserve">Conversion</x:t>
        </x:is>
      </x:c>
      <x:c r="G54" s="117" t="inlineStr">
        <x:is>
          <x:t xml:space="preserve">Short-form video</x:t>
        </x:is>
      </x:c>
      <x:c r="H54" s="117" t="inlineStr">
        <x:is>
          <x:t xml:space="preserve">Two Msafiri features that work better together when conflicting stories after an incident.</x:t>
        </x:is>
      </x:c>
      <x:c r="I54" s="117" t="inlineStr">
        <x:is>
          <x:t xml:space="preserve">UI + real drive + end card; dashcam replay.</x:t>
        </x:is>
      </x:c>
      <x:c r="J54" s="117" t="inlineStr">
        <x:is>
          <x:t xml:space="preserve">Feature bundling.</x:t>
        </x:is>
      </x:c>
      <x:c r="K54" s="117" t="inlineStr">
        <x:is>
          <x:t xml:space="preserve">Use the story to show conflicting stories after an incident and end with one practical takeaway.</x:t>
        </x:is>
      </x:c>
      <x:c r="L54" s="117" t="inlineStr">
        <x:is>
          <x:t xml:space="preserve">Try Msafiri Dashcam on your next drive.</x:t>
        </x:is>
      </x:c>
      <x:c r="M54" s="117" t="inlineStr">
        <x:is>
          <x:t xml:space="preserve">dashcam replay; captions; app screen-record; branded end card</x:t>
        </x:is>
      </x:c>
      <x:c r="N54" s="117" t="inlineStr">
        <x:is>
          <x:t xml:space="preserve">Medium</x:t>
        </x:is>
      </x:c>
      <x:c r="O54" s="117" t="n">
        <x:v>3</x:v>
      </x:c>
      <x:c r="P54" s="117" t="n">
        <x:v>4</x:v>
      </x:c>
      <x:c r="Q54" s="117" t="n">
        <x:v>5</x:v>
      </x:c>
      <x:c r="R54" s="117" t="n">
        <x:v>2</x:v>
      </x:c>
      <x:c r="S54" s="117" t="n">
        <x:v>2</x:v>
      </x:c>
      <x:c r="T54" s="117" t="n">
        <x:f>O54+P54+Q54+S54-R54</x:f>
        <x:v>12</x:v>
      </x:c>
      <x:c r="U54" s="117" t="inlineStr">
        <x:is>
          <x:t xml:space="preserve">Do not imply legal/insurance guarantees.</x:t>
        </x:is>
      </x:c>
      <x:c r="V54" s="117" t="inlineStr">
        <x:is>
          <x:t xml:space="preserve">Cut into a 15-sec hook, a Story poll and a carousel slide if it gets saves/comments.</x:t>
        </x:is>
      </x:c>
    </x:row>
    <x:row r="55" ht="58" customHeight="1">
      <x:c r="A55" s="110" t="n">
        <x:v>51</x:v>
      </x:c>
      <x:c r="B55" s="110" t="inlineStr">
        <x:is>
          <x:t xml:space="preserve">Education / Safety</x:t>
        </x:is>
      </x:c>
      <x:c r="C55" s="110" t="inlineStr">
        <x:is>
          <x:t xml:space="preserve">Built-in Dashcam</x:t>
        </x:is>
      </x:c>
      <x:c r="D55" s="110" t="inlineStr">
        <x:is>
          <x:t xml:space="preserve">What Not To Do</x:t>
        </x:is>
      </x:c>
      <x:c r="E55" s="110" t="inlineStr">
        <x:is>
          <x:t xml:space="preserve">Daily Nairobi commuter</x:t>
        </x:is>
      </x:c>
      <x:c r="F55" s="110" t="inlineStr">
        <x:is>
          <x:t xml:space="preserve">Retention</x:t>
        </x:is>
      </x:c>
      <x:c r="G55" s="110" t="inlineStr">
        <x:is>
          <x:t xml:space="preserve">Short-form video</x:t>
        </x:is>
      </x:c>
      <x:c r="H55" s="110" t="inlineStr">
        <x:is>
          <x:t xml:space="preserve">Do not make this mistake when conflicting stories after an incident.</x:t>
        </x:is>
      </x:c>
      <x:c r="I55" s="110" t="inlineStr">
        <x:is>
          <x:t xml:space="preserve">Wrong vs right mini demo; simulated parking incident.</x:t>
        </x:is>
      </x:c>
      <x:c r="J55" s="110" t="inlineStr">
        <x:is>
          <x:t xml:space="preserve">Memorable caution.</x:t>
        </x:is>
      </x:c>
      <x:c r="K55" s="110" t="inlineStr">
        <x:is>
          <x:t xml:space="preserve">Use the story to show conflicting stories after an incident and end with one practical takeaway.</x:t>
        </x:is>
      </x:c>
      <x:c r="L55" s="110" t="inlineStr">
        <x:is>
          <x:t xml:space="preserve">Try Msafiri Dashcam on your next drive.</x:t>
        </x:is>
      </x:c>
      <x:c r="M55" s="110" t="inlineStr">
        <x:is>
          <x:t xml:space="preserve">simulated parking incident; captions; app screen-record; branded end card</x:t>
        </x:is>
      </x:c>
      <x:c r="N55" s="110" t="inlineStr">
        <x:is>
          <x:t xml:space="preserve">High</x:t>
        </x:is>
      </x:c>
      <x:c r="O55" s="110" t="n">
        <x:v>3</x:v>
      </x:c>
      <x:c r="P55" s="110" t="n">
        <x:v>5</x:v>
      </x:c>
      <x:c r="Q55" s="110" t="n">
        <x:v>3</x:v>
      </x:c>
      <x:c r="R55" s="110" t="n">
        <x:v>3</x:v>
      </x:c>
      <x:c r="S55" s="110" t="n">
        <x:v>2</x:v>
      </x:c>
      <x:c r="T55" s="110" t="n">
        <x:f>O55+P55+Q55+S55-R55</x:f>
        <x:v>10</x:v>
      </x:c>
      <x:c r="U55" s="110" t="inlineStr">
        <x:is>
          <x:t xml:space="preserve">Do not imply legal/insurance guarantees.</x:t>
        </x:is>
      </x:c>
      <x:c r="V55" s="110" t="inlineStr">
        <x:is>
          <x:t xml:space="preserve">Cut into a 15-sec hook, a Story poll and a carousel slide if it gets saves/comments.</x:t>
        </x:is>
      </x:c>
    </x:row>
    <x:row r="56" ht="58" customHeight="1">
      <x:c r="A56" s="117" t="n">
        <x:v>52</x:v>
      </x:c>
      <x:c r="B56" s="117" t="inlineStr">
        <x:is>
          <x:t xml:space="preserve">Founder / BTS</x:t>
        </x:is>
      </x:c>
      <x:c r="C56" s="117" t="inlineStr">
        <x:is>
          <x:t xml:space="preserve">Built-in Dashcam</x:t>
        </x:is>
      </x:c>
      <x:c r="D56" s="117" t="inlineStr">
        <x:is>
          <x:t xml:space="preserve">Founder Files</x:t>
        </x:is>
      </x:c>
      <x:c r="E56" s="117" t="inlineStr">
        <x:is>
          <x:t xml:space="preserve">Family driver</x:t>
        </x:is>
      </x:c>
      <x:c r="F56" s="117" t="inlineStr">
        <x:is>
          <x:t xml:space="preserve">Trust</x:t>
        </x:is>
      </x:c>
      <x:c r="G56" s="117" t="inlineStr">
        <x:is>
          <x:t xml:space="preserve">Founder-to-camera</x:t>
        </x:is>
      </x:c>
      <x:c r="H56" s="117" t="inlineStr">
        <x:is>
          <x:t xml:space="preserve">The most uncomfortable truth about building built-in dashcam.</x:t>
        </x:is>
      </x:c>
      <x:c r="I56" s="117" t="inlineStr">
        <x:is>
          <x:t xml:space="preserve">Founder honest reflection; split-screen proof.</x:t>
        </x:is>
      </x:c>
      <x:c r="J56" s="117" t="inlineStr">
        <x:is>
          <x:t xml:space="preserve">Trust through honesty.</x:t>
        </x:is>
      </x:c>
      <x:c r="K56" s="117" t="inlineStr">
        <x:is>
          <x:t xml:space="preserve">Use the story to show conflicting stories after an incident and end with one practical takeaway.</x:t>
        </x:is>
      </x:c>
      <x:c r="L56" s="117" t="inlineStr">
        <x:is>
          <x:t xml:space="preserve">Try Msafiri Dashcam on your next drive.</x:t>
        </x:is>
      </x:c>
      <x:c r="M56" s="117" t="inlineStr">
        <x:is>
          <x:t xml:space="preserve">split-screen proof; captions; app screen-record; branded end card</x:t>
        </x:is>
      </x:c>
      <x:c r="N56" s="117" t="inlineStr">
        <x:is>
          <x:t xml:space="preserve">Low</x:t>
        </x:is>
      </x:c>
      <x:c r="O56" s="117" t="n">
        <x:v>3</x:v>
      </x:c>
      <x:c r="P56" s="117" t="n">
        <x:v>4</x:v>
      </x:c>
      <x:c r="Q56" s="117" t="n">
        <x:v>3</x:v>
      </x:c>
      <x:c r="R56" s="117" t="n">
        <x:v>1</x:v>
      </x:c>
      <x:c r="S56" s="117" t="n">
        <x:v>2</x:v>
      </x:c>
      <x:c r="T56" s="117" t="n">
        <x:f>O56+P56+Q56+S56-R56</x:f>
        <x:v>11</x:v>
      </x:c>
      <x:c r="U56" s="117" t="inlineStr">
        <x:is>
          <x:t xml:space="preserve">Do not imply legal/insurance guarantees.</x:t>
        </x:is>
      </x:c>
      <x:c r="V56" s="117" t="inlineStr">
        <x:is>
          <x:t xml:space="preserve">Cut into a 15-sec hook, a Story poll and a carousel slide if it gets saves/comments.</x:t>
        </x:is>
      </x:c>
    </x:row>
    <x:row r="57" ht="58" customHeight="1">
      <x:c r="A57" s="110" t="n">
        <x:v>53</x:v>
      </x:c>
      <x:c r="B57" s="110" t="inlineStr">
        <x:is>
          <x:t xml:space="preserve">Road Intelligence</x:t>
        </x:is>
      </x:c>
      <x:c r="C57" s="110" t="inlineStr">
        <x:is>
          <x:t xml:space="preserve">Built-in Dashcam</x:t>
        </x:is>
      </x:c>
      <x:c r="D57" s="110" t="inlineStr">
        <x:is>
          <x:t xml:space="preserve">Map vs Reality</x:t>
        </x:is>
      </x:c>
      <x:c r="E57" s="110" t="inlineStr">
        <x:is>
          <x:t xml:space="preserve">Car owner</x:t>
        </x:is>
      </x:c>
      <x:c r="F57" s="110" t="inlineStr">
        <x:is>
          <x:t xml:space="preserve">Awareness</x:t>
        </x:is>
      </x:c>
      <x:c r="G57" s="110" t="inlineStr">
        <x:is>
          <x:t xml:space="preserve">POV Drive</x:t>
        </x:is>
      </x:c>
      <x:c r="H57" s="110" t="inlineStr">
        <x:is>
          <x:t xml:space="preserve">The map says one thing; the road says another.</x:t>
        </x:is>
      </x:c>
      <x:c r="I57" s="110" t="inlineStr">
        <x:is>
          <x:t xml:space="preserve">Map overlay + road footage; night-drive clip.</x:t>
        </x:is>
      </x:c>
      <x:c r="J57" s="110" t="inlineStr">
        <x:is>
          <x:t xml:space="preserve">Road-intelligence authority.</x:t>
        </x:is>
      </x:c>
      <x:c r="K57" s="110" t="inlineStr">
        <x:is>
          <x:t xml:space="preserve">Use the story to show conflicting stories after an incident and end with one practical takeaway.</x:t>
        </x:is>
      </x:c>
      <x:c r="L57" s="110" t="inlineStr">
        <x:is>
          <x:t xml:space="preserve">Try Msafiri Dashcam on your next drive.</x:t>
        </x:is>
      </x:c>
      <x:c r="M57" s="110" t="inlineStr">
        <x:is>
          <x:t xml:space="preserve">night-drive clip; captions; app screen-record; branded end card</x:t>
        </x:is>
      </x:c>
      <x:c r="N57" s="110" t="inlineStr">
        <x:is>
          <x:t xml:space="preserve">Medium</x:t>
        </x:is>
      </x:c>
      <x:c r="O57" s="110" t="n">
        <x:v>3</x:v>
      </x:c>
      <x:c r="P57" s="110" t="n">
        <x:v>5</x:v>
      </x:c>
      <x:c r="Q57" s="110" t="n">
        <x:v>3</x:v>
      </x:c>
      <x:c r="R57" s="110" t="n">
        <x:v>2</x:v>
      </x:c>
      <x:c r="S57" s="110" t="n">
        <x:v>2</x:v>
      </x:c>
      <x:c r="T57" s="110" t="n">
        <x:f>O57+P57+Q57+S57-R57</x:f>
        <x:v>11</x:v>
      </x:c>
      <x:c r="U57" s="110" t="inlineStr">
        <x:is>
          <x:t xml:space="preserve">Do not imply legal/insurance guarantees.</x:t>
        </x:is>
      </x:c>
      <x:c r="V57" s="110" t="inlineStr">
        <x:is>
          <x:t xml:space="preserve">Cut into a 15-sec hook, a Story poll and a carousel slide if it gets saves/comments.</x:t>
        </x:is>
      </x:c>
    </x:row>
    <x:row r="58" ht="58" customHeight="1">
      <x:c r="A58" s="117" t="n">
        <x:v>54</x:v>
      </x:c>
      <x:c r="B58" s="117" t="inlineStr">
        <x:is>
          <x:t xml:space="preserve">Product / Feature Proof</x:t>
        </x:is>
      </x:c>
      <x:c r="C58" s="117" t="inlineStr">
        <x:is>
          <x:t xml:space="preserve">Built-in Dashcam</x:t>
        </x:is>
      </x:c>
      <x:c r="D58" s="117" t="inlineStr">
        <x:is>
          <x:t xml:space="preserve">One-Tap Test</x:t>
        </x:is>
      </x:c>
      <x:c r="E58" s="117" t="inlineStr">
        <x:is>
          <x:t xml:space="preserve">Professional driver</x:t>
        </x:is>
      </x:c>
      <x:c r="F58" s="117" t="inlineStr">
        <x:is>
          <x:t xml:space="preserve">Feature Discovery</x:t>
        </x:is>
      </x:c>
      <x:c r="G58" s="117" t="inlineStr">
        <x:is>
          <x:t xml:space="preserve">Screen-record Demo</x:t>
        </x:is>
      </x:c>
      <x:c r="H58" s="117" t="inlineStr">
        <x:is>
          <x:t xml:space="preserve">How fast can you set up built-in dashcam before leaving?</x:t>
        </x:is>
      </x:c>
      <x:c r="I58" s="117" t="inlineStr">
        <x:is>
          <x:t xml:space="preserve">Timer + UI taps; phone mount setup.</x:t>
        </x:is>
      </x:c>
      <x:c r="J58" s="117" t="inlineStr">
        <x:is>
          <x:t xml:space="preserve">Lower adoption friction.</x:t>
        </x:is>
      </x:c>
      <x:c r="K58" s="117" t="inlineStr">
        <x:is>
          <x:t xml:space="preserve">Use the story to show conflicting stories after an incident and end with one practical takeaway.</x:t>
        </x:is>
      </x:c>
      <x:c r="L58" s="117" t="inlineStr">
        <x:is>
          <x:t xml:space="preserve">Try Msafiri Dashcam on your next drive.</x:t>
        </x:is>
      </x:c>
      <x:c r="M58" s="117" t="inlineStr">
        <x:is>
          <x:t xml:space="preserve">phone mount setup; captions; app screen-record; branded end card</x:t>
        </x:is>
      </x:c>
      <x:c r="N58" s="117" t="inlineStr">
        <x:is>
          <x:t xml:space="preserve">High</x:t>
        </x:is>
      </x:c>
      <x:c r="O58" s="117" t="n">
        <x:v>3</x:v>
      </x:c>
      <x:c r="P58" s="117" t="n">
        <x:v>4</x:v>
      </x:c>
      <x:c r="Q58" s="117" t="n">
        <x:v>5</x:v>
      </x:c>
      <x:c r="R58" s="117" t="n">
        <x:v>3</x:v>
      </x:c>
      <x:c r="S58" s="117" t="n">
        <x:v>2</x:v>
      </x:c>
      <x:c r="T58" s="117" t="n">
        <x:f>O58+P58+Q58+S58-R58</x:f>
        <x:v>11</x:v>
      </x:c>
      <x:c r="U58" s="117" t="inlineStr">
        <x:is>
          <x:t xml:space="preserve">Do not imply legal/insurance guarantees.</x:t>
        </x:is>
      </x:c>
      <x:c r="V58" s="117" t="inlineStr">
        <x:is>
          <x:t xml:space="preserve">Cut into a 15-sec hook, a Story poll and a carousel slide if it gets saves/comments.</x:t>
        </x:is>
      </x:c>
    </x:row>
    <x:row r="59" ht="58" customHeight="1">
      <x:c r="A59" s="110" t="n">
        <x:v>55</x:v>
      </x:c>
      <x:c r="B59" s="110" t="inlineStr">
        <x:is>
          <x:t xml:space="preserve">Community / UGC</x:t>
        </x:is>
      </x:c>
      <x:c r="C59" s="110" t="inlineStr">
        <x:is>
          <x:t xml:space="preserve">Built-in Dashcam</x:t>
        </x:is>
      </x:c>
      <x:c r="D59" s="110" t="inlineStr">
        <x:is>
          <x:t xml:space="preserve">UGC Prompt</x:t>
        </x:is>
      </x:c>
      <x:c r="E59" s="110" t="inlineStr">
        <x:is>
          <x:t xml:space="preserve">Daily Nairobi commuter</x:t>
        </x:is>
      </x:c>
      <x:c r="F59" s="110" t="inlineStr">
        <x:is>
          <x:t xml:space="preserve">Community</x:t>
        </x:is>
      </x:c>
      <x:c r="G59" s="110" t="inlineStr">
        <x:is>
          <x:t xml:space="preserve">Static Graphic</x:t>
        </x:is>
      </x:c>
      <x:c r="H59" s="110" t="inlineStr">
        <x:is>
          <x:t xml:space="preserve">Tell us your built-in dashcam story and we may feature it.</x:t>
        </x:is>
      </x:c>
      <x:c r="I59" s="110" t="inlineStr">
        <x:is>
          <x:t xml:space="preserve">Branded prompt graphic; dashcam replay.</x:t>
        </x:is>
      </x:c>
      <x:c r="J59" s="110" t="inlineStr">
        <x:is>
          <x:t xml:space="preserve">User-generated content pipeline.</x:t>
        </x:is>
      </x:c>
      <x:c r="K59" s="110" t="inlineStr">
        <x:is>
          <x:t xml:space="preserve">Use the story to show conflicting stories after an incident and end with one practical takeaway.</x:t>
        </x:is>
      </x:c>
      <x:c r="L59" s="110" t="inlineStr">
        <x:is>
          <x:t xml:space="preserve">Try Msafiri Dashcam on your next drive.</x:t>
        </x:is>
      </x:c>
      <x:c r="M59" s="110" t="inlineStr">
        <x:is>
          <x:t xml:space="preserve">dashcam replay; captions; app screen-record; branded end card</x:t>
        </x:is>
      </x:c>
      <x:c r="N59" s="110" t="inlineStr">
        <x:is>
          <x:t xml:space="preserve">Low</x:t>
        </x:is>
      </x:c>
      <x:c r="O59" s="110" t="n">
        <x:v>3</x:v>
      </x:c>
      <x:c r="P59" s="110" t="n">
        <x:v>4</x:v>
      </x:c>
      <x:c r="Q59" s="110" t="n">
        <x:v>3</x:v>
      </x:c>
      <x:c r="R59" s="110" t="n">
        <x:v>1</x:v>
      </x:c>
      <x:c r="S59" s="110" t="n">
        <x:v>2</x:v>
      </x:c>
      <x:c r="T59" s="110" t="n">
        <x:f>O59+P59+Q59+S59-R59</x:f>
        <x:v>11</x:v>
      </x:c>
      <x:c r="U59" s="110" t="inlineStr">
        <x:is>
          <x:t xml:space="preserve">Do not imply legal/insurance guarantees.</x:t>
        </x:is>
      </x:c>
      <x:c r="V59" s="110" t="inlineStr">
        <x:is>
          <x:t xml:space="preserve">Turn best responses into Comment-to-Video and add to next week’s road-check queue.</x:t>
        </x:is>
      </x:c>
    </x:row>
    <x:row r="60" ht="58" customHeight="1">
      <x:c r="A60" s="117" t="n">
        <x:v>56</x:v>
      </x:c>
      <x:c r="B60" s="117" t="inlineStr">
        <x:is>
          <x:t xml:space="preserve">Seasonal Campaign</x:t>
        </x:is>
      </x:c>
      <x:c r="C60" s="117" t="inlineStr">
        <x:is>
          <x:t xml:space="preserve">Built-in Dashcam</x:t>
        </x:is>
      </x:c>
      <x:c r="D60" s="117" t="inlineStr">
        <x:is>
          <x:t xml:space="preserve">End-Year Road Prep</x:t>
        </x:is>
      </x:c>
      <x:c r="E60" s="117" t="inlineStr">
        <x:is>
          <x:t xml:space="preserve">Family driver</x:t>
        </x:is>
      </x:c>
      <x:c r="F60" s="117" t="inlineStr">
        <x:is>
          <x:t xml:space="preserve">Conversion</x:t>
        </x:is>
      </x:c>
      <x:c r="G60" s="117" t="inlineStr">
        <x:is>
          <x:t xml:space="preserve">Hero / Reel</x:t>
        </x:is>
      </x:c>
      <x:c r="H60" s="117" t="inlineStr">
        <x:is>
          <x:t xml:space="preserve">Before the December drive, open Msafiri and check this.</x:t>
        </x:is>
      </x:c>
      <x:c r="I60" s="117" t="inlineStr">
        <x:is>
          <x:t xml:space="preserve">December packing + app + road POV; simulated parking incident.</x:t>
        </x:is>
      </x:c>
      <x:c r="J60" s="117" t="inlineStr">
        <x:is>
          <x:t xml:space="preserve">Seasonal conversion.</x:t>
        </x:is>
      </x:c>
      <x:c r="K60" s="117" t="inlineStr">
        <x:is>
          <x:t xml:space="preserve">Use the story to show conflicting stories after an incident and end with one practical takeaway.</x:t>
        </x:is>
      </x:c>
      <x:c r="L60" s="117" t="inlineStr">
        <x:is>
          <x:t xml:space="preserve">Try Msafiri Dashcam on your next drive.</x:t>
        </x:is>
      </x:c>
      <x:c r="M60" s="117" t="inlineStr">
        <x:is>
          <x:t xml:space="preserve">simulated parking incident; captions; app screen-record; branded end card</x:t>
        </x:is>
      </x:c>
      <x:c r="N60" s="117" t="inlineStr">
        <x:is>
          <x:t xml:space="preserve">Medium</x:t>
        </x:is>
      </x:c>
      <x:c r="O60" s="117" t="n">
        <x:v>4</x:v>
      </x:c>
      <x:c r="P60" s="117" t="n">
        <x:v>4</x:v>
      </x:c>
      <x:c r="Q60" s="117" t="n">
        <x:v>5</x:v>
      </x:c>
      <x:c r="R60" s="117" t="n">
        <x:v>2</x:v>
      </x:c>
      <x:c r="S60" s="117" t="n">
        <x:v>4</x:v>
      </x:c>
      <x:c r="T60" s="117" t="n">
        <x:f>O60+P60+Q60+S60-R60</x:f>
        <x:v>15</x:v>
      </x:c>
      <x:c r="U60" s="117" t="inlineStr">
        <x:is>
          <x:t xml:space="preserve">Do not imply legal/insurance guarantees.</x:t>
        </x:is>
      </x:c>
      <x:c r="V60" s="117" t="inlineStr">
        <x:is>
          <x:t xml:space="preserve">Cut into a 15-sec hook, a Story poll and a carousel slide if it gets saves/comments.</x:t>
        </x:is>
      </x:c>
    </x:row>
    <x:row r="61" ht="58" customHeight="1">
      <x:c r="A61" s="110" t="n">
        <x:v>57</x:v>
      </x:c>
      <x:c r="B61" s="110" t="inlineStr">
        <x:is>
          <x:t xml:space="preserve">Road Intelligence</x:t>
        </x:is>
      </x:c>
      <x:c r="C61" s="110" t="inlineStr">
        <x:is>
          <x:t xml:space="preserve">Accident Assistant</x:t>
        </x:is>
      </x:c>
      <x:c r="D61" s="110" t="inlineStr">
        <x:is>
          <x:t xml:space="preserve">Msafiri Road Check</x:t>
        </x:is>
      </x:c>
      <x:c r="E61" s="110" t="inlineStr">
        <x:is>
          <x:t xml:space="preserve">Family driver</x:t>
        </x:is>
      </x:c>
      <x:c r="F61" s="110" t="inlineStr">
        <x:is>
          <x:t xml:space="preserve">Awareness</x:t>
        </x:is>
      </x:c>
      <x:c r="G61" s="110" t="inlineStr">
        <x:is>
          <x:t xml:space="preserve">POV Drive</x:t>
        </x:is>
      </x:c>
      <x:c r="H61" s="110" t="inlineStr">
        <x:is>
          <x:t xml:space="preserve">We drove a group trip to see where accident assistant actually helps.</x:t>
        </x:is>
      </x:c>
      <x:c r="I61" s="110" t="inlineStr">
        <x:is>
          <x:t xml:space="preserve">Road POV with 3 marked moments; first 10 minutes checklist.</x:t>
        </x:is>
      </x:c>
      <x:c r="J61" s="110" t="inlineStr">
        <x:is>
          <x:t xml:space="preserve">A practical route lesson people can save.</x:t>
        </x:is>
      </x:c>
      <x:c r="K61" s="110" t="inlineStr">
        <x:is>
          <x:t xml:space="preserve">Use the story to show panic and confusion after a crash and end with one practical takeaway.</x:t>
        </x:is>
      </x:c>
      <x:c r="L61" s="110" t="inlineStr">
        <x:is>
          <x:t xml:space="preserve">Download Msafiri before you need it.</x:t>
        </x:is>
      </x:c>
      <x:c r="M61" s="110" t="inlineStr">
        <x:is>
          <x:t xml:space="preserve">first 10 minutes checklist; captions; app screen-record; branded end card</x:t>
        </x:is>
      </x:c>
      <x:c r="N61" s="110" t="inlineStr">
        <x:is>
          <x:t xml:space="preserve">Low</x:t>
        </x:is>
      </x:c>
      <x:c r="O61" s="110" t="n">
        <x:v>3</x:v>
      </x:c>
      <x:c r="P61" s="110" t="n">
        <x:v>5</x:v>
      </x:c>
      <x:c r="Q61" s="110" t="n">
        <x:v>3</x:v>
      </x:c>
      <x:c r="R61" s="110" t="n">
        <x:v>1</x:v>
      </x:c>
      <x:c r="S61" s="110" t="n">
        <x:v>2</x:v>
      </x:c>
      <x:c r="T61" s="110" t="n">
        <x:f>O61+P61+Q61+S61-R61</x:f>
        <x:v>12</x:v>
      </x:c>
      <x:c r="U61" s="110" t="inlineStr">
        <x:is>
          <x:t xml:space="preserve">Advise emergency/professional help; do not offer legal/medical guarantees.</x:t>
        </x:is>
      </x:c>
      <x:c r="V61" s="110" t="inlineStr">
        <x:is>
          <x:t xml:space="preserve">Cut into a 15-sec hook, a Story poll and a carousel slide if it gets saves/comments.</x:t>
        </x:is>
      </x:c>
    </x:row>
    <x:row r="62" ht="58" customHeight="1">
      <x:c r="A62" s="117" t="n">
        <x:v>58</x:v>
      </x:c>
      <x:c r="B62" s="117" t="inlineStr">
        <x:is>
          <x:t xml:space="preserve">Product / Feature Proof</x:t>
        </x:is>
      </x:c>
      <x:c r="C62" s="117" t="inlineStr">
        <x:is>
          <x:t xml:space="preserve">Accident Assistant</x:t>
        </x:is>
      </x:c>
      <x:c r="D62" s="117" t="inlineStr">
        <x:is>
          <x:t xml:space="preserve">Feature in the Wild</x:t>
        </x:is>
      </x:c>
      <x:c r="E62" s="117" t="inlineStr">
        <x:is>
          <x:t xml:space="preserve">New driver</x:t>
        </x:is>
      </x:c>
      <x:c r="F62" s="117" t="inlineStr">
        <x:is>
          <x:t xml:space="preserve">Feature Discovery</x:t>
        </x:is>
      </x:c>
      <x:c r="G62" s="117" t="inlineStr">
        <x:is>
          <x:t xml:space="preserve">Screen-record Demo</x:t>
        </x:is>
      </x:c>
      <x:c r="H62" s="117" t="inlineStr">
        <x:is>
          <x:t xml:space="preserve">Accident Assistant in 30 seconds: here is the moment it becomes useful.</x:t>
        </x:is>
      </x:c>
      <x:c r="I62" s="117" t="inlineStr">
        <x:is>
          <x:t xml:space="preserve">Phone screen + real-world cutaway; hands collecting details.</x:t>
        </x:is>
      </x:c>
      <x:c r="J62" s="117" t="inlineStr">
        <x:is>
          <x:t xml:space="preserve">Feature clarity without a hard sell.</x:t>
        </x:is>
      </x:c>
      <x:c r="K62" s="117" t="inlineStr">
        <x:is>
          <x:t xml:space="preserve">Use the story to show panic and confusion after a crash and end with one practical takeaway.</x:t>
        </x:is>
      </x:c>
      <x:c r="L62" s="117" t="inlineStr">
        <x:is>
          <x:t xml:space="preserve">Download Msafiri before you need it.</x:t>
        </x:is>
      </x:c>
      <x:c r="M62" s="117" t="inlineStr">
        <x:is>
          <x:t xml:space="preserve">hands collecting details; captions; app screen-record; branded end card</x:t>
        </x:is>
      </x:c>
      <x:c r="N62" s="117" t="inlineStr">
        <x:is>
          <x:t xml:space="preserve">Medium</x:t>
        </x:is>
      </x:c>
      <x:c r="O62" s="117" t="n">
        <x:v>3</x:v>
      </x:c>
      <x:c r="P62" s="117" t="n">
        <x:v>4</x:v>
      </x:c>
      <x:c r="Q62" s="117" t="n">
        <x:v>5</x:v>
      </x:c>
      <x:c r="R62" s="117" t="n">
        <x:v>2</x:v>
      </x:c>
      <x:c r="S62" s="117" t="n">
        <x:v>2</x:v>
      </x:c>
      <x:c r="T62" s="117" t="n">
        <x:f>O62+P62+Q62+S62-R62</x:f>
        <x:v>12</x:v>
      </x:c>
      <x:c r="U62" s="117" t="inlineStr">
        <x:is>
          <x:t xml:space="preserve">Advise emergency/professional help; do not offer legal/medical guarantees.</x:t>
        </x:is>
      </x:c>
      <x:c r="V62" s="117" t="inlineStr">
        <x:is>
          <x:t xml:space="preserve">Cut into a 15-sec hook, a Story poll and a carousel slide if it gets saves/comments.</x:t>
        </x:is>
      </x:c>
    </x:row>
    <x:row r="63" ht="58" customHeight="1">
      <x:c r="A63" s="110" t="n">
        <x:v>59</x:v>
      </x:c>
      <x:c r="B63" s="110" t="inlineStr">
        <x:is>
          <x:t xml:space="preserve">Kenyan Driving Reality</x:t>
        </x:is>
      </x:c>
      <x:c r="C63" s="110" t="inlineStr">
        <x:is>
          <x:t xml:space="preserve">Accident Assistant</x:t>
        </x:is>
      </x:c>
      <x:c r="D63" s="110" t="inlineStr">
        <x:is>
          <x:t xml:space="preserve">Kenyan Driver Problems</x:t>
        </x:is>
      </x:c>
      <x:c r="E63" s="110" t="inlineStr">
        <x:is>
          <x:t xml:space="preserve">Car owner</x:t>
        </x:is>
      </x:c>
      <x:c r="F63" s="110" t="inlineStr">
        <x:is>
          <x:t xml:space="preserve">Engagement</x:t>
        </x:is>
      </x:c>
      <x:c r="G63" s="110" t="inlineStr">
        <x:is>
          <x:t xml:space="preserve">Skit</x:t>
        </x:is>
      </x:c>
      <x:c r="H63" s="110" t="inlineStr">
        <x:is>
          <x:t xml:space="preserve">POV: panic and confusion after a crash and everyone in the car has an opinion.</x:t>
        </x:is>
      </x:c>
      <x:c r="I63" s="110" t="inlineStr">
        <x:is>
          <x:t xml:space="preserve">Fast skit with driver/passenger tension; hazard triangle prop.</x:t>
        </x:is>
      </x:c>
      <x:c r="J63" s="110" t="inlineStr">
        <x:is>
          <x:t xml:space="preserve">Relatability and shares.</x:t>
        </x:is>
      </x:c>
      <x:c r="K63" s="110" t="inlineStr">
        <x:is>
          <x:t xml:space="preserve">Use the story to show panic and confusion after a crash and end with one practical takeaway.</x:t>
        </x:is>
      </x:c>
      <x:c r="L63" s="110" t="inlineStr">
        <x:is>
          <x:t xml:space="preserve">Download Msafiri before you need it.</x:t>
        </x:is>
      </x:c>
      <x:c r="M63" s="110" t="inlineStr">
        <x:is>
          <x:t xml:space="preserve">hazard triangle prop; captions; app screen-record; branded end card</x:t>
        </x:is>
      </x:c>
      <x:c r="N63" s="110" t="inlineStr">
        <x:is>
          <x:t xml:space="preserve">High</x:t>
        </x:is>
      </x:c>
      <x:c r="O63" s="110" t="n">
        <x:v>4</x:v>
      </x:c>
      <x:c r="P63" s="110" t="n">
        <x:v>4</x:v>
      </x:c>
      <x:c r="Q63" s="110" t="n">
        <x:v>3</x:v>
      </x:c>
      <x:c r="R63" s="110" t="n">
        <x:v>3</x:v>
      </x:c>
      <x:c r="S63" s="110" t="n">
        <x:v>2</x:v>
      </x:c>
      <x:c r="T63" s="110" t="n">
        <x:f>O63+P63+Q63+S63-R63</x:f>
        <x:v>10</x:v>
      </x:c>
      <x:c r="U63" s="110" t="inlineStr">
        <x:is>
          <x:t xml:space="preserve">Advise emergency/professional help; do not offer legal/medical guarantees.</x:t>
        </x:is>
      </x:c>
      <x:c r="V63" s="110" t="inlineStr">
        <x:is>
          <x:t xml:space="preserve">Cut into a 15-sec hook, a Story poll and a carousel slide if it gets saves/comments.</x:t>
        </x:is>
      </x:c>
    </x:row>
    <x:row r="64" ht="58" customHeight="1">
      <x:c r="A64" s="117" t="n">
        <x:v>60</x:v>
      </x:c>
      <x:c r="B64" s="117" t="inlineStr">
        <x:is>
          <x:t xml:space="preserve">Education / Safety</x:t>
        </x:is>
      </x:c>
      <x:c r="C64" s="117" t="inlineStr">
        <x:is>
          <x:t xml:space="preserve">Accident Assistant</x:t>
        </x:is>
      </x:c>
      <x:c r="D64" s="117" t="inlineStr">
        <x:is>
          <x:t xml:space="preserve">Before You Drive</x:t>
        </x:is>
      </x:c>
      <x:c r="E64" s="117" t="inlineStr">
        <x:is>
          <x:t xml:space="preserve">Safety-conscious passenger</x:t>
        </x:is>
      </x:c>
      <x:c r="F64" s="117" t="inlineStr">
        <x:is>
          <x:t xml:space="preserve">Retention</x:t>
        </x:is>
      </x:c>
      <x:c r="G64" s="117" t="inlineStr">
        <x:is>
          <x:t xml:space="preserve">Checklist Reel</x:t>
        </x:is>
      </x:c>
      <x:c r="H64" s="117" t="inlineStr">
        <x:is>
          <x:t xml:space="preserve">Save this before a family errand: 3 things to check.</x:t>
        </x:is>
      </x:c>
      <x:c r="I64" s="117" t="inlineStr">
        <x:is>
          <x:t xml:space="preserve">Checklist overlay with hands-on shots; calm founder explanation.</x:t>
        </x:is>
      </x:c>
      <x:c r="J64" s="117" t="inlineStr">
        <x:is>
          <x:t xml:space="preserve">A saveable pre-drive behavior.</x:t>
        </x:is>
      </x:c>
      <x:c r="K64" s="117" t="inlineStr">
        <x:is>
          <x:t xml:space="preserve">Use the story to show panic and confusion after a crash and end with one practical takeaway.</x:t>
        </x:is>
      </x:c>
      <x:c r="L64" s="117" t="inlineStr">
        <x:is>
          <x:t xml:space="preserve">Download Msafiri before you need it.</x:t>
        </x:is>
      </x:c>
      <x:c r="M64" s="117" t="inlineStr">
        <x:is>
          <x:t xml:space="preserve">calm founder explanation; captions; app screen-record; branded end card</x:t>
        </x:is>
      </x:c>
      <x:c r="N64" s="117" t="inlineStr">
        <x:is>
          <x:t xml:space="preserve">Low</x:t>
        </x:is>
      </x:c>
      <x:c r="O64" s="117" t="n">
        <x:v>3</x:v>
      </x:c>
      <x:c r="P64" s="117" t="n">
        <x:v>5</x:v>
      </x:c>
      <x:c r="Q64" s="117" t="n">
        <x:v>3</x:v>
      </x:c>
      <x:c r="R64" s="117" t="n">
        <x:v>1</x:v>
      </x:c>
      <x:c r="S64" s="117" t="n">
        <x:v>2</x:v>
      </x:c>
      <x:c r="T64" s="117" t="n">
        <x:f>O64+P64+Q64+S64-R64</x:f>
        <x:v>12</x:v>
      </x:c>
      <x:c r="U64" s="117" t="inlineStr">
        <x:is>
          <x:t xml:space="preserve">Advise emergency/professional help; do not offer legal/medical guarantees.</x:t>
        </x:is>
      </x:c>
      <x:c r="V64" s="117" t="inlineStr">
        <x:is>
          <x:t xml:space="preserve">Cut into a 15-sec hook, a Story poll and a carousel slide if it gets saves/comments.</x:t>
        </x:is>
      </x:c>
    </x:row>
    <x:row r="65" ht="58" customHeight="1">
      <x:c r="A65" s="110" t="n">
        <x:v>61</x:v>
      </x:c>
      <x:c r="B65" s="110" t="inlineStr">
        <x:is>
          <x:t xml:space="preserve">Founder / BTS</x:t>
        </x:is>
      </x:c>
      <x:c r="C65" s="110" t="inlineStr">
        <x:is>
          <x:t xml:space="preserve">Accident Assistant</x:t>
        </x:is>
      </x:c>
      <x:c r="D65" s="110" t="inlineStr">
        <x:is>
          <x:t xml:space="preserve">Founder Files</x:t>
        </x:is>
      </x:c>
      <x:c r="E65" s="110" t="inlineStr">
        <x:is>
          <x:t xml:space="preserve">Family driver</x:t>
        </x:is>
      </x:c>
      <x:c r="F65" s="110" t="inlineStr">
        <x:is>
          <x:t xml:space="preserve">Trust</x:t>
        </x:is>
      </x:c>
      <x:c r="G65" s="110" t="inlineStr">
        <x:is>
          <x:t xml:space="preserve">Founder-to-camera</x:t>
        </x:is>
      </x:c>
      <x:c r="H65" s="110" t="inlineStr">
        <x:is>
          <x:t xml:space="preserve">Peter explains why accident assistant belongs in a Kenyan driving app.</x:t>
        </x:is>
      </x:c>
      <x:c r="I65" s="110" t="inlineStr">
        <x:is>
          <x:t xml:space="preserve">Peter in car + product cutaway; incident-flow screen.</x:t>
        </x:is>
      </x:c>
      <x:c r="J65" s="110" t="inlineStr">
        <x:is>
          <x:t xml:space="preserve">Founder trust and mission clarity.</x:t>
        </x:is>
      </x:c>
      <x:c r="K65" s="110" t="inlineStr">
        <x:is>
          <x:t xml:space="preserve">Use the story to show panic and confusion after a crash and end with one practical takeaway.</x:t>
        </x:is>
      </x:c>
      <x:c r="L65" s="110" t="inlineStr">
        <x:is>
          <x:t xml:space="preserve">Download Msafiri before you need it.</x:t>
        </x:is>
      </x:c>
      <x:c r="M65" s="110" t="inlineStr">
        <x:is>
          <x:t xml:space="preserve">incident-flow screen; captions; app screen-record; branded end card</x:t>
        </x:is>
      </x:c>
      <x:c r="N65" s="110" t="inlineStr">
        <x:is>
          <x:t xml:space="preserve">Medium</x:t>
        </x:is>
      </x:c>
      <x:c r="O65" s="110" t="n">
        <x:v>3</x:v>
      </x:c>
      <x:c r="P65" s="110" t="n">
        <x:v>4</x:v>
      </x:c>
      <x:c r="Q65" s="110" t="n">
        <x:v>3</x:v>
      </x:c>
      <x:c r="R65" s="110" t="n">
        <x:v>2</x:v>
      </x:c>
      <x:c r="S65" s="110" t="n">
        <x:v>2</x:v>
      </x:c>
      <x:c r="T65" s="110" t="n">
        <x:f>O65+P65+Q65+S65-R65</x:f>
        <x:v>10</x:v>
      </x:c>
      <x:c r="U65" s="110" t="inlineStr">
        <x:is>
          <x:t xml:space="preserve">Advise emergency/professional help; do not offer legal/medical guarantees.</x:t>
        </x:is>
      </x:c>
      <x:c r="V65" s="110" t="inlineStr">
        <x:is>
          <x:t xml:space="preserve">Cut into a 15-sec hook, a Story poll and a carousel slide if it gets saves/comments.</x:t>
        </x:is>
      </x:c>
    </x:row>
    <x:row r="66" ht="58" customHeight="1">
      <x:c r="A66" s="117" t="n">
        <x:v>62</x:v>
      </x:c>
      <x:c r="B66" s="117" t="inlineStr">
        <x:is>
          <x:t xml:space="preserve">Debate / Mythbusters</x:t>
        </x:is>
      </x:c>
      <x:c r="C66" s="117" t="inlineStr">
        <x:is>
          <x:t xml:space="preserve">Accident Assistant</x:t>
        </x:is>
      </x:c>
      <x:c r="D66" s="117" t="inlineStr">
        <x:is>
          <x:t xml:space="preserve">Road Mythbusters</x:t>
        </x:is>
      </x:c>
      <x:c r="E66" s="117" t="inlineStr">
        <x:is>
          <x:t xml:space="preserve">New driver</x:t>
        </x:is>
      </x:c>
      <x:c r="F66" s="117" t="inlineStr">
        <x:is>
          <x:t xml:space="preserve">Engagement</x:t>
        </x:is>
      </x:c>
      <x:c r="G66" s="117" t="inlineStr">
        <x:is>
          <x:t xml:space="preserve">Short-form video</x:t>
        </x:is>
      </x:c>
      <x:c r="H66" s="117" t="inlineStr">
        <x:is>
          <x:t xml:space="preserve">Hot take: most drivers think they know what to do after a crash until it happens..</x:t>
        </x:is>
      </x:c>
      <x:c r="I66" s="117" t="inlineStr">
        <x:is>
          <x:t xml:space="preserve">Claim vs reality split screen; first 10 minutes checklist.</x:t>
        </x:is>
      </x:c>
      <x:c r="J66" s="117" t="inlineStr">
        <x:is>
          <x:t xml:space="preserve">Controlled comments and debate.</x:t>
        </x:is>
      </x:c>
      <x:c r="K66" s="117" t="inlineStr">
        <x:is>
          <x:t xml:space="preserve">Use the story to show panic and confusion after a crash and end with one practical takeaway.</x:t>
        </x:is>
      </x:c>
      <x:c r="L66" s="117" t="inlineStr">
        <x:is>
          <x:t xml:space="preserve">Download Msafiri before you need it.</x:t>
        </x:is>
      </x:c>
      <x:c r="M66" s="117" t="inlineStr">
        <x:is>
          <x:t xml:space="preserve">first 10 minutes checklist; captions; app screen-record; branded end card</x:t>
        </x:is>
      </x:c>
      <x:c r="N66" s="117" t="inlineStr">
        <x:is>
          <x:t xml:space="preserve">High</x:t>
        </x:is>
      </x:c>
      <x:c r="O66" s="117" t="n">
        <x:v>4</x:v>
      </x:c>
      <x:c r="P66" s="117" t="n">
        <x:v>4</x:v>
      </x:c>
      <x:c r="Q66" s="117" t="n">
        <x:v>3</x:v>
      </x:c>
      <x:c r="R66" s="117" t="n">
        <x:v>3</x:v>
      </x:c>
      <x:c r="S66" s="117" t="n">
        <x:v>2</x:v>
      </x:c>
      <x:c r="T66" s="117" t="n">
        <x:f>O66+P66+Q66+S66-R66</x:f>
        <x:v>10</x:v>
      </x:c>
      <x:c r="U66" s="117" t="inlineStr">
        <x:is>
          <x:t xml:space="preserve">Advise emergency/professional help; do not offer legal/medical guarantees.</x:t>
        </x:is>
      </x:c>
      <x:c r="V66" s="117" t="inlineStr">
        <x:is>
          <x:t xml:space="preserve">Cut into a 15-sec hook, a Story poll and a carousel slide if it gets saves/comments.</x:t>
        </x:is>
      </x:c>
    </x:row>
    <x:row r="67" ht="58" customHeight="1">
      <x:c r="A67" s="110" t="n">
        <x:v>63</x:v>
      </x:c>
      <x:c r="B67" s="110" t="inlineStr">
        <x:is>
          <x:t xml:space="preserve">Community / UGC</x:t>
        </x:is>
      </x:c>
      <x:c r="C67" s="110" t="inlineStr">
        <x:is>
          <x:t xml:space="preserve">Accident Assistant</x:t>
        </x:is>
      </x:c>
      <x:c r="D67" s="110" t="inlineStr">
        <x:is>
          <x:t xml:space="preserve">Ask a Kenyan Driver</x:t>
        </x:is>
      </x:c>
      <x:c r="E67" s="110" t="inlineStr">
        <x:is>
          <x:t xml:space="preserve">Car owner</x:t>
        </x:is>
      </x:c>
      <x:c r="F67" s="110" t="inlineStr">
        <x:is>
          <x:t xml:space="preserve">Community</x:t>
        </x:is>
      </x:c>
      <x:c r="G67" s="110" t="inlineStr">
        <x:is>
          <x:t xml:space="preserve">Street Interview</x:t>
        </x:is>
      </x:c>
      <x:c r="H67" s="110" t="inlineStr">
        <x:is>
          <x:t xml:space="preserve">We asked drivers: what would you do first after a minor crash?</x:t>
        </x:is>
      </x:c>
      <x:c r="I67" s="110" t="inlineStr">
        <x:is>
          <x:t xml:space="preserve">Street answers + subtitle template; hands collecting details.</x:t>
        </x:is>
      </x:c>
      <x:c r="J67" s="110" t="inlineStr">
        <x:is>
          <x:t xml:space="preserve">Community stories and future ideas.</x:t>
        </x:is>
      </x:c>
      <x:c r="K67" s="110" t="inlineStr">
        <x:is>
          <x:t xml:space="preserve">Use the story to show panic and confusion after a crash and end with one practical takeaway.</x:t>
        </x:is>
      </x:c>
      <x:c r="L67" s="110" t="inlineStr">
        <x:is>
          <x:t xml:space="preserve">Download Msafiri before you need it.</x:t>
        </x:is>
      </x:c>
      <x:c r="M67" s="110" t="inlineStr">
        <x:is>
          <x:t xml:space="preserve">hands collecting details; captions; app screen-record; branded end card</x:t>
        </x:is>
      </x:c>
      <x:c r="N67" s="110" t="inlineStr">
        <x:is>
          <x:t xml:space="preserve">Low</x:t>
        </x:is>
      </x:c>
      <x:c r="O67" s="110" t="n">
        <x:v>3</x:v>
      </x:c>
      <x:c r="P67" s="110" t="n">
        <x:v>4</x:v>
      </x:c>
      <x:c r="Q67" s="110" t="n">
        <x:v>3</x:v>
      </x:c>
      <x:c r="R67" s="110" t="n">
        <x:v>1</x:v>
      </x:c>
      <x:c r="S67" s="110" t="n">
        <x:v>2</x:v>
      </x:c>
      <x:c r="T67" s="110" t="n">
        <x:f>O67+P67+Q67+S67-R67</x:f>
        <x:v>11</x:v>
      </x:c>
      <x:c r="U67" s="110" t="inlineStr">
        <x:is>
          <x:t xml:space="preserve">Advise emergency/professional help; do not offer legal/medical guarantees.</x:t>
        </x:is>
      </x:c>
      <x:c r="V67" s="110" t="inlineStr">
        <x:is>
          <x:t xml:space="preserve">Turn best responses into Comment-to-Video and add to next week’s road-check queue.</x:t>
        </x:is>
      </x:c>
    </x:row>
    <x:row r="68" ht="58" customHeight="1">
      <x:c r="A68" s="117" t="n">
        <x:v>64</x:v>
      </x:c>
      <x:c r="B68" s="117" t="inlineStr">
        <x:is>
          <x:t xml:space="preserve">Accident Readiness</x:t>
        </x:is>
      </x:c>
      <x:c r="C68" s="117" t="inlineStr">
        <x:is>
          <x:t xml:space="preserve">Accident Assistant</x:t>
        </x:is>
      </x:c>
      <x:c r="D68" s="117" t="inlineStr">
        <x:is>
          <x:t xml:space="preserve">Would You Know What To Do?</x:t>
        </x:is>
      </x:c>
      <x:c r="E68" s="117" t="inlineStr">
        <x:is>
          <x:t xml:space="preserve">Safety-conscious passenger</x:t>
        </x:is>
      </x:c>
      <x:c r="F68" s="117" t="inlineStr">
        <x:is>
          <x:t xml:space="preserve">Trust</x:t>
        </x:is>
      </x:c>
      <x:c r="G68" s="117" t="inlineStr">
        <x:is>
          <x:t xml:space="preserve">Short-form video</x:t>
        </x:is>
      </x:c>
      <x:c r="H68" s="117" t="inlineStr">
        <x:is>
          <x:t xml:space="preserve">If this happened today, would you know what to do first?</x:t>
        </x:is>
      </x:c>
      <x:c r="I68" s="117" t="inlineStr">
        <x:is>
          <x:t xml:space="preserve">Scenario roleplay + checklist; hazard triangle prop.</x:t>
        </x:is>
      </x:c>
      <x:c r="J68" s="117" t="inlineStr">
        <x:is>
          <x:t xml:space="preserve">Preparedness without fear.</x:t>
        </x:is>
      </x:c>
      <x:c r="K68" s="117" t="inlineStr">
        <x:is>
          <x:t xml:space="preserve">Use the story to show panic and confusion after a crash and end with one practical takeaway.</x:t>
        </x:is>
      </x:c>
      <x:c r="L68" s="117" t="inlineStr">
        <x:is>
          <x:t xml:space="preserve">Download Msafiri before you need it.</x:t>
        </x:is>
      </x:c>
      <x:c r="M68" s="117" t="inlineStr">
        <x:is>
          <x:t xml:space="preserve">hazard triangle prop; captions; app screen-record; branded end card</x:t>
        </x:is>
      </x:c>
      <x:c r="N68" s="117" t="inlineStr">
        <x:is>
          <x:t xml:space="preserve">Medium</x:t>
        </x:is>
      </x:c>
      <x:c r="O68" s="117" t="n">
        <x:v>3</x:v>
      </x:c>
      <x:c r="P68" s="117" t="n">
        <x:v>5</x:v>
      </x:c>
      <x:c r="Q68" s="117" t="n">
        <x:v>3</x:v>
      </x:c>
      <x:c r="R68" s="117" t="n">
        <x:v>2</x:v>
      </x:c>
      <x:c r="S68" s="117" t="n">
        <x:v>2</x:v>
      </x:c>
      <x:c r="T68" s="117" t="n">
        <x:f>O68+P68+Q68+S68-R68</x:f>
        <x:v>11</x:v>
      </x:c>
      <x:c r="U68" s="117" t="inlineStr">
        <x:is>
          <x:t xml:space="preserve">Advise emergency/professional help; do not offer legal/medical guarantees.</x:t>
        </x:is>
      </x:c>
      <x:c r="V68" s="117" t="inlineStr">
        <x:is>
          <x:t xml:space="preserve">Cut into a 15-sec hook, a Story poll and a carousel slide if it gets saves/comments.</x:t>
        </x:is>
      </x:c>
    </x:row>
    <x:row r="69" ht="58" customHeight="1">
      <x:c r="A69" s="110" t="n">
        <x:v>65</x:v>
      </x:c>
      <x:c r="B69" s="110" t="inlineStr">
        <x:is>
          <x:t xml:space="preserve">Product / Feature Proof</x:t>
        </x:is>
      </x:c>
      <x:c r="C69" s="110" t="inlineStr">
        <x:is>
          <x:t xml:space="preserve">Accident Assistant</x:t>
        </x:is>
      </x:c>
      <x:c r="D69" s="110" t="inlineStr">
        <x:is>
          <x:t xml:space="preserve">Can Msafiri Do This?</x:t>
        </x:is>
      </x:c>
      <x:c r="E69" s="110" t="inlineStr">
        <x:is>
          <x:t xml:space="preserve">Family driver</x:t>
        </x:is>
      </x:c>
      <x:c r="F69" s="110" t="inlineStr">
        <x:is>
          <x:t xml:space="preserve">Feature Discovery</x:t>
        </x:is>
      </x:c>
      <x:c r="G69" s="110" t="inlineStr">
        <x:is>
          <x:t xml:space="preserve">Short-form video</x:t>
        </x:is>
      </x:c>
      <x:c r="H69" s="110" t="inlineStr">
        <x:is>
          <x:t xml:space="preserve">Can Msafiri help when panic and confusion after a crash? Let’s test it.</x:t>
        </x:is>
      </x:c>
      <x:c r="I69" s="110" t="inlineStr">
        <x:is>
          <x:t xml:space="preserve">Live test with timer; calm founder explanation.</x:t>
        </x:is>
      </x:c>
      <x:c r="J69" s="110" t="inlineStr">
        <x:is>
          <x:t xml:space="preserve">Proof through demonstration.</x:t>
        </x:is>
      </x:c>
      <x:c r="K69" s="110" t="inlineStr">
        <x:is>
          <x:t xml:space="preserve">Use the story to show panic and confusion after a crash and end with one practical takeaway.</x:t>
        </x:is>
      </x:c>
      <x:c r="L69" s="110" t="inlineStr">
        <x:is>
          <x:t xml:space="preserve">Download Msafiri before you need it.</x:t>
        </x:is>
      </x:c>
      <x:c r="M69" s="110" t="inlineStr">
        <x:is>
          <x:t xml:space="preserve">calm founder explanation; captions; app screen-record; branded end card</x:t>
        </x:is>
      </x:c>
      <x:c r="N69" s="110" t="inlineStr">
        <x:is>
          <x:t xml:space="preserve">High</x:t>
        </x:is>
      </x:c>
      <x:c r="O69" s="110" t="n">
        <x:v>3</x:v>
      </x:c>
      <x:c r="P69" s="110" t="n">
        <x:v>4</x:v>
      </x:c>
      <x:c r="Q69" s="110" t="n">
        <x:v>5</x:v>
      </x:c>
      <x:c r="R69" s="110" t="n">
        <x:v>3</x:v>
      </x:c>
      <x:c r="S69" s="110" t="n">
        <x:v>2</x:v>
      </x:c>
      <x:c r="T69" s="110" t="n">
        <x:f>O69+P69+Q69+S69-R69</x:f>
        <x:v>11</x:v>
      </x:c>
      <x:c r="U69" s="110" t="inlineStr">
        <x:is>
          <x:t xml:space="preserve">Advise emergency/professional help; do not offer legal/medical guarantees.</x:t>
        </x:is>
      </x:c>
      <x:c r="V69" s="110" t="inlineStr">
        <x:is>
          <x:t xml:space="preserve">Cut into a 15-sec hook, a Story poll and a carousel slide if it gets saves/comments.</x:t>
        </x:is>
      </x:c>
    </x:row>
    <x:row r="70" ht="58" customHeight="1">
      <x:c r="A70" s="117" t="n">
        <x:v>66</x:v>
      </x:c>
      <x:c r="B70" s="117" t="inlineStr">
        <x:is>
          <x:t xml:space="preserve">Road Intelligence</x:t>
        </x:is>
      </x:c>
      <x:c r="C70" s="117" t="inlineStr">
        <x:is>
          <x:t xml:space="preserve">Accident Assistant</x:t>
        </x:is>
      </x:c>
      <x:c r="D70" s="117" t="inlineStr">
        <x:is>
          <x:t xml:space="preserve">Road Trip POV</x:t>
        </x:is>
      </x:c>
      <x:c r="E70" s="117" t="inlineStr">
        <x:is>
          <x:t xml:space="preserve">New driver</x:t>
        </x:is>
      </x:c>
      <x:c r="F70" s="117" t="inlineStr">
        <x:is>
          <x:t xml:space="preserve">Awareness</x:t>
        </x:is>
      </x:c>
      <x:c r="G70" s="117" t="inlineStr">
        <x:is>
          <x:t xml:space="preserve">Hero / Reel</x:t>
        </x:is>
      </x:c>
      <x:c r="H70" s="117" t="inlineStr">
        <x:is>
          <x:t xml:space="preserve">A calm drive is not luck — watch how we planned a late-night return.</x:t>
        </x:is>
      </x:c>
      <x:c r="I70" s="117" t="inlineStr">
        <x:is>
          <x:t xml:space="preserve">Cinematic POV + UI moments; incident-flow screen.</x:t>
        </x:is>
      </x:c>
      <x:c r="J70" s="117" t="inlineStr">
        <x:is>
          <x:t xml:space="preserve">Aspirational practical brand feel.</x:t>
        </x:is>
      </x:c>
      <x:c r="K70" s="117" t="inlineStr">
        <x:is>
          <x:t xml:space="preserve">Use the story to show panic and confusion after a crash and end with one practical takeaway.</x:t>
        </x:is>
      </x:c>
      <x:c r="L70" s="117" t="inlineStr">
        <x:is>
          <x:t xml:space="preserve">Download Msafiri before you need it.</x:t>
        </x:is>
      </x:c>
      <x:c r="M70" s="117" t="inlineStr">
        <x:is>
          <x:t xml:space="preserve">incident-flow screen; captions; app screen-record; branded end card</x:t>
        </x:is>
      </x:c>
      <x:c r="N70" s="117" t="inlineStr">
        <x:is>
          <x:t xml:space="preserve">Low</x:t>
        </x:is>
      </x:c>
      <x:c r="O70" s="117" t="n">
        <x:v>3</x:v>
      </x:c>
      <x:c r="P70" s="117" t="n">
        <x:v>5</x:v>
      </x:c>
      <x:c r="Q70" s="117" t="n">
        <x:v>3</x:v>
      </x:c>
      <x:c r="R70" s="117" t="n">
        <x:v>1</x:v>
      </x:c>
      <x:c r="S70" s="117" t="n">
        <x:v>3</x:v>
      </x:c>
      <x:c r="T70" s="117" t="n">
        <x:f>O70+P70+Q70+S70-R70</x:f>
        <x:v>13</x:v>
      </x:c>
      <x:c r="U70" s="117" t="inlineStr">
        <x:is>
          <x:t xml:space="preserve">Advise emergency/professional help; do not offer legal/medical guarantees.</x:t>
        </x:is>
      </x:c>
      <x:c r="V70" s="117" t="inlineStr">
        <x:is>
          <x:t xml:space="preserve">Cut into a 15-sec hook, a Story poll and a carousel slide if it gets saves/comments.</x:t>
        </x:is>
      </x:c>
    </x:row>
    <x:row r="71" ht="58" customHeight="1">
      <x:c r="A71" s="110" t="n">
        <x:v>67</x:v>
      </x:c>
      <x:c r="B71" s="110" t="inlineStr">
        <x:is>
          <x:t xml:space="preserve">Education / Safety</x:t>
        </x:is>
      </x:c>
      <x:c r="C71" s="110" t="inlineStr">
        <x:is>
          <x:t xml:space="preserve">Accident Assistant</x:t>
        </x:is>
      </x:c>
      <x:c r="D71" s="110" t="inlineStr">
        <x:is>
          <x:t xml:space="preserve">One Minute Road Safety</x:t>
        </x:is>
      </x:c>
      <x:c r="E71" s="110" t="inlineStr">
        <x:is>
          <x:t xml:space="preserve">Car owner</x:t>
        </x:is>
      </x:c>
      <x:c r="F71" s="110" t="inlineStr">
        <x:is>
          <x:t xml:space="preserve">Retention</x:t>
        </x:is>
      </x:c>
      <x:c r="G71" s="110" t="inlineStr">
        <x:is>
          <x:t xml:space="preserve">Checklist Reel</x:t>
        </x:is>
      </x:c>
      <x:c r="H71" s="110" t="inlineStr">
        <x:is>
          <x:t xml:space="preserve">One minute road safety: accident assistant edition.</x:t>
        </x:is>
      </x:c>
      <x:c r="I71" s="110" t="inlineStr">
        <x:is>
          <x:t xml:space="preserve">One tip per beat; first 10 minutes checklist.</x:t>
        </x:is>
      </x:c>
      <x:c r="J71" s="110" t="inlineStr">
        <x:is>
          <x:t xml:space="preserve">Quick knowledge people can use.</x:t>
        </x:is>
      </x:c>
      <x:c r="K71" s="110" t="inlineStr">
        <x:is>
          <x:t xml:space="preserve">Use the story to show panic and confusion after a crash and end with one practical takeaway.</x:t>
        </x:is>
      </x:c>
      <x:c r="L71" s="110" t="inlineStr">
        <x:is>
          <x:t xml:space="preserve">Download Msafiri before you need it.</x:t>
        </x:is>
      </x:c>
      <x:c r="M71" s="110" t="inlineStr">
        <x:is>
          <x:t xml:space="preserve">first 10 minutes checklist; captions; app screen-record; branded end card</x:t>
        </x:is>
      </x:c>
      <x:c r="N71" s="110" t="inlineStr">
        <x:is>
          <x:t xml:space="preserve">Medium</x:t>
        </x:is>
      </x:c>
      <x:c r="O71" s="110" t="n">
        <x:v>3</x:v>
      </x:c>
      <x:c r="P71" s="110" t="n">
        <x:v>5</x:v>
      </x:c>
      <x:c r="Q71" s="110" t="n">
        <x:v>3</x:v>
      </x:c>
      <x:c r="R71" s="110" t="n">
        <x:v>2</x:v>
      </x:c>
      <x:c r="S71" s="110" t="n">
        <x:v>2</x:v>
      </x:c>
      <x:c r="T71" s="110" t="n">
        <x:f>O71+P71+Q71+S71-R71</x:f>
        <x:v>11</x:v>
      </x:c>
      <x:c r="U71" s="110" t="inlineStr">
        <x:is>
          <x:t xml:space="preserve">Advise emergency/professional help; do not offer legal/medical guarantees.</x:t>
        </x:is>
      </x:c>
      <x:c r="V71" s="110" t="inlineStr">
        <x:is>
          <x:t xml:space="preserve">Cut into a 15-sec hook, a Story poll and a carousel slide if it gets saves/comments.</x:t>
        </x:is>
      </x:c>
    </x:row>
    <x:row r="72" ht="58" customHeight="1">
      <x:c r="A72" s="117" t="n">
        <x:v>68</x:v>
      </x:c>
      <x:c r="B72" s="117" t="inlineStr">
        <x:is>
          <x:t xml:space="preserve">Founder / BTS</x:t>
        </x:is>
      </x:c>
      <x:c r="C72" s="117" t="inlineStr">
        <x:is>
          <x:t xml:space="preserve">Accident Assistant</x:t>
        </x:is>
      </x:c>
      <x:c r="D72" s="117" t="inlineStr">
        <x:is>
          <x:t xml:space="preserve">Build With Peter</x:t>
        </x:is>
      </x:c>
      <x:c r="E72" s="117" t="inlineStr">
        <x:is>
          <x:t xml:space="preserve">Safety-conscious passenger</x:t>
        </x:is>
      </x:c>
      <x:c r="F72" s="117" t="inlineStr">
        <x:is>
          <x:t xml:space="preserve">Trust</x:t>
        </x:is>
      </x:c>
      <x:c r="G72" s="117" t="inlineStr">
        <x:is>
          <x:t xml:space="preserve">Founder-to-camera</x:t>
        </x:is>
      </x:c>
      <x:c r="H72" s="117" t="inlineStr">
        <x:is>
          <x:t xml:space="preserve">The product decision we almost got wrong with accident assistant.</x:t>
        </x:is>
      </x:c>
      <x:c r="I72" s="117" t="inlineStr">
        <x:is>
          <x:t xml:space="preserve">Peter + notes + app prototype; hands collecting details.</x:t>
        </x:is>
      </x:c>
      <x:c r="J72" s="117" t="inlineStr">
        <x:is>
          <x:t xml:space="preserve">Humanizing the build process.</x:t>
        </x:is>
      </x:c>
      <x:c r="K72" s="117" t="inlineStr">
        <x:is>
          <x:t xml:space="preserve">Use the story to show panic and confusion after a crash and end with one practical takeaway.</x:t>
        </x:is>
      </x:c>
      <x:c r="L72" s="117" t="inlineStr">
        <x:is>
          <x:t xml:space="preserve">Download Msafiri before you need it.</x:t>
        </x:is>
      </x:c>
      <x:c r="M72" s="117" t="inlineStr">
        <x:is>
          <x:t xml:space="preserve">hands collecting details; captions; app screen-record; branded end card</x:t>
        </x:is>
      </x:c>
      <x:c r="N72" s="117" t="inlineStr">
        <x:is>
          <x:t xml:space="preserve">High</x:t>
        </x:is>
      </x:c>
      <x:c r="O72" s="117" t="n">
        <x:v>3</x:v>
      </x:c>
      <x:c r="P72" s="117" t="n">
        <x:v>4</x:v>
      </x:c>
      <x:c r="Q72" s="117" t="n">
        <x:v>3</x:v>
      </x:c>
      <x:c r="R72" s="117" t="n">
        <x:v>3</x:v>
      </x:c>
      <x:c r="S72" s="117" t="n">
        <x:v>2</x:v>
      </x:c>
      <x:c r="T72" s="117" t="n">
        <x:f>O72+P72+Q72+S72-R72</x:f>
        <x:v>9</x:v>
      </x:c>
      <x:c r="U72" s="117" t="inlineStr">
        <x:is>
          <x:t xml:space="preserve">Advise emergency/professional help; do not offer legal/medical guarantees.</x:t>
        </x:is>
      </x:c>
      <x:c r="V72" s="117" t="inlineStr">
        <x:is>
          <x:t xml:space="preserve">Cut into a 15-sec hook, a Story poll and a carousel slide if it gets saves/comments.</x:t>
        </x:is>
      </x:c>
    </x:row>
    <x:row r="73" ht="58" customHeight="1">
      <x:c r="A73" s="110" t="n">
        <x:v>69</x:v>
      </x:c>
      <x:c r="B73" s="110" t="inlineStr">
        <x:is>
          <x:t xml:space="preserve">Community / UGC</x:t>
        </x:is>
      </x:c>
      <x:c r="C73" s="110" t="inlineStr">
        <x:is>
          <x:t xml:space="preserve">Accident Assistant</x:t>
        </x:is>
      </x:c>
      <x:c r="D73" s="110" t="inlineStr">
        <x:is>
          <x:t xml:space="preserve">Comment-to-Video</x:t>
        </x:is>
      </x:c>
      <x:c r="E73" s="110" t="inlineStr">
        <x:is>
          <x:t xml:space="preserve">Family driver</x:t>
        </x:is>
      </x:c>
      <x:c r="F73" s="110" t="inlineStr">
        <x:is>
          <x:t xml:space="preserve">Community</x:t>
        </x:is>
      </x:c>
      <x:c r="G73" s="110" t="inlineStr">
        <x:is>
          <x:t xml:space="preserve">Community Reply</x:t>
        </x:is>
      </x:c>
      <x:c r="H73" s="110" t="inlineStr">
        <x:is>
          <x:t xml:space="preserve">A follower asked about panic and confusion after a crash; here is the practical answer.</x:t>
        </x:is>
      </x:c>
      <x:c r="I73" s="110" t="inlineStr">
        <x:is>
          <x:t xml:space="preserve">Comment sticker + direct answer; hazard triangle prop.</x:t>
        </x:is>
      </x:c>
      <x:c r="J73" s="110" t="inlineStr">
        <x:is>
          <x:t xml:space="preserve">Reward comments and build trust.</x:t>
        </x:is>
      </x:c>
      <x:c r="K73" s="110" t="inlineStr">
        <x:is>
          <x:t xml:space="preserve">Use the story to show panic and confusion after a crash and end with one practical takeaway.</x:t>
        </x:is>
      </x:c>
      <x:c r="L73" s="110" t="inlineStr">
        <x:is>
          <x:t xml:space="preserve">Download Msafiri before you need it.</x:t>
        </x:is>
      </x:c>
      <x:c r="M73" s="110" t="inlineStr">
        <x:is>
          <x:t xml:space="preserve">hazard triangle prop; captions; app screen-record; branded end card</x:t>
        </x:is>
      </x:c>
      <x:c r="N73" s="110" t="inlineStr">
        <x:is>
          <x:t xml:space="preserve">Low</x:t>
        </x:is>
      </x:c>
      <x:c r="O73" s="110" t="n">
        <x:v>3</x:v>
      </x:c>
      <x:c r="P73" s="110" t="n">
        <x:v>4</x:v>
      </x:c>
      <x:c r="Q73" s="110" t="n">
        <x:v>3</x:v>
      </x:c>
      <x:c r="R73" s="110" t="n">
        <x:v>1</x:v>
      </x:c>
      <x:c r="S73" s="110" t="n">
        <x:v>2</x:v>
      </x:c>
      <x:c r="T73" s="110" t="n">
        <x:f>O73+P73+Q73+S73-R73</x:f>
        <x:v>11</x:v>
      </x:c>
      <x:c r="U73" s="110" t="inlineStr">
        <x:is>
          <x:t xml:space="preserve">Advise emergency/professional help; do not offer legal/medical guarantees.</x:t>
        </x:is>
      </x:c>
      <x:c r="V73" s="110" t="inlineStr">
        <x:is>
          <x:t xml:space="preserve">Cut into a 15-sec hook, a Story poll and a carousel slide if it gets saves/comments.</x:t>
        </x:is>
      </x:c>
    </x:row>
    <x:row r="74" ht="58" customHeight="1">
      <x:c r="A74" s="117" t="n">
        <x:v>70</x:v>
      </x:c>
      <x:c r="B74" s="117" t="inlineStr">
        <x:is>
          <x:t xml:space="preserve">Kenyan Driving Reality</x:t>
        </x:is>
      </x:c>
      <x:c r="C74" s="117" t="inlineStr">
        <x:is>
          <x:t xml:space="preserve">Accident Assistant</x:t>
        </x:is>
      </x:c>
      <x:c r="D74" s="117" t="inlineStr">
        <x:is>
          <x:t xml:space="preserve">Driver Confessions</x:t>
        </x:is>
      </x:c>
      <x:c r="E74" s="117" t="inlineStr">
        <x:is>
          <x:t xml:space="preserve">New driver</x:t>
        </x:is>
      </x:c>
      <x:c r="F74" s="117" t="inlineStr">
        <x:is>
          <x:t xml:space="preserve">Engagement</x:t>
        </x:is>
      </x:c>
      <x:c r="G74" s="117" t="inlineStr">
        <x:is>
          <x:t xml:space="preserve">Street Interview</x:t>
        </x:is>
      </x:c>
      <x:c r="H74" s="117" t="inlineStr">
        <x:is>
          <x:t xml:space="preserve">Confession time: what is the one driving mistake you learned from?</x:t>
        </x:is>
      </x:c>
      <x:c r="I74" s="117" t="inlineStr">
        <x:is>
          <x:t xml:space="preserve">Anonymous driver confession; calm founder explanation.</x:t>
        </x:is>
      </x:c>
      <x:c r="J74" s="117" t="inlineStr">
        <x:is>
          <x:t xml:space="preserve">Relatable vulnerability.</x:t>
        </x:is>
      </x:c>
      <x:c r="K74" s="117" t="inlineStr">
        <x:is>
          <x:t xml:space="preserve">Use the story to show panic and confusion after a crash and end with one practical takeaway.</x:t>
        </x:is>
      </x:c>
      <x:c r="L74" s="117" t="inlineStr">
        <x:is>
          <x:t xml:space="preserve">Download Msafiri before you need it.</x:t>
        </x:is>
      </x:c>
      <x:c r="M74" s="117" t="inlineStr">
        <x:is>
          <x:t xml:space="preserve">calm founder explanation; captions; app screen-record; branded end card</x:t>
        </x:is>
      </x:c>
      <x:c r="N74" s="117" t="inlineStr">
        <x:is>
          <x:t xml:space="preserve">Medium</x:t>
        </x:is>
      </x:c>
      <x:c r="O74" s="117" t="n">
        <x:v>4</x:v>
      </x:c>
      <x:c r="P74" s="117" t="n">
        <x:v>4</x:v>
      </x:c>
      <x:c r="Q74" s="117" t="n">
        <x:v>3</x:v>
      </x:c>
      <x:c r="R74" s="117" t="n">
        <x:v>2</x:v>
      </x:c>
      <x:c r="S74" s="117" t="n">
        <x:v>2</x:v>
      </x:c>
      <x:c r="T74" s="117" t="n">
        <x:f>O74+P74+Q74+S74-R74</x:f>
        <x:v>11</x:v>
      </x:c>
      <x:c r="U74" s="117" t="inlineStr">
        <x:is>
          <x:t xml:space="preserve">Advise emergency/professional help; do not offer legal/medical guarantees.</x:t>
        </x:is>
      </x:c>
      <x:c r="V74" s="117" t="inlineStr">
        <x:is>
          <x:t xml:space="preserve">Turn best responses into Comment-to-Video and add to next week’s road-check queue.</x:t>
        </x:is>
      </x:c>
    </x:row>
    <x:row r="75" ht="58" customHeight="1">
      <x:c r="A75" s="110" t="n">
        <x:v>71</x:v>
      </x:c>
      <x:c r="B75" s="110" t="inlineStr">
        <x:is>
          <x:t xml:space="preserve">Product / Feature Proof</x:t>
        </x:is>
      </x:c>
      <x:c r="C75" s="110" t="inlineStr">
        <x:is>
          <x:t xml:space="preserve">Accident Assistant</x:t>
        </x:is>
      </x:c>
      <x:c r="D75" s="110" t="inlineStr">
        <x:is>
          <x:t xml:space="preserve">Before / After</x:t>
        </x:is>
      </x:c>
      <x:c r="E75" s="110" t="inlineStr">
        <x:is>
          <x:t xml:space="preserve">Car owner</x:t>
        </x:is>
      </x:c>
      <x:c r="F75" s="110" t="inlineStr">
        <x:is>
          <x:t xml:space="preserve">Conversion</x:t>
        </x:is>
      </x:c>
      <x:c r="G75" s="110" t="inlineStr">
        <x:is>
          <x:t xml:space="preserve">Short-form video</x:t>
        </x:is>
      </x:c>
      <x:c r="H75" s="110" t="inlineStr">
        <x:is>
          <x:t xml:space="preserve">Before Msafiri vs after Msafiri when panic and confusion after a crash.</x:t>
        </x:is>
      </x:c>
      <x:c r="I75" s="110" t="inlineStr">
        <x:is>
          <x:t xml:space="preserve">Two-act split screen; incident-flow screen.</x:t>
        </x:is>
      </x:c>
      <x:c r="J75" s="110" t="inlineStr">
        <x:is>
          <x:t xml:space="preserve">A clear reason to try.</x:t>
        </x:is>
      </x:c>
      <x:c r="K75" s="110" t="inlineStr">
        <x:is>
          <x:t xml:space="preserve">Use the story to show panic and confusion after a crash and end with one practical takeaway.</x:t>
        </x:is>
      </x:c>
      <x:c r="L75" s="110" t="inlineStr">
        <x:is>
          <x:t xml:space="preserve">Download Msafiri before you need it.</x:t>
        </x:is>
      </x:c>
      <x:c r="M75" s="110" t="inlineStr">
        <x:is>
          <x:t xml:space="preserve">incident-flow screen; captions; app screen-record; branded end card</x:t>
        </x:is>
      </x:c>
      <x:c r="N75" s="110" t="inlineStr">
        <x:is>
          <x:t xml:space="preserve">High</x:t>
        </x:is>
      </x:c>
      <x:c r="O75" s="110" t="n">
        <x:v>3</x:v>
      </x:c>
      <x:c r="P75" s="110" t="n">
        <x:v>4</x:v>
      </x:c>
      <x:c r="Q75" s="110" t="n">
        <x:v>5</x:v>
      </x:c>
      <x:c r="R75" s="110" t="n">
        <x:v>3</x:v>
      </x:c>
      <x:c r="S75" s="110" t="n">
        <x:v>2</x:v>
      </x:c>
      <x:c r="T75" s="110" t="n">
        <x:f>O75+P75+Q75+S75-R75</x:f>
        <x:v>11</x:v>
      </x:c>
      <x:c r="U75" s="110" t="inlineStr">
        <x:is>
          <x:t xml:space="preserve">Advise emergency/professional help; do not offer legal/medical guarantees.</x:t>
        </x:is>
      </x:c>
      <x:c r="V75" s="110" t="inlineStr">
        <x:is>
          <x:t xml:space="preserve">Cut into a 15-sec hook, a Story poll and a carousel slide if it gets saves/comments.</x:t>
        </x:is>
      </x:c>
    </x:row>
    <x:row r="76" ht="58" customHeight="1">
      <x:c r="A76" s="117" t="n">
        <x:v>72</x:v>
      </x:c>
      <x:c r="B76" s="117" t="inlineStr">
        <x:is>
          <x:t xml:space="preserve">Seasonal Campaign</x:t>
        </x:is>
      </x:c>
      <x:c r="C76" s="117" t="inlineStr">
        <x:is>
          <x:t xml:space="preserve">Accident Assistant</x:t>
        </x:is>
      </x:c>
      <x:c r="D76" s="117" t="inlineStr">
        <x:is>
          <x:t xml:space="preserve">Holiday Road Prep</x:t>
        </x:is>
      </x:c>
      <x:c r="E76" s="117" t="inlineStr">
        <x:is>
          <x:t xml:space="preserve">Safety-conscious passenger</x:t>
        </x:is>
      </x:c>
      <x:c r="F76" s="117" t="inlineStr">
        <x:is>
          <x:t xml:space="preserve">Awareness</x:t>
        </x:is>
      </x:c>
      <x:c r="G76" s="117" t="inlineStr">
        <x:is>
          <x:t xml:space="preserve">Checklist Reel</x:t>
        </x:is>
      </x:c>
      <x:c r="H76" s="117" t="inlineStr">
        <x:is>
          <x:t xml:space="preserve">Holiday drive coming up? Do not leave before checking this.</x:t>
        </x:is>
      </x:c>
      <x:c r="I76" s="117" t="inlineStr">
        <x:is>
          <x:t xml:space="preserve">Packing + car + phone mount; first 10 minutes checklist.</x:t>
        </x:is>
      </x:c>
      <x:c r="J76" s="117" t="inlineStr">
        <x:is>
          <x:t xml:space="preserve">Seasonal urgency.</x:t>
        </x:is>
      </x:c>
      <x:c r="K76" s="117" t="inlineStr">
        <x:is>
          <x:t xml:space="preserve">Use the story to show panic and confusion after a crash and end with one practical takeaway.</x:t>
        </x:is>
      </x:c>
      <x:c r="L76" s="117" t="inlineStr">
        <x:is>
          <x:t xml:space="preserve">Download Msafiri before you need it.</x:t>
        </x:is>
      </x:c>
      <x:c r="M76" s="117" t="inlineStr">
        <x:is>
          <x:t xml:space="preserve">first 10 minutes checklist; captions; app screen-record; branded end card</x:t>
        </x:is>
      </x:c>
      <x:c r="N76" s="117" t="inlineStr">
        <x:is>
          <x:t xml:space="preserve">Low</x:t>
        </x:is>
      </x:c>
      <x:c r="O76" s="117" t="n">
        <x:v>4</x:v>
      </x:c>
      <x:c r="P76" s="117" t="n">
        <x:v>4</x:v>
      </x:c>
      <x:c r="Q76" s="117" t="n">
        <x:v>3</x:v>
      </x:c>
      <x:c r="R76" s="117" t="n">
        <x:v>1</x:v>
      </x:c>
      <x:c r="S76" s="117" t="n">
        <x:v>4</x:v>
      </x:c>
      <x:c r="T76" s="117" t="n">
        <x:f>O76+P76+Q76+S76-R76</x:f>
        <x:v>14</x:v>
      </x:c>
      <x:c r="U76" s="117" t="inlineStr">
        <x:is>
          <x:t xml:space="preserve">Advise emergency/professional help; do not offer legal/medical guarantees.</x:t>
        </x:is>
      </x:c>
      <x:c r="V76" s="117" t="inlineStr">
        <x:is>
          <x:t xml:space="preserve">Cut into a 15-sec hook, a Story poll and a carousel slide if it gets saves/comments.</x:t>
        </x:is>
      </x:c>
    </x:row>
    <x:row r="77" ht="58" customHeight="1">
      <x:c r="A77" s="110" t="n">
        <x:v>73</x:v>
      </x:c>
      <x:c r="B77" s="110" t="inlineStr">
        <x:is>
          <x:t xml:space="preserve">Education / Safety</x:t>
        </x:is>
      </x:c>
      <x:c r="C77" s="110" t="inlineStr">
        <x:is>
          <x:t xml:space="preserve">Accident Assistant</x:t>
        </x:is>
      </x:c>
      <x:c r="D77" s="110" t="inlineStr">
        <x:is>
          <x:t xml:space="preserve">Passenger POV</x:t>
        </x:is>
      </x:c>
      <x:c r="E77" s="110" t="inlineStr">
        <x:is>
          <x:t xml:space="preserve">Family driver</x:t>
        </x:is>
      </x:c>
      <x:c r="F77" s="110" t="inlineStr">
        <x:is>
          <x:t xml:space="preserve">Community</x:t>
        </x:is>
      </x:c>
      <x:c r="G77" s="110" t="inlineStr">
        <x:is>
          <x:t xml:space="preserve">Short-form video</x:t>
        </x:is>
      </x:c>
      <x:c r="H77" s="110" t="inlineStr">
        <x:is>
          <x:t xml:space="preserve">Passenger script: how to tell the driver to slow down without starting a fight.</x:t>
        </x:is>
      </x:c>
      <x:c r="I77" s="110" t="inlineStr">
        <x:is>
          <x:t xml:space="preserve">Passenger POV + text overlay; hands collecting details.</x:t>
        </x:is>
      </x:c>
      <x:c r="J77" s="110" t="inlineStr">
        <x:is>
          <x:t xml:space="preserve">Safety through social behavior.</x:t>
        </x:is>
      </x:c>
      <x:c r="K77" s="110" t="inlineStr">
        <x:is>
          <x:t xml:space="preserve">Use the story to show panic and confusion after a crash and end with one practical takeaway.</x:t>
        </x:is>
      </x:c>
      <x:c r="L77" s="110" t="inlineStr">
        <x:is>
          <x:t xml:space="preserve">Download Msafiri before you need it.</x:t>
        </x:is>
      </x:c>
      <x:c r="M77" s="110" t="inlineStr">
        <x:is>
          <x:t xml:space="preserve">hands collecting details; captions; app screen-record; branded end card</x:t>
        </x:is>
      </x:c>
      <x:c r="N77" s="110" t="inlineStr">
        <x:is>
          <x:t xml:space="preserve">Medium</x:t>
        </x:is>
      </x:c>
      <x:c r="O77" s="110" t="n">
        <x:v>3</x:v>
      </x:c>
      <x:c r="P77" s="110" t="n">
        <x:v>5</x:v>
      </x:c>
      <x:c r="Q77" s="110" t="n">
        <x:v>3</x:v>
      </x:c>
      <x:c r="R77" s="110" t="n">
        <x:v>2</x:v>
      </x:c>
      <x:c r="S77" s="110" t="n">
        <x:v>2</x:v>
      </x:c>
      <x:c r="T77" s="110" t="n">
        <x:f>O77+P77+Q77+S77-R77</x:f>
        <x:v>11</x:v>
      </x:c>
      <x:c r="U77" s="110" t="inlineStr">
        <x:is>
          <x:t xml:space="preserve">Advise emergency/professional help; do not offer legal/medical guarantees.</x:t>
        </x:is>
      </x:c>
      <x:c r="V77" s="110" t="inlineStr">
        <x:is>
          <x:t xml:space="preserve">Cut into a 15-sec hook, a Story poll and a carousel slide if it gets saves/comments.</x:t>
        </x:is>
      </x:c>
    </x:row>
    <x:row r="78" ht="58" customHeight="1">
      <x:c r="A78" s="117" t="n">
        <x:v>74</x:v>
      </x:c>
      <x:c r="B78" s="117" t="inlineStr">
        <x:is>
          <x:t xml:space="preserve">Product / Feature Proof</x:t>
        </x:is>
      </x:c>
      <x:c r="C78" s="117" t="inlineStr">
        <x:is>
          <x:t xml:space="preserve">Accident Assistant</x:t>
        </x:is>
      </x:c>
      <x:c r="D78" s="117" t="inlineStr">
        <x:is>
          <x:t xml:space="preserve">Feature FAQ</x:t>
        </x:is>
      </x:c>
      <x:c r="E78" s="117" t="inlineStr">
        <x:is>
          <x:t xml:space="preserve">New driver</x:t>
        </x:is>
      </x:c>
      <x:c r="F78" s="117" t="inlineStr">
        <x:is>
          <x:t xml:space="preserve">Feature Discovery</x:t>
        </x:is>
      </x:c>
      <x:c r="G78" s="117" t="inlineStr">
        <x:is>
          <x:t xml:space="preserve">Carousel</x:t>
        </x:is>
      </x:c>
      <x:c r="H78" s="117" t="inlineStr">
        <x:is>
          <x:t xml:space="preserve">The question people ask about accident assistant, answered simply.</x:t>
        </x:is>
      </x:c>
      <x:c r="I78" s="117" t="inlineStr">
        <x:is>
          <x:t xml:space="preserve">Carousel with one answer per slide; hazard triangle prop.</x:t>
        </x:is>
      </x:c>
      <x:c r="J78" s="117" t="inlineStr">
        <x:is>
          <x:t xml:space="preserve">Reduce confusion.</x:t>
        </x:is>
      </x:c>
      <x:c r="K78" s="117" t="inlineStr">
        <x:is>
          <x:t xml:space="preserve">Use the story to show panic and confusion after a crash and end with one practical takeaway.</x:t>
        </x:is>
      </x:c>
      <x:c r="L78" s="117" t="inlineStr">
        <x:is>
          <x:t xml:space="preserve">Download Msafiri before you need it.</x:t>
        </x:is>
      </x:c>
      <x:c r="M78" s="117" t="inlineStr">
        <x:is>
          <x:t xml:space="preserve">hazard triangle prop; captions; app screen-record; branded end card</x:t>
        </x:is>
      </x:c>
      <x:c r="N78" s="117" t="inlineStr">
        <x:is>
          <x:t xml:space="preserve">High</x:t>
        </x:is>
      </x:c>
      <x:c r="O78" s="117" t="n">
        <x:v>3</x:v>
      </x:c>
      <x:c r="P78" s="117" t="n">
        <x:v>4</x:v>
      </x:c>
      <x:c r="Q78" s="117" t="n">
        <x:v>5</x:v>
      </x:c>
      <x:c r="R78" s="117" t="n">
        <x:v>3</x:v>
      </x:c>
      <x:c r="S78" s="117" t="n">
        <x:v>2</x:v>
      </x:c>
      <x:c r="T78" s="117" t="n">
        <x:f>O78+P78+Q78+S78-R78</x:f>
        <x:v>11</x:v>
      </x:c>
      <x:c r="U78" s="117" t="inlineStr">
        <x:is>
          <x:t xml:space="preserve">Advise emergency/professional help; do not offer legal/medical guarantees.</x:t>
        </x:is>
      </x:c>
      <x:c r="V78" s="117" t="inlineStr">
        <x:is>
          <x:t xml:space="preserve">Cut into a 15-sec hook, a Story poll and a carousel slide if it gets saves/comments.</x:t>
        </x:is>
      </x:c>
    </x:row>
    <x:row r="79" ht="58" customHeight="1">
      <x:c r="A79" s="110" t="n">
        <x:v>75</x:v>
      </x:c>
      <x:c r="B79" s="110" t="inlineStr">
        <x:is>
          <x:t xml:space="preserve">Debate / Mythbusters</x:t>
        </x:is>
      </x:c>
      <x:c r="C79" s="110" t="inlineStr">
        <x:is>
          <x:t xml:space="preserve">Accident Assistant</x:t>
        </x:is>
      </x:c>
      <x:c r="D79" s="110" t="inlineStr">
        <x:is>
          <x:t xml:space="preserve">Road Mythbusters</x:t>
        </x:is>
      </x:c>
      <x:c r="E79" s="110" t="inlineStr">
        <x:is>
          <x:t xml:space="preserve">Car owner</x:t>
        </x:is>
      </x:c>
      <x:c r="F79" s="110" t="inlineStr">
        <x:is>
          <x:t xml:space="preserve">Engagement</x:t>
        </x:is>
      </x:c>
      <x:c r="G79" s="110" t="inlineStr">
        <x:is>
          <x:t xml:space="preserve">Story Poll</x:t>
        </x:is>
      </x:c>
      <x:c r="H79" s="110" t="inlineStr">
        <x:is>
          <x:t xml:space="preserve">Would you trust accident assistant on a normal weekday drive?</x:t>
        </x:is>
      </x:c>
      <x:c r="I79" s="110" t="inlineStr">
        <x:is>
          <x:t xml:space="preserve">Poll sticker + quick setup; calm founder explanation.</x:t>
        </x:is>
      </x:c>
      <x:c r="J79" s="110" t="inlineStr">
        <x:is>
          <x:t xml:space="preserve">Low-friction responses.</x:t>
        </x:is>
      </x:c>
      <x:c r="K79" s="110" t="inlineStr">
        <x:is>
          <x:t xml:space="preserve">Use the story to show panic and confusion after a crash and end with one practical takeaway.</x:t>
        </x:is>
      </x:c>
      <x:c r="L79" s="110" t="inlineStr">
        <x:is>
          <x:t xml:space="preserve">Download Msafiri before you need it.</x:t>
        </x:is>
      </x:c>
      <x:c r="M79" s="110" t="inlineStr">
        <x:is>
          <x:t xml:space="preserve">calm founder explanation; captions; app screen-record; branded end card</x:t>
        </x:is>
      </x:c>
      <x:c r="N79" s="110" t="inlineStr">
        <x:is>
          <x:t xml:space="preserve">Low</x:t>
        </x:is>
      </x:c>
      <x:c r="O79" s="110" t="n">
        <x:v>4</x:v>
      </x:c>
      <x:c r="P79" s="110" t="n">
        <x:v>4</x:v>
      </x:c>
      <x:c r="Q79" s="110" t="n">
        <x:v>3</x:v>
      </x:c>
      <x:c r="R79" s="110" t="n">
        <x:v>1</x:v>
      </x:c>
      <x:c r="S79" s="110" t="n">
        <x:v>2</x:v>
      </x:c>
      <x:c r="T79" s="110" t="n">
        <x:f>O79+P79+Q79+S79-R79</x:f>
        <x:v>12</x:v>
      </x:c>
      <x:c r="U79" s="110" t="inlineStr">
        <x:is>
          <x:t xml:space="preserve">Advise emergency/professional help; do not offer legal/medical guarantees.</x:t>
        </x:is>
      </x:c>
      <x:c r="V79" s="110" t="inlineStr">
        <x:is>
          <x:t xml:space="preserve">Turn best responses into Comment-to-Video and add to next week’s road-check queue.</x:t>
        </x:is>
      </x:c>
    </x:row>
    <x:row r="80" ht="58" customHeight="1">
      <x:c r="A80" s="117" t="n">
        <x:v>76</x:v>
      </x:c>
      <x:c r="B80" s="117" t="inlineStr">
        <x:is>
          <x:t xml:space="preserve">Road Intelligence</x:t>
        </x:is>
      </x:c>
      <x:c r="C80" s="117" t="inlineStr">
        <x:is>
          <x:t xml:space="preserve">Accident Assistant</x:t>
        </x:is>
      </x:c>
      <x:c r="D80" s="117" t="inlineStr">
        <x:is>
          <x:t xml:space="preserve">Msafiri Explains</x:t>
        </x:is>
      </x:c>
      <x:c r="E80" s="117" t="inlineStr">
        <x:is>
          <x:t xml:space="preserve">Safety-conscious passenger</x:t>
        </x:is>
      </x:c>
      <x:c r="F80" s="117" t="inlineStr">
        <x:is>
          <x:t xml:space="preserve">Trust</x:t>
        </x:is>
      </x:c>
      <x:c r="G80" s="117" t="inlineStr">
        <x:is>
          <x:t xml:space="preserve">Short-form video</x:t>
        </x:is>
      </x:c>
      <x:c r="H80" s="117" t="inlineStr">
        <x:is>
          <x:t xml:space="preserve">The road habit that makes panic and confusion after a crash worse.</x:t>
        </x:is>
      </x:c>
      <x:c r="I80" s="117" t="inlineStr">
        <x:is>
          <x:t xml:space="preserve">Explainer with road B-roll; incident-flow screen.</x:t>
        </x:is>
      </x:c>
      <x:c r="J80" s="117" t="inlineStr">
        <x:is>
          <x:t xml:space="preserve">Teach without lecturing.</x:t>
        </x:is>
      </x:c>
      <x:c r="K80" s="117" t="inlineStr">
        <x:is>
          <x:t xml:space="preserve">Use the story to show panic and confusion after a crash and end with one practical takeaway.</x:t>
        </x:is>
      </x:c>
      <x:c r="L80" s="117" t="inlineStr">
        <x:is>
          <x:t xml:space="preserve">Download Msafiri before you need it.</x:t>
        </x:is>
      </x:c>
      <x:c r="M80" s="117" t="inlineStr">
        <x:is>
          <x:t xml:space="preserve">incident-flow screen; captions; app screen-record; branded end card</x:t>
        </x:is>
      </x:c>
      <x:c r="N80" s="117" t="inlineStr">
        <x:is>
          <x:t xml:space="preserve">Medium</x:t>
        </x:is>
      </x:c>
      <x:c r="O80" s="117" t="n">
        <x:v>3</x:v>
      </x:c>
      <x:c r="P80" s="117" t="n">
        <x:v>5</x:v>
      </x:c>
      <x:c r="Q80" s="117" t="n">
        <x:v>3</x:v>
      </x:c>
      <x:c r="R80" s="117" t="n">
        <x:v>2</x:v>
      </x:c>
      <x:c r="S80" s="117" t="n">
        <x:v>2</x:v>
      </x:c>
      <x:c r="T80" s="117" t="n">
        <x:f>O80+P80+Q80+S80-R80</x:f>
        <x:v>11</x:v>
      </x:c>
      <x:c r="U80" s="117" t="inlineStr">
        <x:is>
          <x:t xml:space="preserve">Advise emergency/professional help; do not offer legal/medical guarantees.</x:t>
        </x:is>
      </x:c>
      <x:c r="V80" s="117" t="inlineStr">
        <x:is>
          <x:t xml:space="preserve">Cut into a 15-sec hook, a Story poll and a carousel slide if it gets saves/comments.</x:t>
        </x:is>
      </x:c>
    </x:row>
    <x:row r="81" ht="58" customHeight="1">
      <x:c r="A81" s="110" t="n">
        <x:v>77</x:v>
      </x:c>
      <x:c r="B81" s="110" t="inlineStr">
        <x:is>
          <x:t xml:space="preserve">Community / UGC</x:t>
        </x:is>
      </x:c>
      <x:c r="C81" s="110" t="inlineStr">
        <x:is>
          <x:t xml:space="preserve">Accident Assistant</x:t>
        </x:is>
      </x:c>
      <x:c r="D81" s="110" t="inlineStr">
        <x:is>
          <x:t xml:space="preserve">Ask a Kenyan Driver</x:t>
        </x:is>
      </x:c>
      <x:c r="E81" s="110" t="inlineStr">
        <x:is>
          <x:t xml:space="preserve">Family driver</x:t>
        </x:is>
      </x:c>
      <x:c r="F81" s="110" t="inlineStr">
        <x:is>
          <x:t xml:space="preserve">Community</x:t>
        </x:is>
      </x:c>
      <x:c r="G81" s="110" t="inlineStr">
        <x:is>
          <x:t xml:space="preserve">Story Poll</x:t>
        </x:is>
      </x:c>
      <x:c r="H81" s="110" t="inlineStr">
        <x:is>
          <x:t xml:space="preserve">Choose our next test: accident assistant on a commute or a road trip?</x:t>
        </x:is>
      </x:c>
      <x:c r="I81" s="110" t="inlineStr">
        <x:is>
          <x:t xml:space="preserve">Two-option story poll; first 10 minutes checklist.</x:t>
        </x:is>
      </x:c>
      <x:c r="J81" s="110" t="inlineStr">
        <x:is>
          <x:t xml:space="preserve">Audience participation.</x:t>
        </x:is>
      </x:c>
      <x:c r="K81" s="110" t="inlineStr">
        <x:is>
          <x:t xml:space="preserve">Use the story to show panic and confusion after a crash and end with one practical takeaway.</x:t>
        </x:is>
      </x:c>
      <x:c r="L81" s="110" t="inlineStr">
        <x:is>
          <x:t xml:space="preserve">Download Msafiri before you need it.</x:t>
        </x:is>
      </x:c>
      <x:c r="M81" s="110" t="inlineStr">
        <x:is>
          <x:t xml:space="preserve">first 10 minutes checklist; captions; app screen-record; branded end card</x:t>
        </x:is>
      </x:c>
      <x:c r="N81" s="110" t="inlineStr">
        <x:is>
          <x:t xml:space="preserve">High</x:t>
        </x:is>
      </x:c>
      <x:c r="O81" s="110" t="n">
        <x:v>3</x:v>
      </x:c>
      <x:c r="P81" s="110" t="n">
        <x:v>4</x:v>
      </x:c>
      <x:c r="Q81" s="110" t="n">
        <x:v>3</x:v>
      </x:c>
      <x:c r="R81" s="110" t="n">
        <x:v>3</x:v>
      </x:c>
      <x:c r="S81" s="110" t="n">
        <x:v>2</x:v>
      </x:c>
      <x:c r="T81" s="110" t="n">
        <x:f>O81+P81+Q81+S81-R81</x:f>
        <x:v>9</x:v>
      </x:c>
      <x:c r="U81" s="110" t="inlineStr">
        <x:is>
          <x:t xml:space="preserve">Advise emergency/professional help; do not offer legal/medical guarantees.</x:t>
        </x:is>
      </x:c>
      <x:c r="V81" s="110" t="inlineStr">
        <x:is>
          <x:t xml:space="preserve">Turn best responses into Comment-to-Video and add to next week’s road-check queue.</x:t>
        </x:is>
      </x:c>
    </x:row>
    <x:row r="82" ht="58" customHeight="1">
      <x:c r="A82" s="117" t="n">
        <x:v>78</x:v>
      </x:c>
      <x:c r="B82" s="117" t="inlineStr">
        <x:is>
          <x:t xml:space="preserve">Product / Feature Proof</x:t>
        </x:is>
      </x:c>
      <x:c r="C82" s="117" t="inlineStr">
        <x:is>
          <x:t xml:space="preserve">Accident Assistant</x:t>
        </x:is>
      </x:c>
      <x:c r="D82" s="117" t="inlineStr">
        <x:is>
          <x:t xml:space="preserve">Feature Combo</x:t>
        </x:is>
      </x:c>
      <x:c r="E82" s="117" t="inlineStr">
        <x:is>
          <x:t xml:space="preserve">New driver</x:t>
        </x:is>
      </x:c>
      <x:c r="F82" s="117" t="inlineStr">
        <x:is>
          <x:t xml:space="preserve">Conversion</x:t>
        </x:is>
      </x:c>
      <x:c r="G82" s="117" t="inlineStr">
        <x:is>
          <x:t xml:space="preserve">Short-form video</x:t>
        </x:is>
      </x:c>
      <x:c r="H82" s="117" t="inlineStr">
        <x:is>
          <x:t xml:space="preserve">Two Msafiri features that work better together when panic and confusion after a crash.</x:t>
        </x:is>
      </x:c>
      <x:c r="I82" s="117" t="inlineStr">
        <x:is>
          <x:t xml:space="preserve">UI + real drive + end card; hands collecting details.</x:t>
        </x:is>
      </x:c>
      <x:c r="J82" s="117" t="inlineStr">
        <x:is>
          <x:t xml:space="preserve">Feature bundling.</x:t>
        </x:is>
      </x:c>
      <x:c r="K82" s="117" t="inlineStr">
        <x:is>
          <x:t xml:space="preserve">Use the story to show panic and confusion after a crash and end with one practical takeaway.</x:t>
        </x:is>
      </x:c>
      <x:c r="L82" s="117" t="inlineStr">
        <x:is>
          <x:t xml:space="preserve">Download Msafiri before you need it.</x:t>
        </x:is>
      </x:c>
      <x:c r="M82" s="117" t="inlineStr">
        <x:is>
          <x:t xml:space="preserve">hands collecting details; captions; app screen-record; branded end card</x:t>
        </x:is>
      </x:c>
      <x:c r="N82" s="117" t="inlineStr">
        <x:is>
          <x:t xml:space="preserve">Low</x:t>
        </x:is>
      </x:c>
      <x:c r="O82" s="117" t="n">
        <x:v>3</x:v>
      </x:c>
      <x:c r="P82" s="117" t="n">
        <x:v>4</x:v>
      </x:c>
      <x:c r="Q82" s="117" t="n">
        <x:v>5</x:v>
      </x:c>
      <x:c r="R82" s="117" t="n">
        <x:v>1</x:v>
      </x:c>
      <x:c r="S82" s="117" t="n">
        <x:v>2</x:v>
      </x:c>
      <x:c r="T82" s="117" t="n">
        <x:f>O82+P82+Q82+S82-R82</x:f>
        <x:v>13</x:v>
      </x:c>
      <x:c r="U82" s="117" t="inlineStr">
        <x:is>
          <x:t xml:space="preserve">Advise emergency/professional help; do not offer legal/medical guarantees.</x:t>
        </x:is>
      </x:c>
      <x:c r="V82" s="117" t="inlineStr">
        <x:is>
          <x:t xml:space="preserve">Cut into a 15-sec hook, a Story poll and a carousel slide if it gets saves/comments.</x:t>
        </x:is>
      </x:c>
    </x:row>
    <x:row r="83" ht="58" customHeight="1">
      <x:c r="A83" s="110" t="n">
        <x:v>79</x:v>
      </x:c>
      <x:c r="B83" s="110" t="inlineStr">
        <x:is>
          <x:t xml:space="preserve">Education / Safety</x:t>
        </x:is>
      </x:c>
      <x:c r="C83" s="110" t="inlineStr">
        <x:is>
          <x:t xml:space="preserve">Accident Assistant</x:t>
        </x:is>
      </x:c>
      <x:c r="D83" s="110" t="inlineStr">
        <x:is>
          <x:t xml:space="preserve">What Not To Do</x:t>
        </x:is>
      </x:c>
      <x:c r="E83" s="110" t="inlineStr">
        <x:is>
          <x:t xml:space="preserve">Car owner</x:t>
        </x:is>
      </x:c>
      <x:c r="F83" s="110" t="inlineStr">
        <x:is>
          <x:t xml:space="preserve">Retention</x:t>
        </x:is>
      </x:c>
      <x:c r="G83" s="110" t="inlineStr">
        <x:is>
          <x:t xml:space="preserve">Short-form video</x:t>
        </x:is>
      </x:c>
      <x:c r="H83" s="110" t="inlineStr">
        <x:is>
          <x:t xml:space="preserve">Do not make this mistake when panic and confusion after a crash.</x:t>
        </x:is>
      </x:c>
      <x:c r="I83" s="110" t="inlineStr">
        <x:is>
          <x:t xml:space="preserve">Wrong vs right mini demo; hazard triangle prop.</x:t>
        </x:is>
      </x:c>
      <x:c r="J83" s="110" t="inlineStr">
        <x:is>
          <x:t xml:space="preserve">Memorable caution.</x:t>
        </x:is>
      </x:c>
      <x:c r="K83" s="110" t="inlineStr">
        <x:is>
          <x:t xml:space="preserve">Use the story to show panic and confusion after a crash and end with one practical takeaway.</x:t>
        </x:is>
      </x:c>
      <x:c r="L83" s="110" t="inlineStr">
        <x:is>
          <x:t xml:space="preserve">Download Msafiri before you need it.</x:t>
        </x:is>
      </x:c>
      <x:c r="M83" s="110" t="inlineStr">
        <x:is>
          <x:t xml:space="preserve">hazard triangle prop; captions; app screen-record; branded end card</x:t>
        </x:is>
      </x:c>
      <x:c r="N83" s="110" t="inlineStr">
        <x:is>
          <x:t xml:space="preserve">Medium</x:t>
        </x:is>
      </x:c>
      <x:c r="O83" s="110" t="n">
        <x:v>3</x:v>
      </x:c>
      <x:c r="P83" s="110" t="n">
        <x:v>5</x:v>
      </x:c>
      <x:c r="Q83" s="110" t="n">
        <x:v>3</x:v>
      </x:c>
      <x:c r="R83" s="110" t="n">
        <x:v>2</x:v>
      </x:c>
      <x:c r="S83" s="110" t="n">
        <x:v>2</x:v>
      </x:c>
      <x:c r="T83" s="110" t="n">
        <x:f>O83+P83+Q83+S83-R83</x:f>
        <x:v>11</x:v>
      </x:c>
      <x:c r="U83" s="110" t="inlineStr">
        <x:is>
          <x:t xml:space="preserve">Advise emergency/professional help; do not offer legal/medical guarantees.</x:t>
        </x:is>
      </x:c>
      <x:c r="V83" s="110" t="inlineStr">
        <x:is>
          <x:t xml:space="preserve">Cut into a 15-sec hook, a Story poll and a carousel slide if it gets saves/comments.</x:t>
        </x:is>
      </x:c>
    </x:row>
    <x:row r="84" ht="58" customHeight="1">
      <x:c r="A84" s="117" t="n">
        <x:v>80</x:v>
      </x:c>
      <x:c r="B84" s="117" t="inlineStr">
        <x:is>
          <x:t xml:space="preserve">Founder / BTS</x:t>
        </x:is>
      </x:c>
      <x:c r="C84" s="117" t="inlineStr">
        <x:is>
          <x:t xml:space="preserve">Accident Assistant</x:t>
        </x:is>
      </x:c>
      <x:c r="D84" s="117" t="inlineStr">
        <x:is>
          <x:t xml:space="preserve">Founder Files</x:t>
        </x:is>
      </x:c>
      <x:c r="E84" s="117" t="inlineStr">
        <x:is>
          <x:t xml:space="preserve">Safety-conscious passenger</x:t>
        </x:is>
      </x:c>
      <x:c r="F84" s="117" t="inlineStr">
        <x:is>
          <x:t xml:space="preserve">Trust</x:t>
        </x:is>
      </x:c>
      <x:c r="G84" s="117" t="inlineStr">
        <x:is>
          <x:t xml:space="preserve">Founder-to-camera</x:t>
        </x:is>
      </x:c>
      <x:c r="H84" s="117" t="inlineStr">
        <x:is>
          <x:t xml:space="preserve">The most uncomfortable truth about building accident assistant.</x:t>
        </x:is>
      </x:c>
      <x:c r="I84" s="117" t="inlineStr">
        <x:is>
          <x:t xml:space="preserve">Founder honest reflection; calm founder explanation.</x:t>
        </x:is>
      </x:c>
      <x:c r="J84" s="117" t="inlineStr">
        <x:is>
          <x:t xml:space="preserve">Trust through honesty.</x:t>
        </x:is>
      </x:c>
      <x:c r="K84" s="117" t="inlineStr">
        <x:is>
          <x:t xml:space="preserve">Use the story to show panic and confusion after a crash and end with one practical takeaway.</x:t>
        </x:is>
      </x:c>
      <x:c r="L84" s="117" t="inlineStr">
        <x:is>
          <x:t xml:space="preserve">Download Msafiri before you need it.</x:t>
        </x:is>
      </x:c>
      <x:c r="M84" s="117" t="inlineStr">
        <x:is>
          <x:t xml:space="preserve">calm founder explanation; captions; app screen-record; branded end card</x:t>
        </x:is>
      </x:c>
      <x:c r="N84" s="117" t="inlineStr">
        <x:is>
          <x:t xml:space="preserve">High</x:t>
        </x:is>
      </x:c>
      <x:c r="O84" s="117" t="n">
        <x:v>3</x:v>
      </x:c>
      <x:c r="P84" s="117" t="n">
        <x:v>4</x:v>
      </x:c>
      <x:c r="Q84" s="117" t="n">
        <x:v>3</x:v>
      </x:c>
      <x:c r="R84" s="117" t="n">
        <x:v>3</x:v>
      </x:c>
      <x:c r="S84" s="117" t="n">
        <x:v>2</x:v>
      </x:c>
      <x:c r="T84" s="117" t="n">
        <x:f>O84+P84+Q84+S84-R84</x:f>
        <x:v>9</x:v>
      </x:c>
      <x:c r="U84" s="117" t="inlineStr">
        <x:is>
          <x:t xml:space="preserve">Advise emergency/professional help; do not offer legal/medical guarantees.</x:t>
        </x:is>
      </x:c>
      <x:c r="V84" s="117" t="inlineStr">
        <x:is>
          <x:t xml:space="preserve">Cut into a 15-sec hook, a Story poll and a carousel slide if it gets saves/comments.</x:t>
        </x:is>
      </x:c>
    </x:row>
    <x:row r="85" ht="58" customHeight="1">
      <x:c r="A85" s="110" t="n">
        <x:v>81</x:v>
      </x:c>
      <x:c r="B85" s="110" t="inlineStr">
        <x:is>
          <x:t xml:space="preserve">Road Intelligence</x:t>
        </x:is>
      </x:c>
      <x:c r="C85" s="110" t="inlineStr">
        <x:is>
          <x:t xml:space="preserve">Accident Assistant</x:t>
        </x:is>
      </x:c>
      <x:c r="D85" s="110" t="inlineStr">
        <x:is>
          <x:t xml:space="preserve">Map vs Reality</x:t>
        </x:is>
      </x:c>
      <x:c r="E85" s="110" t="inlineStr">
        <x:is>
          <x:t xml:space="preserve">Family driver</x:t>
        </x:is>
      </x:c>
      <x:c r="F85" s="110" t="inlineStr">
        <x:is>
          <x:t xml:space="preserve">Awareness</x:t>
        </x:is>
      </x:c>
      <x:c r="G85" s="110" t="inlineStr">
        <x:is>
          <x:t xml:space="preserve">POV Drive</x:t>
        </x:is>
      </x:c>
      <x:c r="H85" s="110" t="inlineStr">
        <x:is>
          <x:t xml:space="preserve">The map says one thing; the road says another.</x:t>
        </x:is>
      </x:c>
      <x:c r="I85" s="110" t="inlineStr">
        <x:is>
          <x:t xml:space="preserve">Map overlay + road footage; incident-flow screen.</x:t>
        </x:is>
      </x:c>
      <x:c r="J85" s="110" t="inlineStr">
        <x:is>
          <x:t xml:space="preserve">Road-intelligence authority.</x:t>
        </x:is>
      </x:c>
      <x:c r="K85" s="110" t="inlineStr">
        <x:is>
          <x:t xml:space="preserve">Use the story to show panic and confusion after a crash and end with one practical takeaway.</x:t>
        </x:is>
      </x:c>
      <x:c r="L85" s="110" t="inlineStr">
        <x:is>
          <x:t xml:space="preserve">Download Msafiri before you need it.</x:t>
        </x:is>
      </x:c>
      <x:c r="M85" s="110" t="inlineStr">
        <x:is>
          <x:t xml:space="preserve">incident-flow screen; captions; app screen-record; branded end card</x:t>
        </x:is>
      </x:c>
      <x:c r="N85" s="110" t="inlineStr">
        <x:is>
          <x:t xml:space="preserve">Low</x:t>
        </x:is>
      </x:c>
      <x:c r="O85" s="110" t="n">
        <x:v>3</x:v>
      </x:c>
      <x:c r="P85" s="110" t="n">
        <x:v>5</x:v>
      </x:c>
      <x:c r="Q85" s="110" t="n">
        <x:v>3</x:v>
      </x:c>
      <x:c r="R85" s="110" t="n">
        <x:v>1</x:v>
      </x:c>
      <x:c r="S85" s="110" t="n">
        <x:v>2</x:v>
      </x:c>
      <x:c r="T85" s="110" t="n">
        <x:f>O85+P85+Q85+S85-R85</x:f>
        <x:v>12</x:v>
      </x:c>
      <x:c r="U85" s="110" t="inlineStr">
        <x:is>
          <x:t xml:space="preserve">Advise emergency/professional help; do not offer legal/medical guarantees.</x:t>
        </x:is>
      </x:c>
      <x:c r="V85" s="110" t="inlineStr">
        <x:is>
          <x:t xml:space="preserve">Cut into a 15-sec hook, a Story poll and a carousel slide if it gets saves/comments.</x:t>
        </x:is>
      </x:c>
    </x:row>
    <x:row r="86" ht="58" customHeight="1">
      <x:c r="A86" s="117" t="n">
        <x:v>82</x:v>
      </x:c>
      <x:c r="B86" s="117" t="inlineStr">
        <x:is>
          <x:t xml:space="preserve">Product / Feature Proof</x:t>
        </x:is>
      </x:c>
      <x:c r="C86" s="117" t="inlineStr">
        <x:is>
          <x:t xml:space="preserve">Accident Assistant</x:t>
        </x:is>
      </x:c>
      <x:c r="D86" s="117" t="inlineStr">
        <x:is>
          <x:t xml:space="preserve">One-Tap Test</x:t>
        </x:is>
      </x:c>
      <x:c r="E86" s="117" t="inlineStr">
        <x:is>
          <x:t xml:space="preserve">New driver</x:t>
        </x:is>
      </x:c>
      <x:c r="F86" s="117" t="inlineStr">
        <x:is>
          <x:t xml:space="preserve">Feature Discovery</x:t>
        </x:is>
      </x:c>
      <x:c r="G86" s="117" t="inlineStr">
        <x:is>
          <x:t xml:space="preserve">Screen-record Demo</x:t>
        </x:is>
      </x:c>
      <x:c r="H86" s="117" t="inlineStr">
        <x:is>
          <x:t xml:space="preserve">How fast can you set up accident assistant before leaving?</x:t>
        </x:is>
      </x:c>
      <x:c r="I86" s="117" t="inlineStr">
        <x:is>
          <x:t xml:space="preserve">Timer + UI taps; first 10 minutes checklist.</x:t>
        </x:is>
      </x:c>
      <x:c r="J86" s="117" t="inlineStr">
        <x:is>
          <x:t xml:space="preserve">Lower adoption friction.</x:t>
        </x:is>
      </x:c>
      <x:c r="K86" s="117" t="inlineStr">
        <x:is>
          <x:t xml:space="preserve">Use the story to show panic and confusion after a crash and end with one practical takeaway.</x:t>
        </x:is>
      </x:c>
      <x:c r="L86" s="117" t="inlineStr">
        <x:is>
          <x:t xml:space="preserve">Download Msafiri before you need it.</x:t>
        </x:is>
      </x:c>
      <x:c r="M86" s="117" t="inlineStr">
        <x:is>
          <x:t xml:space="preserve">first 10 minutes checklist; captions; app screen-record; branded end card</x:t>
        </x:is>
      </x:c>
      <x:c r="N86" s="117" t="inlineStr">
        <x:is>
          <x:t xml:space="preserve">Medium</x:t>
        </x:is>
      </x:c>
      <x:c r="O86" s="117" t="n">
        <x:v>3</x:v>
      </x:c>
      <x:c r="P86" s="117" t="n">
        <x:v>4</x:v>
      </x:c>
      <x:c r="Q86" s="117" t="n">
        <x:v>5</x:v>
      </x:c>
      <x:c r="R86" s="117" t="n">
        <x:v>2</x:v>
      </x:c>
      <x:c r="S86" s="117" t="n">
        <x:v>2</x:v>
      </x:c>
      <x:c r="T86" s="117" t="n">
        <x:f>O86+P86+Q86+S86-R86</x:f>
        <x:v>12</x:v>
      </x:c>
      <x:c r="U86" s="117" t="inlineStr">
        <x:is>
          <x:t xml:space="preserve">Advise emergency/professional help; do not offer legal/medical guarantees.</x:t>
        </x:is>
      </x:c>
      <x:c r="V86" s="117" t="inlineStr">
        <x:is>
          <x:t xml:space="preserve">Cut into a 15-sec hook, a Story poll and a carousel slide if it gets saves/comments.</x:t>
        </x:is>
      </x:c>
    </x:row>
    <x:row r="87" ht="58" customHeight="1">
      <x:c r="A87" s="110" t="n">
        <x:v>83</x:v>
      </x:c>
      <x:c r="B87" s="110" t="inlineStr">
        <x:is>
          <x:t xml:space="preserve">Community / UGC</x:t>
        </x:is>
      </x:c>
      <x:c r="C87" s="110" t="inlineStr">
        <x:is>
          <x:t xml:space="preserve">Accident Assistant</x:t>
        </x:is>
      </x:c>
      <x:c r="D87" s="110" t="inlineStr">
        <x:is>
          <x:t xml:space="preserve">UGC Prompt</x:t>
        </x:is>
      </x:c>
      <x:c r="E87" s="110" t="inlineStr">
        <x:is>
          <x:t xml:space="preserve">Car owner</x:t>
        </x:is>
      </x:c>
      <x:c r="F87" s="110" t="inlineStr">
        <x:is>
          <x:t xml:space="preserve">Community</x:t>
        </x:is>
      </x:c>
      <x:c r="G87" s="110" t="inlineStr">
        <x:is>
          <x:t xml:space="preserve">Static Graphic</x:t>
        </x:is>
      </x:c>
      <x:c r="H87" s="110" t="inlineStr">
        <x:is>
          <x:t xml:space="preserve">Tell us your accident assistant story and we may feature it.</x:t>
        </x:is>
      </x:c>
      <x:c r="I87" s="110" t="inlineStr">
        <x:is>
          <x:t xml:space="preserve">Branded prompt graphic; hands collecting details.</x:t>
        </x:is>
      </x:c>
      <x:c r="J87" s="110" t="inlineStr">
        <x:is>
          <x:t xml:space="preserve">User-generated content pipeline.</x:t>
        </x:is>
      </x:c>
      <x:c r="K87" s="110" t="inlineStr">
        <x:is>
          <x:t xml:space="preserve">Use the story to show panic and confusion after a crash and end with one practical takeaway.</x:t>
        </x:is>
      </x:c>
      <x:c r="L87" s="110" t="inlineStr">
        <x:is>
          <x:t xml:space="preserve">Download Msafiri before you need it.</x:t>
        </x:is>
      </x:c>
      <x:c r="M87" s="110" t="inlineStr">
        <x:is>
          <x:t xml:space="preserve">hands collecting details; captions; app screen-record; branded end card</x:t>
        </x:is>
      </x:c>
      <x:c r="N87" s="110" t="inlineStr">
        <x:is>
          <x:t xml:space="preserve">High</x:t>
        </x:is>
      </x:c>
      <x:c r="O87" s="110" t="n">
        <x:v>3</x:v>
      </x:c>
      <x:c r="P87" s="110" t="n">
        <x:v>4</x:v>
      </x:c>
      <x:c r="Q87" s="110" t="n">
        <x:v>3</x:v>
      </x:c>
      <x:c r="R87" s="110" t="n">
        <x:v>3</x:v>
      </x:c>
      <x:c r="S87" s="110" t="n">
        <x:v>2</x:v>
      </x:c>
      <x:c r="T87" s="110" t="n">
        <x:f>O87+P87+Q87+S87-R87</x:f>
        <x:v>9</x:v>
      </x:c>
      <x:c r="U87" s="110" t="inlineStr">
        <x:is>
          <x:t xml:space="preserve">Advise emergency/professional help; do not offer legal/medical guarantees.</x:t>
        </x:is>
      </x:c>
      <x:c r="V87" s="110" t="inlineStr">
        <x:is>
          <x:t xml:space="preserve">Turn best responses into Comment-to-Video and add to next week’s road-check queue.</x:t>
        </x:is>
      </x:c>
    </x:row>
    <x:row r="88" ht="58" customHeight="1">
      <x:c r="A88" s="117" t="n">
        <x:v>84</x:v>
      </x:c>
      <x:c r="B88" s="117" t="inlineStr">
        <x:is>
          <x:t xml:space="preserve">Seasonal Campaign</x:t>
        </x:is>
      </x:c>
      <x:c r="C88" s="117" t="inlineStr">
        <x:is>
          <x:t xml:space="preserve">Accident Assistant</x:t>
        </x:is>
      </x:c>
      <x:c r="D88" s="117" t="inlineStr">
        <x:is>
          <x:t xml:space="preserve">End-Year Road Prep</x:t>
        </x:is>
      </x:c>
      <x:c r="E88" s="117" t="inlineStr">
        <x:is>
          <x:t xml:space="preserve">Safety-conscious passenger</x:t>
        </x:is>
      </x:c>
      <x:c r="F88" s="117" t="inlineStr">
        <x:is>
          <x:t xml:space="preserve">Conversion</x:t>
        </x:is>
      </x:c>
      <x:c r="G88" s="117" t="inlineStr">
        <x:is>
          <x:t xml:space="preserve">Hero / Reel</x:t>
        </x:is>
      </x:c>
      <x:c r="H88" s="117" t="inlineStr">
        <x:is>
          <x:t xml:space="preserve">Before the December drive, open Msafiri and check this.</x:t>
        </x:is>
      </x:c>
      <x:c r="I88" s="117" t="inlineStr">
        <x:is>
          <x:t xml:space="preserve">December packing + app + road POV; hazard triangle prop.</x:t>
        </x:is>
      </x:c>
      <x:c r="J88" s="117" t="inlineStr">
        <x:is>
          <x:t xml:space="preserve">Seasonal conversion.</x:t>
        </x:is>
      </x:c>
      <x:c r="K88" s="117" t="inlineStr">
        <x:is>
          <x:t xml:space="preserve">Use the story to show panic and confusion after a crash and end with one practical takeaway.</x:t>
        </x:is>
      </x:c>
      <x:c r="L88" s="117" t="inlineStr">
        <x:is>
          <x:t xml:space="preserve">Download Msafiri before you need it.</x:t>
        </x:is>
      </x:c>
      <x:c r="M88" s="117" t="inlineStr">
        <x:is>
          <x:t xml:space="preserve">hazard triangle prop; captions; app screen-record; branded end card</x:t>
        </x:is>
      </x:c>
      <x:c r="N88" s="117" t="inlineStr">
        <x:is>
          <x:t xml:space="preserve">Low</x:t>
        </x:is>
      </x:c>
      <x:c r="O88" s="117" t="n">
        <x:v>4</x:v>
      </x:c>
      <x:c r="P88" s="117" t="n">
        <x:v>4</x:v>
      </x:c>
      <x:c r="Q88" s="117" t="n">
        <x:v>5</x:v>
      </x:c>
      <x:c r="R88" s="117" t="n">
        <x:v>1</x:v>
      </x:c>
      <x:c r="S88" s="117" t="n">
        <x:v>4</x:v>
      </x:c>
      <x:c r="T88" s="117" t="n">
        <x:f>O88+P88+Q88+S88-R88</x:f>
        <x:v>16</x:v>
      </x:c>
      <x:c r="U88" s="117" t="inlineStr">
        <x:is>
          <x:t xml:space="preserve">Advise emergency/professional help; do not offer legal/medical guarantees.</x:t>
        </x:is>
      </x:c>
      <x:c r="V88" s="117" t="inlineStr">
        <x:is>
          <x:t xml:space="preserve">Cut into a 15-sec hook, a Story poll and a carousel slide if it gets saves/comments.</x:t>
        </x:is>
      </x:c>
    </x:row>
    <x:row r="89" ht="58" customHeight="1">
      <x:c r="A89" s="110" t="n">
        <x:v>85</x:v>
      </x:c>
      <x:c r="B89" s="110" t="inlineStr">
        <x:is>
          <x:t xml:space="preserve">Road Intelligence</x:t>
        </x:is>
      </x:c>
      <x:c r="C89" s="110" t="inlineStr">
        <x:is>
          <x:t xml:space="preserve">Insurance-ready reports</x:t>
        </x:is>
      </x:c>
      <x:c r="D89" s="110" t="inlineStr">
        <x:is>
          <x:t xml:space="preserve">Msafiri Road Check</x:t>
        </x:is>
      </x:c>
      <x:c r="E89" s="110" t="inlineStr">
        <x:is>
          <x:t xml:space="preserve">Car owner</x:t>
        </x:is>
      </x:c>
      <x:c r="F89" s="110" t="inlineStr">
        <x:is>
          <x:t xml:space="preserve">Awareness</x:t>
        </x:is>
      </x:c>
      <x:c r="G89" s="110" t="inlineStr">
        <x:is>
          <x:t xml:space="preserve">POV Drive</x:t>
        </x:is>
      </x:c>
      <x:c r="H89" s="110" t="inlineStr">
        <x:is>
          <x:t xml:space="preserve">We drove a parking-lot incident to see where insurance-ready reports actually helps.</x:t>
        </x:is>
      </x:c>
      <x:c r="I89" s="110" t="inlineStr">
        <x:is>
          <x:t xml:space="preserve">Road POV with 3 marked moments; report preview blur.</x:t>
        </x:is>
      </x:c>
      <x:c r="J89" s="110" t="inlineStr">
        <x:is>
          <x:t xml:space="preserve">A practical route lesson people can save.</x:t>
        </x:is>
      </x:c>
      <x:c r="K89" s="110" t="inlineStr">
        <x:is>
          <x:t xml:space="preserve">Use the story to show scattered evidence and stressful claims follow-up and end with one practical takeaway.</x:t>
        </x:is>
      </x:c>
      <x:c r="L89" s="110" t="inlineStr">
        <x:is>
          <x:t xml:space="preserve">Use Msafiri to keep incident evidence organized.</x:t>
        </x:is>
      </x:c>
      <x:c r="M89" s="110" t="inlineStr">
        <x:is>
          <x:t xml:space="preserve">report preview blur; captions; app screen-record; branded end card</x:t>
        </x:is>
      </x:c>
      <x:c r="N89" s="110" t="inlineStr">
        <x:is>
          <x:t xml:space="preserve">Low</x:t>
        </x:is>
      </x:c>
      <x:c r="O89" s="110" t="n">
        <x:v>3</x:v>
      </x:c>
      <x:c r="P89" s="110" t="n">
        <x:v>5</x:v>
      </x:c>
      <x:c r="Q89" s="110" t="n">
        <x:v>3</x:v>
      </x:c>
      <x:c r="R89" s="110" t="n">
        <x:v>1</x:v>
      </x:c>
      <x:c r="S89" s="110" t="n">
        <x:v>2</x:v>
      </x:c>
      <x:c r="T89" s="110" t="n">
        <x:f>O89+P89+Q89+S89-R89</x:f>
        <x:v>12</x:v>
      </x:c>
      <x:c r="U89" s="110" t="inlineStr">
        <x:is>
          <x:t xml:space="preserve">Do not promise claim approval or payout.</x:t>
        </x:is>
      </x:c>
      <x:c r="V89" s="110" t="inlineStr">
        <x:is>
          <x:t xml:space="preserve">Cut into a 15-sec hook, a Story poll and a carousel slide if it gets saves/comments.</x:t>
        </x:is>
      </x:c>
    </x:row>
    <x:row r="90" ht="58" customHeight="1">
      <x:c r="A90" s="117" t="n">
        <x:v>86</x:v>
      </x:c>
      <x:c r="B90" s="117" t="inlineStr">
        <x:is>
          <x:t xml:space="preserve">Product / Feature Proof</x:t>
        </x:is>
      </x:c>
      <x:c r="C90" s="117" t="inlineStr">
        <x:is>
          <x:t xml:space="preserve">Insurance-ready reports</x:t>
        </x:is>
      </x:c>
      <x:c r="D90" s="117" t="inlineStr">
        <x:is>
          <x:t xml:space="preserve">Feature in the Wild</x:t>
        </x:is>
      </x:c>
      <x:c r="E90" s="117" t="inlineStr">
        <x:is>
          <x:t xml:space="preserve">Professional driver</x:t>
        </x:is>
      </x:c>
      <x:c r="F90" s="117" t="inlineStr">
        <x:is>
          <x:t xml:space="preserve">Feature Discovery</x:t>
        </x:is>
      </x:c>
      <x:c r="G90" s="117" t="inlineStr">
        <x:is>
          <x:t xml:space="preserve">Screen-record Demo</x:t>
        </x:is>
      </x:c>
      <x:c r="H90" s="117" t="inlineStr">
        <x:is>
          <x:t xml:space="preserve">Insurance-ready reports in 30 seconds: here is the moment it becomes useful.</x:t>
        </x:is>
      </x:c>
      <x:c r="I90" s="117" t="inlineStr">
        <x:is>
          <x:t xml:space="preserve">Phone screen + real-world cutaway; photo checklist.</x:t>
        </x:is>
      </x:c>
      <x:c r="J90" s="117" t="inlineStr">
        <x:is>
          <x:t xml:space="preserve">Feature clarity without a hard sell.</x:t>
        </x:is>
      </x:c>
      <x:c r="K90" s="117" t="inlineStr">
        <x:is>
          <x:t xml:space="preserve">Use the story to show scattered evidence and stressful claims follow-up and end with one practical takeaway.</x:t>
        </x:is>
      </x:c>
      <x:c r="L90" s="117" t="inlineStr">
        <x:is>
          <x:t xml:space="preserve">Use Msafiri to keep incident evidence organized.</x:t>
        </x:is>
      </x:c>
      <x:c r="M90" s="117" t="inlineStr">
        <x:is>
          <x:t xml:space="preserve">photo checklist; captions; app screen-record; branded end card</x:t>
        </x:is>
      </x:c>
      <x:c r="N90" s="117" t="inlineStr">
        <x:is>
          <x:t xml:space="preserve">Medium</x:t>
        </x:is>
      </x:c>
      <x:c r="O90" s="117" t="n">
        <x:v>3</x:v>
      </x:c>
      <x:c r="P90" s="117" t="n">
        <x:v>4</x:v>
      </x:c>
      <x:c r="Q90" s="117" t="n">
        <x:v>5</x:v>
      </x:c>
      <x:c r="R90" s="117" t="n">
        <x:v>2</x:v>
      </x:c>
      <x:c r="S90" s="117" t="n">
        <x:v>2</x:v>
      </x:c>
      <x:c r="T90" s="117" t="n">
        <x:f>O90+P90+Q90+S90-R90</x:f>
        <x:v>12</x:v>
      </x:c>
      <x:c r="U90" s="117" t="inlineStr">
        <x:is>
          <x:t xml:space="preserve">Do not promise claim approval or payout.</x:t>
        </x:is>
      </x:c>
      <x:c r="V90" s="117" t="inlineStr">
        <x:is>
          <x:t xml:space="preserve">Cut into a 15-sec hook, a Story poll and a carousel slide if it gets saves/comments.</x:t>
        </x:is>
      </x:c>
    </x:row>
    <x:row r="91" ht="58" customHeight="1">
      <x:c r="A91" s="110" t="n">
        <x:v>87</x:v>
      </x:c>
      <x:c r="B91" s="110" t="inlineStr">
        <x:is>
          <x:t xml:space="preserve">Kenyan Driving Reality</x:t>
        </x:is>
      </x:c>
      <x:c r="C91" s="110" t="inlineStr">
        <x:is>
          <x:t xml:space="preserve">Insurance-ready reports</x:t>
        </x:is>
      </x:c>
      <x:c r="D91" s="110" t="inlineStr">
        <x:is>
          <x:t xml:space="preserve">Kenyan Driver Problems</x:t>
        </x:is>
      </x:c>
      <x:c r="E91" s="110" t="inlineStr">
        <x:is>
          <x:t xml:space="preserve">Family driver</x:t>
        </x:is>
      </x:c>
      <x:c r="F91" s="110" t="inlineStr">
        <x:is>
          <x:t xml:space="preserve">Engagement</x:t>
        </x:is>
      </x:c>
      <x:c r="G91" s="110" t="inlineStr">
        <x:is>
          <x:t xml:space="preserve">Skit</x:t>
        </x:is>
      </x:c>
      <x:c r="H91" s="110" t="inlineStr">
        <x:is>
          <x:t xml:space="preserve">POV: scattered evidence and stressful claims follow-up and everyone in the car has an opinion.</x:t>
        </x:is>
      </x:c>
      <x:c r="I91" s="110" t="inlineStr">
        <x:is>
          <x:t xml:space="preserve">Fast skit with driver/passenger tension; folder comparison.</x:t>
        </x:is>
      </x:c>
      <x:c r="J91" s="110" t="inlineStr">
        <x:is>
          <x:t xml:space="preserve">Relatability and shares.</x:t>
        </x:is>
      </x:c>
      <x:c r="K91" s="110" t="inlineStr">
        <x:is>
          <x:t xml:space="preserve">Use the story to show scattered evidence and stressful claims follow-up and end with one practical takeaway.</x:t>
        </x:is>
      </x:c>
      <x:c r="L91" s="110" t="inlineStr">
        <x:is>
          <x:t xml:space="preserve">Use Msafiri to keep incident evidence organized.</x:t>
        </x:is>
      </x:c>
      <x:c r="M91" s="110" t="inlineStr">
        <x:is>
          <x:t xml:space="preserve">folder comparison; captions; app screen-record; branded end card</x:t>
        </x:is>
      </x:c>
      <x:c r="N91" s="110" t="inlineStr">
        <x:is>
          <x:t xml:space="preserve">High</x:t>
        </x:is>
      </x:c>
      <x:c r="O91" s="110" t="n">
        <x:v>4</x:v>
      </x:c>
      <x:c r="P91" s="110" t="n">
        <x:v>4</x:v>
      </x:c>
      <x:c r="Q91" s="110" t="n">
        <x:v>3</x:v>
      </x:c>
      <x:c r="R91" s="110" t="n">
        <x:v>3</x:v>
      </x:c>
      <x:c r="S91" s="110" t="n">
        <x:v>2</x:v>
      </x:c>
      <x:c r="T91" s="110" t="n">
        <x:f>O91+P91+Q91+S91-R91</x:f>
        <x:v>10</x:v>
      </x:c>
      <x:c r="U91" s="110" t="inlineStr">
        <x:is>
          <x:t xml:space="preserve">Do not promise claim approval or payout.</x:t>
        </x:is>
      </x:c>
      <x:c r="V91" s="110" t="inlineStr">
        <x:is>
          <x:t xml:space="preserve">Cut into a 15-sec hook, a Story poll and a carousel slide if it gets saves/comments.</x:t>
        </x:is>
      </x:c>
    </x:row>
    <x:row r="92" ht="58" customHeight="1">
      <x:c r="A92" s="117" t="n">
        <x:v>88</x:v>
      </x:c>
      <x:c r="B92" s="117" t="inlineStr">
        <x:is>
          <x:t xml:space="preserve">Education / Safety</x:t>
        </x:is>
      </x:c>
      <x:c r="C92" s="117" t="inlineStr">
        <x:is>
          <x:t xml:space="preserve">Insurance-ready reports</x:t>
        </x:is>
      </x:c>
      <x:c r="D92" s="117" t="inlineStr">
        <x:is>
          <x:t xml:space="preserve">Before You Drive</x:t>
        </x:is>
      </x:c>
      <x:c r="E92" s="117" t="inlineStr">
        <x:is>
          <x:t xml:space="preserve">New driver</x:t>
        </x:is>
      </x:c>
      <x:c r="F92" s="117" t="inlineStr">
        <x:is>
          <x:t xml:space="preserve">Retention</x:t>
        </x:is>
      </x:c>
      <x:c r="G92" s="117" t="inlineStr">
        <x:is>
          <x:t xml:space="preserve">Checklist Reel</x:t>
        </x:is>
      </x:c>
      <x:c r="H92" s="117" t="inlineStr">
        <x:is>
          <x:t xml:space="preserve">Save this before a long-distance route: 3 things to check.</x:t>
        </x:is>
      </x:c>
      <x:c r="I92" s="117" t="inlineStr">
        <x:is>
          <x:t xml:space="preserve">Checklist overlay with hands-on shots; founder explainers.</x:t>
        </x:is>
      </x:c>
      <x:c r="J92" s="117" t="inlineStr">
        <x:is>
          <x:t xml:space="preserve">A saveable pre-drive behavior.</x:t>
        </x:is>
      </x:c>
      <x:c r="K92" s="117" t="inlineStr">
        <x:is>
          <x:t xml:space="preserve">Use the story to show scattered evidence and stressful claims follow-up and end with one practical takeaway.</x:t>
        </x:is>
      </x:c>
      <x:c r="L92" s="117" t="inlineStr">
        <x:is>
          <x:t xml:space="preserve">Use Msafiri to keep incident evidence organized.</x:t>
        </x:is>
      </x:c>
      <x:c r="M92" s="117" t="inlineStr">
        <x:is>
          <x:t xml:space="preserve">founder explainers; captions; app screen-record; branded end card</x:t>
        </x:is>
      </x:c>
      <x:c r="N92" s="117" t="inlineStr">
        <x:is>
          <x:t xml:space="preserve">Low</x:t>
        </x:is>
      </x:c>
      <x:c r="O92" s="117" t="n">
        <x:v>3</x:v>
      </x:c>
      <x:c r="P92" s="117" t="n">
        <x:v>5</x:v>
      </x:c>
      <x:c r="Q92" s="117" t="n">
        <x:v>3</x:v>
      </x:c>
      <x:c r="R92" s="117" t="n">
        <x:v>1</x:v>
      </x:c>
      <x:c r="S92" s="117" t="n">
        <x:v>2</x:v>
      </x:c>
      <x:c r="T92" s="117" t="n">
        <x:f>O92+P92+Q92+S92-R92</x:f>
        <x:v>12</x:v>
      </x:c>
      <x:c r="U92" s="117" t="inlineStr">
        <x:is>
          <x:t xml:space="preserve">Do not promise claim approval or payout.</x:t>
        </x:is>
      </x:c>
      <x:c r="V92" s="117" t="inlineStr">
        <x:is>
          <x:t xml:space="preserve">Cut into a 15-sec hook, a Story poll and a carousel slide if it gets saves/comments.</x:t>
        </x:is>
      </x:c>
    </x:row>
    <x:row r="93" ht="58" customHeight="1">
      <x:c r="A93" s="110" t="n">
        <x:v>89</x:v>
      </x:c>
      <x:c r="B93" s="110" t="inlineStr">
        <x:is>
          <x:t xml:space="preserve">Founder / BTS</x:t>
        </x:is>
      </x:c>
      <x:c r="C93" s="110" t="inlineStr">
        <x:is>
          <x:t xml:space="preserve">Insurance-ready reports</x:t>
        </x:is>
      </x:c>
      <x:c r="D93" s="110" t="inlineStr">
        <x:is>
          <x:t xml:space="preserve">Founder Files</x:t>
        </x:is>
      </x:c>
      <x:c r="E93" s="110" t="inlineStr">
        <x:is>
          <x:t xml:space="preserve">Car owner</x:t>
        </x:is>
      </x:c>
      <x:c r="F93" s="110" t="inlineStr">
        <x:is>
          <x:t xml:space="preserve">Trust</x:t>
        </x:is>
      </x:c>
      <x:c r="G93" s="110" t="inlineStr">
        <x:is>
          <x:t xml:space="preserve">Founder-to-camera</x:t>
        </x:is>
      </x:c>
      <x:c r="H93" s="110" t="inlineStr">
        <x:is>
          <x:t xml:space="preserve">Peter explains why insurance-ready reports belongs in a Kenyan driving app.</x:t>
        </x:is>
      </x:c>
      <x:c r="I93" s="110" t="inlineStr">
        <x:is>
          <x:t xml:space="preserve">Peter in car + product cutaway; carousel steps.</x:t>
        </x:is>
      </x:c>
      <x:c r="J93" s="110" t="inlineStr">
        <x:is>
          <x:t xml:space="preserve">Founder trust and mission clarity.</x:t>
        </x:is>
      </x:c>
      <x:c r="K93" s="110" t="inlineStr">
        <x:is>
          <x:t xml:space="preserve">Use the story to show scattered evidence and stressful claims follow-up and end with one practical takeaway.</x:t>
        </x:is>
      </x:c>
      <x:c r="L93" s="110" t="inlineStr">
        <x:is>
          <x:t xml:space="preserve">Use Msafiri to keep incident evidence organized.</x:t>
        </x:is>
      </x:c>
      <x:c r="M93" s="110" t="inlineStr">
        <x:is>
          <x:t xml:space="preserve">carousel steps; captions; app screen-record; branded end card</x:t>
        </x:is>
      </x:c>
      <x:c r="N93" s="110" t="inlineStr">
        <x:is>
          <x:t xml:space="preserve">Medium</x:t>
        </x:is>
      </x:c>
      <x:c r="O93" s="110" t="n">
        <x:v>3</x:v>
      </x:c>
      <x:c r="P93" s="110" t="n">
        <x:v>4</x:v>
      </x:c>
      <x:c r="Q93" s="110" t="n">
        <x:v>3</x:v>
      </x:c>
      <x:c r="R93" s="110" t="n">
        <x:v>2</x:v>
      </x:c>
      <x:c r="S93" s="110" t="n">
        <x:v>2</x:v>
      </x:c>
      <x:c r="T93" s="110" t="n">
        <x:f>O93+P93+Q93+S93-R93</x:f>
        <x:v>10</x:v>
      </x:c>
      <x:c r="U93" s="110" t="inlineStr">
        <x:is>
          <x:t xml:space="preserve">Do not promise claim approval or payout.</x:t>
        </x:is>
      </x:c>
      <x:c r="V93" s="110" t="inlineStr">
        <x:is>
          <x:t xml:space="preserve">Cut into a 15-sec hook, a Story poll and a carousel slide if it gets saves/comments.</x:t>
        </x:is>
      </x:c>
    </x:row>
    <x:row r="94" ht="58" customHeight="1">
      <x:c r="A94" s="117" t="n">
        <x:v>90</x:v>
      </x:c>
      <x:c r="B94" s="117" t="inlineStr">
        <x:is>
          <x:t xml:space="preserve">Debate / Mythbusters</x:t>
        </x:is>
      </x:c>
      <x:c r="C94" s="117" t="inlineStr">
        <x:is>
          <x:t xml:space="preserve">Insurance-ready reports</x:t>
        </x:is>
      </x:c>
      <x:c r="D94" s="117" t="inlineStr">
        <x:is>
          <x:t xml:space="preserve">Road Mythbusters</x:t>
        </x:is>
      </x:c>
      <x:c r="E94" s="117" t="inlineStr">
        <x:is>
          <x:t xml:space="preserve">Professional driver</x:t>
        </x:is>
      </x:c>
      <x:c r="F94" s="117" t="inlineStr">
        <x:is>
          <x:t xml:space="preserve">Engagement</x:t>
        </x:is>
      </x:c>
      <x:c r="G94" s="117" t="inlineStr">
        <x:is>
          <x:t xml:space="preserve">Short-form video</x:t>
        </x:is>
      </x:c>
      <x:c r="H94" s="117" t="inlineStr">
        <x:is>
          <x:t xml:space="preserve">Hot take: a clean incident report matters as much as the photos..</x:t>
        </x:is>
      </x:c>
      <x:c r="I94" s="117" t="inlineStr">
        <x:is>
          <x:t xml:space="preserve">Claim vs reality split screen; report preview blur.</x:t>
        </x:is>
      </x:c>
      <x:c r="J94" s="117" t="inlineStr">
        <x:is>
          <x:t xml:space="preserve">Controlled comments and debate.</x:t>
        </x:is>
      </x:c>
      <x:c r="K94" s="117" t="inlineStr">
        <x:is>
          <x:t xml:space="preserve">Use the story to show scattered evidence and stressful claims follow-up and end with one practical takeaway.</x:t>
        </x:is>
      </x:c>
      <x:c r="L94" s="117" t="inlineStr">
        <x:is>
          <x:t xml:space="preserve">Use Msafiri to keep incident evidence organized.</x:t>
        </x:is>
      </x:c>
      <x:c r="M94" s="117" t="inlineStr">
        <x:is>
          <x:t xml:space="preserve">report preview blur; captions; app screen-record; branded end card</x:t>
        </x:is>
      </x:c>
      <x:c r="N94" s="117" t="inlineStr">
        <x:is>
          <x:t xml:space="preserve">High</x:t>
        </x:is>
      </x:c>
      <x:c r="O94" s="117" t="n">
        <x:v>4</x:v>
      </x:c>
      <x:c r="P94" s="117" t="n">
        <x:v>4</x:v>
      </x:c>
      <x:c r="Q94" s="117" t="n">
        <x:v>3</x:v>
      </x:c>
      <x:c r="R94" s="117" t="n">
        <x:v>3</x:v>
      </x:c>
      <x:c r="S94" s="117" t="n">
        <x:v>2</x:v>
      </x:c>
      <x:c r="T94" s="117" t="n">
        <x:f>O94+P94+Q94+S94-R94</x:f>
        <x:v>10</x:v>
      </x:c>
      <x:c r="U94" s="117" t="inlineStr">
        <x:is>
          <x:t xml:space="preserve">Do not promise claim approval or payout.</x:t>
        </x:is>
      </x:c>
      <x:c r="V94" s="117" t="inlineStr">
        <x:is>
          <x:t xml:space="preserve">Cut into a 15-sec hook, a Story poll and a carousel slide if it gets saves/comments.</x:t>
        </x:is>
      </x:c>
    </x:row>
    <x:row r="95" ht="58" customHeight="1">
      <x:c r="A95" s="110" t="n">
        <x:v>91</x:v>
      </x:c>
      <x:c r="B95" s="110" t="inlineStr">
        <x:is>
          <x:t xml:space="preserve">Community / UGC</x:t>
        </x:is>
      </x:c>
      <x:c r="C95" s="110" t="inlineStr">
        <x:is>
          <x:t xml:space="preserve">Insurance-ready reports</x:t>
        </x:is>
      </x:c>
      <x:c r="D95" s="110" t="inlineStr">
        <x:is>
          <x:t xml:space="preserve">Ask a Kenyan Driver</x:t>
        </x:is>
      </x:c>
      <x:c r="E95" s="110" t="inlineStr">
        <x:is>
          <x:t xml:space="preserve">Family driver</x:t>
        </x:is>
      </x:c>
      <x:c r="F95" s="110" t="inlineStr">
        <x:is>
          <x:t xml:space="preserve">Community</x:t>
        </x:is>
      </x:c>
      <x:c r="G95" s="110" t="inlineStr">
        <x:is>
          <x:t xml:space="preserve">Street Interview</x:t>
        </x:is>
      </x:c>
      <x:c r="H95" s="110" t="inlineStr">
        <x:is>
          <x:t xml:space="preserve">We asked drivers: what proof do drivers forget to collect?</x:t>
        </x:is>
      </x:c>
      <x:c r="I95" s="110" t="inlineStr">
        <x:is>
          <x:t xml:space="preserve">Street answers + subtitle template; photo checklist.</x:t>
        </x:is>
      </x:c>
      <x:c r="J95" s="110" t="inlineStr">
        <x:is>
          <x:t xml:space="preserve">Community stories and future ideas.</x:t>
        </x:is>
      </x:c>
      <x:c r="K95" s="110" t="inlineStr">
        <x:is>
          <x:t xml:space="preserve">Use the story to show scattered evidence and stressful claims follow-up and end with one practical takeaway.</x:t>
        </x:is>
      </x:c>
      <x:c r="L95" s="110" t="inlineStr">
        <x:is>
          <x:t xml:space="preserve">Use Msafiri to keep incident evidence organized.</x:t>
        </x:is>
      </x:c>
      <x:c r="M95" s="110" t="inlineStr">
        <x:is>
          <x:t xml:space="preserve">photo checklist; captions; app screen-record; branded end card</x:t>
        </x:is>
      </x:c>
      <x:c r="N95" s="110" t="inlineStr">
        <x:is>
          <x:t xml:space="preserve">Low</x:t>
        </x:is>
      </x:c>
      <x:c r="O95" s="110" t="n">
        <x:v>3</x:v>
      </x:c>
      <x:c r="P95" s="110" t="n">
        <x:v>4</x:v>
      </x:c>
      <x:c r="Q95" s="110" t="n">
        <x:v>3</x:v>
      </x:c>
      <x:c r="R95" s="110" t="n">
        <x:v>1</x:v>
      </x:c>
      <x:c r="S95" s="110" t="n">
        <x:v>2</x:v>
      </x:c>
      <x:c r="T95" s="110" t="n">
        <x:f>O95+P95+Q95+S95-R95</x:f>
        <x:v>11</x:v>
      </x:c>
      <x:c r="U95" s="110" t="inlineStr">
        <x:is>
          <x:t xml:space="preserve">Do not promise claim approval or payout.</x:t>
        </x:is>
      </x:c>
      <x:c r="V95" s="110" t="inlineStr">
        <x:is>
          <x:t xml:space="preserve">Turn best responses into Comment-to-Video and add to next week’s road-check queue.</x:t>
        </x:is>
      </x:c>
    </x:row>
    <x:row r="96" ht="58" customHeight="1">
      <x:c r="A96" s="117" t="n">
        <x:v>92</x:v>
      </x:c>
      <x:c r="B96" s="117" t="inlineStr">
        <x:is>
          <x:t xml:space="preserve">Accident Readiness</x:t>
        </x:is>
      </x:c>
      <x:c r="C96" s="117" t="inlineStr">
        <x:is>
          <x:t xml:space="preserve">Insurance-ready reports</x:t>
        </x:is>
      </x:c>
      <x:c r="D96" s="117" t="inlineStr">
        <x:is>
          <x:t xml:space="preserve">Would You Know What To Do?</x:t>
        </x:is>
      </x:c>
      <x:c r="E96" s="117" t="inlineStr">
        <x:is>
          <x:t xml:space="preserve">New driver</x:t>
        </x:is>
      </x:c>
      <x:c r="F96" s="117" t="inlineStr">
        <x:is>
          <x:t xml:space="preserve">Trust</x:t>
        </x:is>
      </x:c>
      <x:c r="G96" s="117" t="inlineStr">
        <x:is>
          <x:t xml:space="preserve">Short-form video</x:t>
        </x:is>
      </x:c>
      <x:c r="H96" s="117" t="inlineStr">
        <x:is>
          <x:t xml:space="preserve">If this happened today, would you know what to do first?</x:t>
        </x:is>
      </x:c>
      <x:c r="I96" s="117" t="inlineStr">
        <x:is>
          <x:t xml:space="preserve">Scenario roleplay + checklist; folder comparison.</x:t>
        </x:is>
      </x:c>
      <x:c r="J96" s="117" t="inlineStr">
        <x:is>
          <x:t xml:space="preserve">Preparedness without fear.</x:t>
        </x:is>
      </x:c>
      <x:c r="K96" s="117" t="inlineStr">
        <x:is>
          <x:t xml:space="preserve">Use the story to show scattered evidence and stressful claims follow-up and end with one practical takeaway.</x:t>
        </x:is>
      </x:c>
      <x:c r="L96" s="117" t="inlineStr">
        <x:is>
          <x:t xml:space="preserve">Use Msafiri to keep incident evidence organized.</x:t>
        </x:is>
      </x:c>
      <x:c r="M96" s="117" t="inlineStr">
        <x:is>
          <x:t xml:space="preserve">folder comparison; captions; app screen-record; branded end card</x:t>
        </x:is>
      </x:c>
      <x:c r="N96" s="117" t="inlineStr">
        <x:is>
          <x:t xml:space="preserve">Medium</x:t>
        </x:is>
      </x:c>
      <x:c r="O96" s="117" t="n">
        <x:v>3</x:v>
      </x:c>
      <x:c r="P96" s="117" t="n">
        <x:v>5</x:v>
      </x:c>
      <x:c r="Q96" s="117" t="n">
        <x:v>3</x:v>
      </x:c>
      <x:c r="R96" s="117" t="n">
        <x:v>2</x:v>
      </x:c>
      <x:c r="S96" s="117" t="n">
        <x:v>2</x:v>
      </x:c>
      <x:c r="T96" s="117" t="n">
        <x:f>O96+P96+Q96+S96-R96</x:f>
        <x:v>11</x:v>
      </x:c>
      <x:c r="U96" s="117" t="inlineStr">
        <x:is>
          <x:t xml:space="preserve">Do not promise claim approval or payout.</x:t>
        </x:is>
      </x:c>
      <x:c r="V96" s="117" t="inlineStr">
        <x:is>
          <x:t xml:space="preserve">Cut into a 15-sec hook, a Story poll and a carousel slide if it gets saves/comments.</x:t>
        </x:is>
      </x:c>
    </x:row>
    <x:row r="97" ht="58" customHeight="1">
      <x:c r="A97" s="110" t="n">
        <x:v>93</x:v>
      </x:c>
      <x:c r="B97" s="110" t="inlineStr">
        <x:is>
          <x:t xml:space="preserve">Product / Feature Proof</x:t>
        </x:is>
      </x:c>
      <x:c r="C97" s="110" t="inlineStr">
        <x:is>
          <x:t xml:space="preserve">Insurance-ready reports</x:t>
        </x:is>
      </x:c>
      <x:c r="D97" s="110" t="inlineStr">
        <x:is>
          <x:t xml:space="preserve">Can Msafiri Do This?</x:t>
        </x:is>
      </x:c>
      <x:c r="E97" s="110" t="inlineStr">
        <x:is>
          <x:t xml:space="preserve">Car owner</x:t>
        </x:is>
      </x:c>
      <x:c r="F97" s="110" t="inlineStr">
        <x:is>
          <x:t xml:space="preserve">Feature Discovery</x:t>
        </x:is>
      </x:c>
      <x:c r="G97" s="110" t="inlineStr">
        <x:is>
          <x:t xml:space="preserve">Short-form video</x:t>
        </x:is>
      </x:c>
      <x:c r="H97" s="110" t="inlineStr">
        <x:is>
          <x:t xml:space="preserve">Can Msafiri help when scattered evidence and stressful claims follow-up? Let’s test it.</x:t>
        </x:is>
      </x:c>
      <x:c r="I97" s="110" t="inlineStr">
        <x:is>
          <x:t xml:space="preserve">Live test with timer; founder explainers.</x:t>
        </x:is>
      </x:c>
      <x:c r="J97" s="110" t="inlineStr">
        <x:is>
          <x:t xml:space="preserve">Proof through demonstration.</x:t>
        </x:is>
      </x:c>
      <x:c r="K97" s="110" t="inlineStr">
        <x:is>
          <x:t xml:space="preserve">Use the story to show scattered evidence and stressful claims follow-up and end with one practical takeaway.</x:t>
        </x:is>
      </x:c>
      <x:c r="L97" s="110" t="inlineStr">
        <x:is>
          <x:t xml:space="preserve">Use Msafiri to keep incident evidence organized.</x:t>
        </x:is>
      </x:c>
      <x:c r="M97" s="110" t="inlineStr">
        <x:is>
          <x:t xml:space="preserve">founder explainers; captions; app screen-record; branded end card</x:t>
        </x:is>
      </x:c>
      <x:c r="N97" s="110" t="inlineStr">
        <x:is>
          <x:t xml:space="preserve">High</x:t>
        </x:is>
      </x:c>
      <x:c r="O97" s="110" t="n">
        <x:v>3</x:v>
      </x:c>
      <x:c r="P97" s="110" t="n">
        <x:v>4</x:v>
      </x:c>
      <x:c r="Q97" s="110" t="n">
        <x:v>5</x:v>
      </x:c>
      <x:c r="R97" s="110" t="n">
        <x:v>3</x:v>
      </x:c>
      <x:c r="S97" s="110" t="n">
        <x:v>2</x:v>
      </x:c>
      <x:c r="T97" s="110" t="n">
        <x:f>O97+P97+Q97+S97-R97</x:f>
        <x:v>11</x:v>
      </x:c>
      <x:c r="U97" s="110" t="inlineStr">
        <x:is>
          <x:t xml:space="preserve">Do not promise claim approval or payout.</x:t>
        </x:is>
      </x:c>
      <x:c r="V97" s="110" t="inlineStr">
        <x:is>
          <x:t xml:space="preserve">Cut into a 15-sec hook, a Story poll and a carousel slide if it gets saves/comments.</x:t>
        </x:is>
      </x:c>
    </x:row>
    <x:row r="98" ht="58" customHeight="1">
      <x:c r="A98" s="117" t="n">
        <x:v>94</x:v>
      </x:c>
      <x:c r="B98" s="117" t="inlineStr">
        <x:is>
          <x:t xml:space="preserve">Road Intelligence</x:t>
        </x:is>
      </x:c>
      <x:c r="C98" s="117" t="inlineStr">
        <x:is>
          <x:t xml:space="preserve">Insurance-ready reports</x:t>
        </x:is>
      </x:c>
      <x:c r="D98" s="117" t="inlineStr">
        <x:is>
          <x:t xml:space="preserve">Road Trip POV</x:t>
        </x:is>
      </x:c>
      <x:c r="E98" s="117" t="inlineStr">
        <x:is>
          <x:t xml:space="preserve">Professional driver</x:t>
        </x:is>
      </x:c>
      <x:c r="F98" s="117" t="inlineStr">
        <x:is>
          <x:t xml:space="preserve">Awareness</x:t>
        </x:is>
      </x:c>
      <x:c r="G98" s="117" t="inlineStr">
        <x:is>
          <x:t xml:space="preserve">Hero / Reel</x:t>
        </x:is>
      </x:c>
      <x:c r="H98" s="117" t="inlineStr">
        <x:is>
          <x:t xml:space="preserve">A calm drive is not luck — watch how we planned a rainy evening drive.</x:t>
        </x:is>
      </x:c>
      <x:c r="I98" s="117" t="inlineStr">
        <x:is>
          <x:t xml:space="preserve">Cinematic POV + UI moments; carousel steps.</x:t>
        </x:is>
      </x:c>
      <x:c r="J98" s="117" t="inlineStr">
        <x:is>
          <x:t xml:space="preserve">Aspirational practical brand feel.</x:t>
        </x:is>
      </x:c>
      <x:c r="K98" s="117" t="inlineStr">
        <x:is>
          <x:t xml:space="preserve">Use the story to show scattered evidence and stressful claims follow-up and end with one practical takeaway.</x:t>
        </x:is>
      </x:c>
      <x:c r="L98" s="117" t="inlineStr">
        <x:is>
          <x:t xml:space="preserve">Use Msafiri to keep incident evidence organized.</x:t>
        </x:is>
      </x:c>
      <x:c r="M98" s="117" t="inlineStr">
        <x:is>
          <x:t xml:space="preserve">carousel steps; captions; app screen-record; branded end card</x:t>
        </x:is>
      </x:c>
      <x:c r="N98" s="117" t="inlineStr">
        <x:is>
          <x:t xml:space="preserve">Low</x:t>
        </x:is>
      </x:c>
      <x:c r="O98" s="117" t="n">
        <x:v>3</x:v>
      </x:c>
      <x:c r="P98" s="117" t="n">
        <x:v>5</x:v>
      </x:c>
      <x:c r="Q98" s="117" t="n">
        <x:v>3</x:v>
      </x:c>
      <x:c r="R98" s="117" t="n">
        <x:v>1</x:v>
      </x:c>
      <x:c r="S98" s="117" t="n">
        <x:v>3</x:v>
      </x:c>
      <x:c r="T98" s="117" t="n">
        <x:f>O98+P98+Q98+S98-R98</x:f>
        <x:v>13</x:v>
      </x:c>
      <x:c r="U98" s="117" t="inlineStr">
        <x:is>
          <x:t xml:space="preserve">Do not promise claim approval or payout.</x:t>
        </x:is>
      </x:c>
      <x:c r="V98" s="117" t="inlineStr">
        <x:is>
          <x:t xml:space="preserve">Cut into a 15-sec hook, a Story poll and a carousel slide if it gets saves/comments.</x:t>
        </x:is>
      </x:c>
    </x:row>
    <x:row r="99" ht="58" customHeight="1">
      <x:c r="A99" s="110" t="n">
        <x:v>95</x:v>
      </x:c>
      <x:c r="B99" s="110" t="inlineStr">
        <x:is>
          <x:t xml:space="preserve">Education / Safety</x:t>
        </x:is>
      </x:c>
      <x:c r="C99" s="110" t="inlineStr">
        <x:is>
          <x:t xml:space="preserve">Insurance-ready reports</x:t>
        </x:is>
      </x:c>
      <x:c r="D99" s="110" t="inlineStr">
        <x:is>
          <x:t xml:space="preserve">One Minute Road Safety</x:t>
        </x:is>
      </x:c>
      <x:c r="E99" s="110" t="inlineStr">
        <x:is>
          <x:t xml:space="preserve">Family driver</x:t>
        </x:is>
      </x:c>
      <x:c r="F99" s="110" t="inlineStr">
        <x:is>
          <x:t xml:space="preserve">Retention</x:t>
        </x:is>
      </x:c>
      <x:c r="G99" s="110" t="inlineStr">
        <x:is>
          <x:t xml:space="preserve">Checklist Reel</x:t>
        </x:is>
      </x:c>
      <x:c r="H99" s="110" t="inlineStr">
        <x:is>
          <x:t xml:space="preserve">One minute road safety: insurance-ready reports edition.</x:t>
        </x:is>
      </x:c>
      <x:c r="I99" s="110" t="inlineStr">
        <x:is>
          <x:t xml:space="preserve">One tip per beat; report preview blur.</x:t>
        </x:is>
      </x:c>
      <x:c r="J99" s="110" t="inlineStr">
        <x:is>
          <x:t xml:space="preserve">Quick knowledge people can use.</x:t>
        </x:is>
      </x:c>
      <x:c r="K99" s="110" t="inlineStr">
        <x:is>
          <x:t xml:space="preserve">Use the story to show scattered evidence and stressful claims follow-up and end with one practical takeaway.</x:t>
        </x:is>
      </x:c>
      <x:c r="L99" s="110" t="inlineStr">
        <x:is>
          <x:t xml:space="preserve">Use Msafiri to keep incident evidence organized.</x:t>
        </x:is>
      </x:c>
      <x:c r="M99" s="110" t="inlineStr">
        <x:is>
          <x:t xml:space="preserve">report preview blur; captions; app screen-record; branded end card</x:t>
        </x:is>
      </x:c>
      <x:c r="N99" s="110" t="inlineStr">
        <x:is>
          <x:t xml:space="preserve">Medium</x:t>
        </x:is>
      </x:c>
      <x:c r="O99" s="110" t="n">
        <x:v>3</x:v>
      </x:c>
      <x:c r="P99" s="110" t="n">
        <x:v>5</x:v>
      </x:c>
      <x:c r="Q99" s="110" t="n">
        <x:v>3</x:v>
      </x:c>
      <x:c r="R99" s="110" t="n">
        <x:v>2</x:v>
      </x:c>
      <x:c r="S99" s="110" t="n">
        <x:v>2</x:v>
      </x:c>
      <x:c r="T99" s="110" t="n">
        <x:f>O99+P99+Q99+S99-R99</x:f>
        <x:v>11</x:v>
      </x:c>
      <x:c r="U99" s="110" t="inlineStr">
        <x:is>
          <x:t xml:space="preserve">Do not promise claim approval or payout.</x:t>
        </x:is>
      </x:c>
      <x:c r="V99" s="110" t="inlineStr">
        <x:is>
          <x:t xml:space="preserve">Cut into a 15-sec hook, a Story poll and a carousel slide if it gets saves/comments.</x:t>
        </x:is>
      </x:c>
    </x:row>
    <x:row r="100" ht="58" customHeight="1">
      <x:c r="A100" s="117" t="n">
        <x:v>96</x:v>
      </x:c>
      <x:c r="B100" s="117" t="inlineStr">
        <x:is>
          <x:t xml:space="preserve">Founder / BTS</x:t>
        </x:is>
      </x:c>
      <x:c r="C100" s="117" t="inlineStr">
        <x:is>
          <x:t xml:space="preserve">Insurance-ready reports</x:t>
        </x:is>
      </x:c>
      <x:c r="D100" s="117" t="inlineStr">
        <x:is>
          <x:t xml:space="preserve">Build With Peter</x:t>
        </x:is>
      </x:c>
      <x:c r="E100" s="117" t="inlineStr">
        <x:is>
          <x:t xml:space="preserve">New driver</x:t>
        </x:is>
      </x:c>
      <x:c r="F100" s="117" t="inlineStr">
        <x:is>
          <x:t xml:space="preserve">Trust</x:t>
        </x:is>
      </x:c>
      <x:c r="G100" s="117" t="inlineStr">
        <x:is>
          <x:t xml:space="preserve">Founder-to-camera</x:t>
        </x:is>
      </x:c>
      <x:c r="H100" s="117" t="inlineStr">
        <x:is>
          <x:t xml:space="preserve">The product decision we almost got wrong with insurance-ready reports.</x:t>
        </x:is>
      </x:c>
      <x:c r="I100" s="117" t="inlineStr">
        <x:is>
          <x:t xml:space="preserve">Peter + notes + app prototype; photo checklist.</x:t>
        </x:is>
      </x:c>
      <x:c r="J100" s="117" t="inlineStr">
        <x:is>
          <x:t xml:space="preserve">Humanizing the build process.</x:t>
        </x:is>
      </x:c>
      <x:c r="K100" s="117" t="inlineStr">
        <x:is>
          <x:t xml:space="preserve">Use the story to show scattered evidence and stressful claims follow-up and end with one practical takeaway.</x:t>
        </x:is>
      </x:c>
      <x:c r="L100" s="117" t="inlineStr">
        <x:is>
          <x:t xml:space="preserve">Use Msafiri to keep incident evidence organized.</x:t>
        </x:is>
      </x:c>
      <x:c r="M100" s="117" t="inlineStr">
        <x:is>
          <x:t xml:space="preserve">photo checklist; captions; app screen-record; branded end card</x:t>
        </x:is>
      </x:c>
      <x:c r="N100" s="117" t="inlineStr">
        <x:is>
          <x:t xml:space="preserve">High</x:t>
        </x:is>
      </x:c>
      <x:c r="O100" s="117" t="n">
        <x:v>3</x:v>
      </x:c>
      <x:c r="P100" s="117" t="n">
        <x:v>4</x:v>
      </x:c>
      <x:c r="Q100" s="117" t="n">
        <x:v>3</x:v>
      </x:c>
      <x:c r="R100" s="117" t="n">
        <x:v>3</x:v>
      </x:c>
      <x:c r="S100" s="117" t="n">
        <x:v>2</x:v>
      </x:c>
      <x:c r="T100" s="117" t="n">
        <x:f>O100+P100+Q100+S100-R100</x:f>
        <x:v>9</x:v>
      </x:c>
      <x:c r="U100" s="117" t="inlineStr">
        <x:is>
          <x:t xml:space="preserve">Do not promise claim approval or payout.</x:t>
        </x:is>
      </x:c>
      <x:c r="V100" s="117" t="inlineStr">
        <x:is>
          <x:t xml:space="preserve">Cut into a 15-sec hook, a Story poll and a carousel slide if it gets saves/comments.</x:t>
        </x:is>
      </x:c>
    </x:row>
    <x:row r="101" ht="58" customHeight="1">
      <x:c r="A101" s="110" t="n">
        <x:v>97</x:v>
      </x:c>
      <x:c r="B101" s="110" t="inlineStr">
        <x:is>
          <x:t xml:space="preserve">Community / UGC</x:t>
        </x:is>
      </x:c>
      <x:c r="C101" s="110" t="inlineStr">
        <x:is>
          <x:t xml:space="preserve">Insurance-ready reports</x:t>
        </x:is>
      </x:c>
      <x:c r="D101" s="110" t="inlineStr">
        <x:is>
          <x:t xml:space="preserve">Comment-to-Video</x:t>
        </x:is>
      </x:c>
      <x:c r="E101" s="110" t="inlineStr">
        <x:is>
          <x:t xml:space="preserve">Car owner</x:t>
        </x:is>
      </x:c>
      <x:c r="F101" s="110" t="inlineStr">
        <x:is>
          <x:t xml:space="preserve">Community</x:t>
        </x:is>
      </x:c>
      <x:c r="G101" s="110" t="inlineStr">
        <x:is>
          <x:t xml:space="preserve">Community Reply</x:t>
        </x:is>
      </x:c>
      <x:c r="H101" s="110" t="inlineStr">
        <x:is>
          <x:t xml:space="preserve">A follower asked about scattered evidence and stressful claims follow-up; here is the practical answer.</x:t>
        </x:is>
      </x:c>
      <x:c r="I101" s="110" t="inlineStr">
        <x:is>
          <x:t xml:space="preserve">Comment sticker + direct answer; folder comparison.</x:t>
        </x:is>
      </x:c>
      <x:c r="J101" s="110" t="inlineStr">
        <x:is>
          <x:t xml:space="preserve">Reward comments and build trust.</x:t>
        </x:is>
      </x:c>
      <x:c r="K101" s="110" t="inlineStr">
        <x:is>
          <x:t xml:space="preserve">Use the story to show scattered evidence and stressful claims follow-up and end with one practical takeaway.</x:t>
        </x:is>
      </x:c>
      <x:c r="L101" s="110" t="inlineStr">
        <x:is>
          <x:t xml:space="preserve">Use Msafiri to keep incident evidence organized.</x:t>
        </x:is>
      </x:c>
      <x:c r="M101" s="110" t="inlineStr">
        <x:is>
          <x:t xml:space="preserve">folder comparison; captions; app screen-record; branded end card</x:t>
        </x:is>
      </x:c>
      <x:c r="N101" s="110" t="inlineStr">
        <x:is>
          <x:t xml:space="preserve">Low</x:t>
        </x:is>
      </x:c>
      <x:c r="O101" s="110" t="n">
        <x:v>3</x:v>
      </x:c>
      <x:c r="P101" s="110" t="n">
        <x:v>4</x:v>
      </x:c>
      <x:c r="Q101" s="110" t="n">
        <x:v>3</x:v>
      </x:c>
      <x:c r="R101" s="110" t="n">
        <x:v>1</x:v>
      </x:c>
      <x:c r="S101" s="110" t="n">
        <x:v>2</x:v>
      </x:c>
      <x:c r="T101" s="110" t="n">
        <x:f>O101+P101+Q101+S101-R101</x:f>
        <x:v>11</x:v>
      </x:c>
      <x:c r="U101" s="110" t="inlineStr">
        <x:is>
          <x:t xml:space="preserve">Do not promise claim approval or payout.</x:t>
        </x:is>
      </x:c>
      <x:c r="V101" s="110" t="inlineStr">
        <x:is>
          <x:t xml:space="preserve">Cut into a 15-sec hook, a Story poll and a carousel slide if it gets saves/comments.</x:t>
        </x:is>
      </x:c>
    </x:row>
    <x:row r="102" ht="58" customHeight="1">
      <x:c r="A102" s="117" t="n">
        <x:v>98</x:v>
      </x:c>
      <x:c r="B102" s="117" t="inlineStr">
        <x:is>
          <x:t xml:space="preserve">Kenyan Driving Reality</x:t>
        </x:is>
      </x:c>
      <x:c r="C102" s="117" t="inlineStr">
        <x:is>
          <x:t xml:space="preserve">Insurance-ready reports</x:t>
        </x:is>
      </x:c>
      <x:c r="D102" s="117" t="inlineStr">
        <x:is>
          <x:t xml:space="preserve">Driver Confessions</x:t>
        </x:is>
      </x:c>
      <x:c r="E102" s="117" t="inlineStr">
        <x:is>
          <x:t xml:space="preserve">Professional driver</x:t>
        </x:is>
      </x:c>
      <x:c r="F102" s="117" t="inlineStr">
        <x:is>
          <x:t xml:space="preserve">Engagement</x:t>
        </x:is>
      </x:c>
      <x:c r="G102" s="117" t="inlineStr">
        <x:is>
          <x:t xml:space="preserve">Street Interview</x:t>
        </x:is>
      </x:c>
      <x:c r="H102" s="117" t="inlineStr">
        <x:is>
          <x:t xml:space="preserve">Confession time: what is the one driving mistake you learned from?</x:t>
        </x:is>
      </x:c>
      <x:c r="I102" s="117" t="inlineStr">
        <x:is>
          <x:t xml:space="preserve">Anonymous driver confession; founder explainers.</x:t>
        </x:is>
      </x:c>
      <x:c r="J102" s="117" t="inlineStr">
        <x:is>
          <x:t xml:space="preserve">Relatable vulnerability.</x:t>
        </x:is>
      </x:c>
      <x:c r="K102" s="117" t="inlineStr">
        <x:is>
          <x:t xml:space="preserve">Use the story to show scattered evidence and stressful claims follow-up and end with one practical takeaway.</x:t>
        </x:is>
      </x:c>
      <x:c r="L102" s="117" t="inlineStr">
        <x:is>
          <x:t xml:space="preserve">Use Msafiri to keep incident evidence organized.</x:t>
        </x:is>
      </x:c>
      <x:c r="M102" s="117" t="inlineStr">
        <x:is>
          <x:t xml:space="preserve">founder explainers; captions; app screen-record; branded end card</x:t>
        </x:is>
      </x:c>
      <x:c r="N102" s="117" t="inlineStr">
        <x:is>
          <x:t xml:space="preserve">Medium</x:t>
        </x:is>
      </x:c>
      <x:c r="O102" s="117" t="n">
        <x:v>4</x:v>
      </x:c>
      <x:c r="P102" s="117" t="n">
        <x:v>4</x:v>
      </x:c>
      <x:c r="Q102" s="117" t="n">
        <x:v>3</x:v>
      </x:c>
      <x:c r="R102" s="117" t="n">
        <x:v>2</x:v>
      </x:c>
      <x:c r="S102" s="117" t="n">
        <x:v>2</x:v>
      </x:c>
      <x:c r="T102" s="117" t="n">
        <x:f>O102+P102+Q102+S102-R102</x:f>
        <x:v>11</x:v>
      </x:c>
      <x:c r="U102" s="117" t="inlineStr">
        <x:is>
          <x:t xml:space="preserve">Do not promise claim approval or payout.</x:t>
        </x:is>
      </x:c>
      <x:c r="V102" s="117" t="inlineStr">
        <x:is>
          <x:t xml:space="preserve">Turn best responses into Comment-to-Video and add to next week’s road-check queue.</x:t>
        </x:is>
      </x:c>
    </x:row>
    <x:row r="103" ht="58" customHeight="1">
      <x:c r="A103" s="110" t="n">
        <x:v>99</x:v>
      </x:c>
      <x:c r="B103" s="110" t="inlineStr">
        <x:is>
          <x:t xml:space="preserve">Product / Feature Proof</x:t>
        </x:is>
      </x:c>
      <x:c r="C103" s="110" t="inlineStr">
        <x:is>
          <x:t xml:space="preserve">Insurance-ready reports</x:t>
        </x:is>
      </x:c>
      <x:c r="D103" s="110" t="inlineStr">
        <x:is>
          <x:t xml:space="preserve">Before / After</x:t>
        </x:is>
      </x:c>
      <x:c r="E103" s="110" t="inlineStr">
        <x:is>
          <x:t xml:space="preserve">Family driver</x:t>
        </x:is>
      </x:c>
      <x:c r="F103" s="110" t="inlineStr">
        <x:is>
          <x:t xml:space="preserve">Conversion</x:t>
        </x:is>
      </x:c>
      <x:c r="G103" s="110" t="inlineStr">
        <x:is>
          <x:t xml:space="preserve">Short-form video</x:t>
        </x:is>
      </x:c>
      <x:c r="H103" s="110" t="inlineStr">
        <x:is>
          <x:t xml:space="preserve">Before Msafiri vs after Msafiri when scattered evidence and stressful claims follow-up.</x:t>
        </x:is>
      </x:c>
      <x:c r="I103" s="110" t="inlineStr">
        <x:is>
          <x:t xml:space="preserve">Two-act split screen; carousel steps.</x:t>
        </x:is>
      </x:c>
      <x:c r="J103" s="110" t="inlineStr">
        <x:is>
          <x:t xml:space="preserve">A clear reason to try.</x:t>
        </x:is>
      </x:c>
      <x:c r="K103" s="110" t="inlineStr">
        <x:is>
          <x:t xml:space="preserve">Use the story to show scattered evidence and stressful claims follow-up and end with one practical takeaway.</x:t>
        </x:is>
      </x:c>
      <x:c r="L103" s="110" t="inlineStr">
        <x:is>
          <x:t xml:space="preserve">Use Msafiri to keep incident evidence organized.</x:t>
        </x:is>
      </x:c>
      <x:c r="M103" s="110" t="inlineStr">
        <x:is>
          <x:t xml:space="preserve">carousel steps; captions; app screen-record; branded end card</x:t>
        </x:is>
      </x:c>
      <x:c r="N103" s="110" t="inlineStr">
        <x:is>
          <x:t xml:space="preserve">High</x:t>
        </x:is>
      </x:c>
      <x:c r="O103" s="110" t="n">
        <x:v>3</x:v>
      </x:c>
      <x:c r="P103" s="110" t="n">
        <x:v>4</x:v>
      </x:c>
      <x:c r="Q103" s="110" t="n">
        <x:v>5</x:v>
      </x:c>
      <x:c r="R103" s="110" t="n">
        <x:v>3</x:v>
      </x:c>
      <x:c r="S103" s="110" t="n">
        <x:v>2</x:v>
      </x:c>
      <x:c r="T103" s="110" t="n">
        <x:f>O103+P103+Q103+S103-R103</x:f>
        <x:v>11</x:v>
      </x:c>
      <x:c r="U103" s="110" t="inlineStr">
        <x:is>
          <x:t xml:space="preserve">Do not promise claim approval or payout.</x:t>
        </x:is>
      </x:c>
      <x:c r="V103" s="110" t="inlineStr">
        <x:is>
          <x:t xml:space="preserve">Cut into a 15-sec hook, a Story poll and a carousel slide if it gets saves/comments.</x:t>
        </x:is>
      </x:c>
    </x:row>
    <x:row r="104" ht="58" customHeight="1">
      <x:c r="A104" s="117" t="n">
        <x:v>100</x:v>
      </x:c>
      <x:c r="B104" s="117" t="inlineStr">
        <x:is>
          <x:t xml:space="preserve">Seasonal Campaign</x:t>
        </x:is>
      </x:c>
      <x:c r="C104" s="117" t="inlineStr">
        <x:is>
          <x:t xml:space="preserve">Insurance-ready reports</x:t>
        </x:is>
      </x:c>
      <x:c r="D104" s="117" t="inlineStr">
        <x:is>
          <x:t xml:space="preserve">Holiday Road Prep</x:t>
        </x:is>
      </x:c>
      <x:c r="E104" s="117" t="inlineStr">
        <x:is>
          <x:t xml:space="preserve">New driver</x:t>
        </x:is>
      </x:c>
      <x:c r="F104" s="117" t="inlineStr">
        <x:is>
          <x:t xml:space="preserve">Awareness</x:t>
        </x:is>
      </x:c>
      <x:c r="G104" s="117" t="inlineStr">
        <x:is>
          <x:t xml:space="preserve">Checklist Reel</x:t>
        </x:is>
      </x:c>
      <x:c r="H104" s="117" t="inlineStr">
        <x:is>
          <x:t xml:space="preserve">Holiday drive coming up? Do not leave before checking this.</x:t>
        </x:is>
      </x:c>
      <x:c r="I104" s="117" t="inlineStr">
        <x:is>
          <x:t xml:space="preserve">Packing + car + phone mount; report preview blur.</x:t>
        </x:is>
      </x:c>
      <x:c r="J104" s="117" t="inlineStr">
        <x:is>
          <x:t xml:space="preserve">Seasonal urgency.</x:t>
        </x:is>
      </x:c>
      <x:c r="K104" s="117" t="inlineStr">
        <x:is>
          <x:t xml:space="preserve">Use the story to show scattered evidence and stressful claims follow-up and end with one practical takeaway.</x:t>
        </x:is>
      </x:c>
      <x:c r="L104" s="117" t="inlineStr">
        <x:is>
          <x:t xml:space="preserve">Use Msafiri to keep incident evidence organized.</x:t>
        </x:is>
      </x:c>
      <x:c r="M104" s="117" t="inlineStr">
        <x:is>
          <x:t xml:space="preserve">report preview blur; captions; app screen-record; branded end card</x:t>
        </x:is>
      </x:c>
      <x:c r="N104" s="117" t="inlineStr">
        <x:is>
          <x:t xml:space="preserve">Low</x:t>
        </x:is>
      </x:c>
      <x:c r="O104" s="117" t="n">
        <x:v>4</x:v>
      </x:c>
      <x:c r="P104" s="117" t="n">
        <x:v>4</x:v>
      </x:c>
      <x:c r="Q104" s="117" t="n">
        <x:v>3</x:v>
      </x:c>
      <x:c r="R104" s="117" t="n">
        <x:v>1</x:v>
      </x:c>
      <x:c r="S104" s="117" t="n">
        <x:v>4</x:v>
      </x:c>
      <x:c r="T104" s="117" t="n">
        <x:f>O104+P104+Q104+S104-R104</x:f>
        <x:v>14</x:v>
      </x:c>
      <x:c r="U104" s="117" t="inlineStr">
        <x:is>
          <x:t xml:space="preserve">Do not promise claim approval or payout.</x:t>
        </x:is>
      </x:c>
      <x:c r="V104" s="117" t="inlineStr">
        <x:is>
          <x:t xml:space="preserve">Cut into a 15-sec hook, a Story poll and a carousel slide if it gets saves/comments.</x:t>
        </x:is>
      </x:c>
    </x:row>
    <x:row r="105" ht="58" customHeight="1">
      <x:c r="A105" s="110" t="n">
        <x:v>101</x:v>
      </x:c>
      <x:c r="B105" s="110" t="inlineStr">
        <x:is>
          <x:t xml:space="preserve">Education / Safety</x:t>
        </x:is>
      </x:c>
      <x:c r="C105" s="110" t="inlineStr">
        <x:is>
          <x:t xml:space="preserve">Insurance-ready reports</x:t>
        </x:is>
      </x:c>
      <x:c r="D105" s="110" t="inlineStr">
        <x:is>
          <x:t xml:space="preserve">Passenger POV</x:t>
        </x:is>
      </x:c>
      <x:c r="E105" s="110" t="inlineStr">
        <x:is>
          <x:t xml:space="preserve">Car owner</x:t>
        </x:is>
      </x:c>
      <x:c r="F105" s="110" t="inlineStr">
        <x:is>
          <x:t xml:space="preserve">Community</x:t>
        </x:is>
      </x:c>
      <x:c r="G105" s="110" t="inlineStr">
        <x:is>
          <x:t xml:space="preserve">Short-form video</x:t>
        </x:is>
      </x:c>
      <x:c r="H105" s="110" t="inlineStr">
        <x:is>
          <x:t xml:space="preserve">Passenger script: how to tell the driver to slow down without starting a fight.</x:t>
        </x:is>
      </x:c>
      <x:c r="I105" s="110" t="inlineStr">
        <x:is>
          <x:t xml:space="preserve">Passenger POV + text overlay; photo checklist.</x:t>
        </x:is>
      </x:c>
      <x:c r="J105" s="110" t="inlineStr">
        <x:is>
          <x:t xml:space="preserve">Safety through social behavior.</x:t>
        </x:is>
      </x:c>
      <x:c r="K105" s="110" t="inlineStr">
        <x:is>
          <x:t xml:space="preserve">Use the story to show scattered evidence and stressful claims follow-up and end with one practical takeaway.</x:t>
        </x:is>
      </x:c>
      <x:c r="L105" s="110" t="inlineStr">
        <x:is>
          <x:t xml:space="preserve">Use Msafiri to keep incident evidence organized.</x:t>
        </x:is>
      </x:c>
      <x:c r="M105" s="110" t="inlineStr">
        <x:is>
          <x:t xml:space="preserve">photo checklist; captions; app screen-record; branded end card</x:t>
        </x:is>
      </x:c>
      <x:c r="N105" s="110" t="inlineStr">
        <x:is>
          <x:t xml:space="preserve">Medium</x:t>
        </x:is>
      </x:c>
      <x:c r="O105" s="110" t="n">
        <x:v>3</x:v>
      </x:c>
      <x:c r="P105" s="110" t="n">
        <x:v>5</x:v>
      </x:c>
      <x:c r="Q105" s="110" t="n">
        <x:v>3</x:v>
      </x:c>
      <x:c r="R105" s="110" t="n">
        <x:v>2</x:v>
      </x:c>
      <x:c r="S105" s="110" t="n">
        <x:v>2</x:v>
      </x:c>
      <x:c r="T105" s="110" t="n">
        <x:f>O105+P105+Q105+S105-R105</x:f>
        <x:v>11</x:v>
      </x:c>
      <x:c r="U105" s="110" t="inlineStr">
        <x:is>
          <x:t xml:space="preserve">Do not promise claim approval or payout.</x:t>
        </x:is>
      </x:c>
      <x:c r="V105" s="110" t="inlineStr">
        <x:is>
          <x:t xml:space="preserve">Cut into a 15-sec hook, a Story poll and a carousel slide if it gets saves/comments.</x:t>
        </x:is>
      </x:c>
    </x:row>
    <x:row r="106" ht="58" customHeight="1">
      <x:c r="A106" s="117" t="n">
        <x:v>102</x:v>
      </x:c>
      <x:c r="B106" s="117" t="inlineStr">
        <x:is>
          <x:t xml:space="preserve">Product / Feature Proof</x:t>
        </x:is>
      </x:c>
      <x:c r="C106" s="117" t="inlineStr">
        <x:is>
          <x:t xml:space="preserve">Insurance-ready reports</x:t>
        </x:is>
      </x:c>
      <x:c r="D106" s="117" t="inlineStr">
        <x:is>
          <x:t xml:space="preserve">Feature FAQ</x:t>
        </x:is>
      </x:c>
      <x:c r="E106" s="117" t="inlineStr">
        <x:is>
          <x:t xml:space="preserve">Professional driver</x:t>
        </x:is>
      </x:c>
      <x:c r="F106" s="117" t="inlineStr">
        <x:is>
          <x:t xml:space="preserve">Feature Discovery</x:t>
        </x:is>
      </x:c>
      <x:c r="G106" s="117" t="inlineStr">
        <x:is>
          <x:t xml:space="preserve">Carousel</x:t>
        </x:is>
      </x:c>
      <x:c r="H106" s="117" t="inlineStr">
        <x:is>
          <x:t xml:space="preserve">The question people ask about insurance-ready reports, answered simply.</x:t>
        </x:is>
      </x:c>
      <x:c r="I106" s="117" t="inlineStr">
        <x:is>
          <x:t xml:space="preserve">Carousel with one answer per slide; folder comparison.</x:t>
        </x:is>
      </x:c>
      <x:c r="J106" s="117" t="inlineStr">
        <x:is>
          <x:t xml:space="preserve">Reduce confusion.</x:t>
        </x:is>
      </x:c>
      <x:c r="K106" s="117" t="inlineStr">
        <x:is>
          <x:t xml:space="preserve">Use the story to show scattered evidence and stressful claims follow-up and end with one practical takeaway.</x:t>
        </x:is>
      </x:c>
      <x:c r="L106" s="117" t="inlineStr">
        <x:is>
          <x:t xml:space="preserve">Use Msafiri to keep incident evidence organized.</x:t>
        </x:is>
      </x:c>
      <x:c r="M106" s="117" t="inlineStr">
        <x:is>
          <x:t xml:space="preserve">folder comparison; captions; app screen-record; branded end card</x:t>
        </x:is>
      </x:c>
      <x:c r="N106" s="117" t="inlineStr">
        <x:is>
          <x:t xml:space="preserve">High</x:t>
        </x:is>
      </x:c>
      <x:c r="O106" s="117" t="n">
        <x:v>3</x:v>
      </x:c>
      <x:c r="P106" s="117" t="n">
        <x:v>4</x:v>
      </x:c>
      <x:c r="Q106" s="117" t="n">
        <x:v>5</x:v>
      </x:c>
      <x:c r="R106" s="117" t="n">
        <x:v>3</x:v>
      </x:c>
      <x:c r="S106" s="117" t="n">
        <x:v>2</x:v>
      </x:c>
      <x:c r="T106" s="117" t="n">
        <x:f>O106+P106+Q106+S106-R106</x:f>
        <x:v>11</x:v>
      </x:c>
      <x:c r="U106" s="117" t="inlineStr">
        <x:is>
          <x:t xml:space="preserve">Do not promise claim approval or payout.</x:t>
        </x:is>
      </x:c>
      <x:c r="V106" s="117" t="inlineStr">
        <x:is>
          <x:t xml:space="preserve">Cut into a 15-sec hook, a Story poll and a carousel slide if it gets saves/comments.</x:t>
        </x:is>
      </x:c>
    </x:row>
    <x:row r="107" ht="58" customHeight="1">
      <x:c r="A107" s="110" t="n">
        <x:v>103</x:v>
      </x:c>
      <x:c r="B107" s="110" t="inlineStr">
        <x:is>
          <x:t xml:space="preserve">Debate / Mythbusters</x:t>
        </x:is>
      </x:c>
      <x:c r="C107" s="110" t="inlineStr">
        <x:is>
          <x:t xml:space="preserve">Insurance-ready reports</x:t>
        </x:is>
      </x:c>
      <x:c r="D107" s="110" t="inlineStr">
        <x:is>
          <x:t xml:space="preserve">Road Mythbusters</x:t>
        </x:is>
      </x:c>
      <x:c r="E107" s="110" t="inlineStr">
        <x:is>
          <x:t xml:space="preserve">Family driver</x:t>
        </x:is>
      </x:c>
      <x:c r="F107" s="110" t="inlineStr">
        <x:is>
          <x:t xml:space="preserve">Engagement</x:t>
        </x:is>
      </x:c>
      <x:c r="G107" s="110" t="inlineStr">
        <x:is>
          <x:t xml:space="preserve">Story Poll</x:t>
        </x:is>
      </x:c>
      <x:c r="H107" s="110" t="inlineStr">
        <x:is>
          <x:t xml:space="preserve">Would you trust insurance-ready reports on a normal weekday drive?</x:t>
        </x:is>
      </x:c>
      <x:c r="I107" s="110" t="inlineStr">
        <x:is>
          <x:t xml:space="preserve">Poll sticker + quick setup; founder explainers.</x:t>
        </x:is>
      </x:c>
      <x:c r="J107" s="110" t="inlineStr">
        <x:is>
          <x:t xml:space="preserve">Low-friction responses.</x:t>
        </x:is>
      </x:c>
      <x:c r="K107" s="110" t="inlineStr">
        <x:is>
          <x:t xml:space="preserve">Use the story to show scattered evidence and stressful claims follow-up and end with one practical takeaway.</x:t>
        </x:is>
      </x:c>
      <x:c r="L107" s="110" t="inlineStr">
        <x:is>
          <x:t xml:space="preserve">Use Msafiri to keep incident evidence organized.</x:t>
        </x:is>
      </x:c>
      <x:c r="M107" s="110" t="inlineStr">
        <x:is>
          <x:t xml:space="preserve">founder explainers; captions; app screen-record; branded end card</x:t>
        </x:is>
      </x:c>
      <x:c r="N107" s="110" t="inlineStr">
        <x:is>
          <x:t xml:space="preserve">Low</x:t>
        </x:is>
      </x:c>
      <x:c r="O107" s="110" t="n">
        <x:v>4</x:v>
      </x:c>
      <x:c r="P107" s="110" t="n">
        <x:v>4</x:v>
      </x:c>
      <x:c r="Q107" s="110" t="n">
        <x:v>3</x:v>
      </x:c>
      <x:c r="R107" s="110" t="n">
        <x:v>1</x:v>
      </x:c>
      <x:c r="S107" s="110" t="n">
        <x:v>2</x:v>
      </x:c>
      <x:c r="T107" s="110" t="n">
        <x:f>O107+P107+Q107+S107-R107</x:f>
        <x:v>12</x:v>
      </x:c>
      <x:c r="U107" s="110" t="inlineStr">
        <x:is>
          <x:t xml:space="preserve">Do not promise claim approval or payout.</x:t>
        </x:is>
      </x:c>
      <x:c r="V107" s="110" t="inlineStr">
        <x:is>
          <x:t xml:space="preserve">Turn best responses into Comment-to-Video and add to next week’s road-check queue.</x:t>
        </x:is>
      </x:c>
    </x:row>
    <x:row r="108" ht="58" customHeight="1">
      <x:c r="A108" s="117" t="n">
        <x:v>104</x:v>
      </x:c>
      <x:c r="B108" s="117" t="inlineStr">
        <x:is>
          <x:t xml:space="preserve">Road Intelligence</x:t>
        </x:is>
      </x:c>
      <x:c r="C108" s="117" t="inlineStr">
        <x:is>
          <x:t xml:space="preserve">Insurance-ready reports</x:t>
        </x:is>
      </x:c>
      <x:c r="D108" s="117" t="inlineStr">
        <x:is>
          <x:t xml:space="preserve">Msafiri Explains</x:t>
        </x:is>
      </x:c>
      <x:c r="E108" s="117" t="inlineStr">
        <x:is>
          <x:t xml:space="preserve">New driver</x:t>
        </x:is>
      </x:c>
      <x:c r="F108" s="117" t="inlineStr">
        <x:is>
          <x:t xml:space="preserve">Trust</x:t>
        </x:is>
      </x:c>
      <x:c r="G108" s="117" t="inlineStr">
        <x:is>
          <x:t xml:space="preserve">Short-form video</x:t>
        </x:is>
      </x:c>
      <x:c r="H108" s="117" t="inlineStr">
        <x:is>
          <x:t xml:space="preserve">The road habit that makes scattered evidence and stressful claims follow-up worse.</x:t>
        </x:is>
      </x:c>
      <x:c r="I108" s="117" t="inlineStr">
        <x:is>
          <x:t xml:space="preserve">Explainer with road B-roll; carousel steps.</x:t>
        </x:is>
      </x:c>
      <x:c r="J108" s="117" t="inlineStr">
        <x:is>
          <x:t xml:space="preserve">Teach without lecturing.</x:t>
        </x:is>
      </x:c>
      <x:c r="K108" s="117" t="inlineStr">
        <x:is>
          <x:t xml:space="preserve">Use the story to show scattered evidence and stressful claims follow-up and end with one practical takeaway.</x:t>
        </x:is>
      </x:c>
      <x:c r="L108" s="117" t="inlineStr">
        <x:is>
          <x:t xml:space="preserve">Use Msafiri to keep incident evidence organized.</x:t>
        </x:is>
      </x:c>
      <x:c r="M108" s="117" t="inlineStr">
        <x:is>
          <x:t xml:space="preserve">carousel steps; captions; app screen-record; branded end card</x:t>
        </x:is>
      </x:c>
      <x:c r="N108" s="117" t="inlineStr">
        <x:is>
          <x:t xml:space="preserve">Medium</x:t>
        </x:is>
      </x:c>
      <x:c r="O108" s="117" t="n">
        <x:v>3</x:v>
      </x:c>
      <x:c r="P108" s="117" t="n">
        <x:v>5</x:v>
      </x:c>
      <x:c r="Q108" s="117" t="n">
        <x:v>3</x:v>
      </x:c>
      <x:c r="R108" s="117" t="n">
        <x:v>2</x:v>
      </x:c>
      <x:c r="S108" s="117" t="n">
        <x:v>2</x:v>
      </x:c>
      <x:c r="T108" s="117" t="n">
        <x:f>O108+P108+Q108+S108-R108</x:f>
        <x:v>11</x:v>
      </x:c>
      <x:c r="U108" s="117" t="inlineStr">
        <x:is>
          <x:t xml:space="preserve">Do not promise claim approval or payout.</x:t>
        </x:is>
      </x:c>
      <x:c r="V108" s="117" t="inlineStr">
        <x:is>
          <x:t xml:space="preserve">Cut into a 15-sec hook, a Story poll and a carousel slide if it gets saves/comments.</x:t>
        </x:is>
      </x:c>
    </x:row>
    <x:row r="109" ht="58" customHeight="1">
      <x:c r="A109" s="110" t="n">
        <x:v>105</x:v>
      </x:c>
      <x:c r="B109" s="110" t="inlineStr">
        <x:is>
          <x:t xml:space="preserve">Community / UGC</x:t>
        </x:is>
      </x:c>
      <x:c r="C109" s="110" t="inlineStr">
        <x:is>
          <x:t xml:space="preserve">Insurance-ready reports</x:t>
        </x:is>
      </x:c>
      <x:c r="D109" s="110" t="inlineStr">
        <x:is>
          <x:t xml:space="preserve">Ask a Kenyan Driver</x:t>
        </x:is>
      </x:c>
      <x:c r="E109" s="110" t="inlineStr">
        <x:is>
          <x:t xml:space="preserve">Car owner</x:t>
        </x:is>
      </x:c>
      <x:c r="F109" s="110" t="inlineStr">
        <x:is>
          <x:t xml:space="preserve">Community</x:t>
        </x:is>
      </x:c>
      <x:c r="G109" s="110" t="inlineStr">
        <x:is>
          <x:t xml:space="preserve">Story Poll</x:t>
        </x:is>
      </x:c>
      <x:c r="H109" s="110" t="inlineStr">
        <x:is>
          <x:t xml:space="preserve">Choose our next test: insurance-ready reports on a commute or a road trip?</x:t>
        </x:is>
      </x:c>
      <x:c r="I109" s="110" t="inlineStr">
        <x:is>
          <x:t xml:space="preserve">Two-option story poll; report preview blur.</x:t>
        </x:is>
      </x:c>
      <x:c r="J109" s="110" t="inlineStr">
        <x:is>
          <x:t xml:space="preserve">Audience participation.</x:t>
        </x:is>
      </x:c>
      <x:c r="K109" s="110" t="inlineStr">
        <x:is>
          <x:t xml:space="preserve">Use the story to show scattered evidence and stressful claims follow-up and end with one practical takeaway.</x:t>
        </x:is>
      </x:c>
      <x:c r="L109" s="110" t="inlineStr">
        <x:is>
          <x:t xml:space="preserve">Use Msafiri to keep incident evidence organized.</x:t>
        </x:is>
      </x:c>
      <x:c r="M109" s="110" t="inlineStr">
        <x:is>
          <x:t xml:space="preserve">report preview blur; captions; app screen-record; branded end card</x:t>
        </x:is>
      </x:c>
      <x:c r="N109" s="110" t="inlineStr">
        <x:is>
          <x:t xml:space="preserve">High</x:t>
        </x:is>
      </x:c>
      <x:c r="O109" s="110" t="n">
        <x:v>3</x:v>
      </x:c>
      <x:c r="P109" s="110" t="n">
        <x:v>4</x:v>
      </x:c>
      <x:c r="Q109" s="110" t="n">
        <x:v>3</x:v>
      </x:c>
      <x:c r="R109" s="110" t="n">
        <x:v>3</x:v>
      </x:c>
      <x:c r="S109" s="110" t="n">
        <x:v>2</x:v>
      </x:c>
      <x:c r="T109" s="110" t="n">
        <x:f>O109+P109+Q109+S109-R109</x:f>
        <x:v>9</x:v>
      </x:c>
      <x:c r="U109" s="110" t="inlineStr">
        <x:is>
          <x:t xml:space="preserve">Do not promise claim approval or payout.</x:t>
        </x:is>
      </x:c>
      <x:c r="V109" s="110" t="inlineStr">
        <x:is>
          <x:t xml:space="preserve">Turn best responses into Comment-to-Video and add to next week’s road-check queue.</x:t>
        </x:is>
      </x:c>
    </x:row>
    <x:row r="110" ht="58" customHeight="1">
      <x:c r="A110" s="117" t="n">
        <x:v>106</x:v>
      </x:c>
      <x:c r="B110" s="117" t="inlineStr">
        <x:is>
          <x:t xml:space="preserve">Product / Feature Proof</x:t>
        </x:is>
      </x:c>
      <x:c r="C110" s="117" t="inlineStr">
        <x:is>
          <x:t xml:space="preserve">Insurance-ready reports</x:t>
        </x:is>
      </x:c>
      <x:c r="D110" s="117" t="inlineStr">
        <x:is>
          <x:t xml:space="preserve">Feature Combo</x:t>
        </x:is>
      </x:c>
      <x:c r="E110" s="117" t="inlineStr">
        <x:is>
          <x:t xml:space="preserve">Professional driver</x:t>
        </x:is>
      </x:c>
      <x:c r="F110" s="117" t="inlineStr">
        <x:is>
          <x:t xml:space="preserve">Conversion</x:t>
        </x:is>
      </x:c>
      <x:c r="G110" s="117" t="inlineStr">
        <x:is>
          <x:t xml:space="preserve">Short-form video</x:t>
        </x:is>
      </x:c>
      <x:c r="H110" s="117" t="inlineStr">
        <x:is>
          <x:t xml:space="preserve">Two Msafiri features that work better together when scattered evidence and stressful claims follow-up.</x:t>
        </x:is>
      </x:c>
      <x:c r="I110" s="117" t="inlineStr">
        <x:is>
          <x:t xml:space="preserve">UI + real drive + end card; photo checklist.</x:t>
        </x:is>
      </x:c>
      <x:c r="J110" s="117" t="inlineStr">
        <x:is>
          <x:t xml:space="preserve">Feature bundling.</x:t>
        </x:is>
      </x:c>
      <x:c r="K110" s="117" t="inlineStr">
        <x:is>
          <x:t xml:space="preserve">Use the story to show scattered evidence and stressful claims follow-up and end with one practical takeaway.</x:t>
        </x:is>
      </x:c>
      <x:c r="L110" s="117" t="inlineStr">
        <x:is>
          <x:t xml:space="preserve">Use Msafiri to keep incident evidence organized.</x:t>
        </x:is>
      </x:c>
      <x:c r="M110" s="117" t="inlineStr">
        <x:is>
          <x:t xml:space="preserve">photo checklist; captions; app screen-record; branded end card</x:t>
        </x:is>
      </x:c>
      <x:c r="N110" s="117" t="inlineStr">
        <x:is>
          <x:t xml:space="preserve">Low</x:t>
        </x:is>
      </x:c>
      <x:c r="O110" s="117" t="n">
        <x:v>3</x:v>
      </x:c>
      <x:c r="P110" s="117" t="n">
        <x:v>4</x:v>
      </x:c>
      <x:c r="Q110" s="117" t="n">
        <x:v>5</x:v>
      </x:c>
      <x:c r="R110" s="117" t="n">
        <x:v>1</x:v>
      </x:c>
      <x:c r="S110" s="117" t="n">
        <x:v>2</x:v>
      </x:c>
      <x:c r="T110" s="117" t="n">
        <x:f>O110+P110+Q110+S110-R110</x:f>
        <x:v>13</x:v>
      </x:c>
      <x:c r="U110" s="117" t="inlineStr">
        <x:is>
          <x:t xml:space="preserve">Do not promise claim approval or payout.</x:t>
        </x:is>
      </x:c>
      <x:c r="V110" s="117" t="inlineStr">
        <x:is>
          <x:t xml:space="preserve">Cut into a 15-sec hook, a Story poll and a carousel slide if it gets saves/comments.</x:t>
        </x:is>
      </x:c>
    </x:row>
    <x:row r="111" ht="58" customHeight="1">
      <x:c r="A111" s="110" t="n">
        <x:v>107</x:v>
      </x:c>
      <x:c r="B111" s="110" t="inlineStr">
        <x:is>
          <x:t xml:space="preserve">Education / Safety</x:t>
        </x:is>
      </x:c>
      <x:c r="C111" s="110" t="inlineStr">
        <x:is>
          <x:t xml:space="preserve">Insurance-ready reports</x:t>
        </x:is>
      </x:c>
      <x:c r="D111" s="110" t="inlineStr">
        <x:is>
          <x:t xml:space="preserve">What Not To Do</x:t>
        </x:is>
      </x:c>
      <x:c r="E111" s="110" t="inlineStr">
        <x:is>
          <x:t xml:space="preserve">Family driver</x:t>
        </x:is>
      </x:c>
      <x:c r="F111" s="110" t="inlineStr">
        <x:is>
          <x:t xml:space="preserve">Retention</x:t>
        </x:is>
      </x:c>
      <x:c r="G111" s="110" t="inlineStr">
        <x:is>
          <x:t xml:space="preserve">Short-form video</x:t>
        </x:is>
      </x:c>
      <x:c r="H111" s="110" t="inlineStr">
        <x:is>
          <x:t xml:space="preserve">Do not make this mistake when scattered evidence and stressful claims follow-up.</x:t>
        </x:is>
      </x:c>
      <x:c r="I111" s="110" t="inlineStr">
        <x:is>
          <x:t xml:space="preserve">Wrong vs right mini demo; folder comparison.</x:t>
        </x:is>
      </x:c>
      <x:c r="J111" s="110" t="inlineStr">
        <x:is>
          <x:t xml:space="preserve">Memorable caution.</x:t>
        </x:is>
      </x:c>
      <x:c r="K111" s="110" t="inlineStr">
        <x:is>
          <x:t xml:space="preserve">Use the story to show scattered evidence and stressful claims follow-up and end with one practical takeaway.</x:t>
        </x:is>
      </x:c>
      <x:c r="L111" s="110" t="inlineStr">
        <x:is>
          <x:t xml:space="preserve">Use Msafiri to keep incident evidence organized.</x:t>
        </x:is>
      </x:c>
      <x:c r="M111" s="110" t="inlineStr">
        <x:is>
          <x:t xml:space="preserve">folder comparison; captions; app screen-record; branded end card</x:t>
        </x:is>
      </x:c>
      <x:c r="N111" s="110" t="inlineStr">
        <x:is>
          <x:t xml:space="preserve">Medium</x:t>
        </x:is>
      </x:c>
      <x:c r="O111" s="110" t="n">
        <x:v>3</x:v>
      </x:c>
      <x:c r="P111" s="110" t="n">
        <x:v>5</x:v>
      </x:c>
      <x:c r="Q111" s="110" t="n">
        <x:v>3</x:v>
      </x:c>
      <x:c r="R111" s="110" t="n">
        <x:v>2</x:v>
      </x:c>
      <x:c r="S111" s="110" t="n">
        <x:v>2</x:v>
      </x:c>
      <x:c r="T111" s="110" t="n">
        <x:f>O111+P111+Q111+S111-R111</x:f>
        <x:v>11</x:v>
      </x:c>
      <x:c r="U111" s="110" t="inlineStr">
        <x:is>
          <x:t xml:space="preserve">Do not promise claim approval or payout.</x:t>
        </x:is>
      </x:c>
      <x:c r="V111" s="110" t="inlineStr">
        <x:is>
          <x:t xml:space="preserve">Cut into a 15-sec hook, a Story poll and a carousel slide if it gets saves/comments.</x:t>
        </x:is>
      </x:c>
    </x:row>
    <x:row r="112" ht="58" customHeight="1">
      <x:c r="A112" s="117" t="n">
        <x:v>108</x:v>
      </x:c>
      <x:c r="B112" s="117" t="inlineStr">
        <x:is>
          <x:t xml:space="preserve">Founder / BTS</x:t>
        </x:is>
      </x:c>
      <x:c r="C112" s="117" t="inlineStr">
        <x:is>
          <x:t xml:space="preserve">Insurance-ready reports</x:t>
        </x:is>
      </x:c>
      <x:c r="D112" s="117" t="inlineStr">
        <x:is>
          <x:t xml:space="preserve">Founder Files</x:t>
        </x:is>
      </x:c>
      <x:c r="E112" s="117" t="inlineStr">
        <x:is>
          <x:t xml:space="preserve">New driver</x:t>
        </x:is>
      </x:c>
      <x:c r="F112" s="117" t="inlineStr">
        <x:is>
          <x:t xml:space="preserve">Trust</x:t>
        </x:is>
      </x:c>
      <x:c r="G112" s="117" t="inlineStr">
        <x:is>
          <x:t xml:space="preserve">Founder-to-camera</x:t>
        </x:is>
      </x:c>
      <x:c r="H112" s="117" t="inlineStr">
        <x:is>
          <x:t xml:space="preserve">The most uncomfortable truth about building insurance-ready reports.</x:t>
        </x:is>
      </x:c>
      <x:c r="I112" s="117" t="inlineStr">
        <x:is>
          <x:t xml:space="preserve">Founder honest reflection; founder explainers.</x:t>
        </x:is>
      </x:c>
      <x:c r="J112" s="117" t="inlineStr">
        <x:is>
          <x:t xml:space="preserve">Trust through honesty.</x:t>
        </x:is>
      </x:c>
      <x:c r="K112" s="117" t="inlineStr">
        <x:is>
          <x:t xml:space="preserve">Use the story to show scattered evidence and stressful claims follow-up and end with one practical takeaway.</x:t>
        </x:is>
      </x:c>
      <x:c r="L112" s="117" t="inlineStr">
        <x:is>
          <x:t xml:space="preserve">Use Msafiri to keep incident evidence organized.</x:t>
        </x:is>
      </x:c>
      <x:c r="M112" s="117" t="inlineStr">
        <x:is>
          <x:t xml:space="preserve">founder explainers; captions; app screen-record; branded end card</x:t>
        </x:is>
      </x:c>
      <x:c r="N112" s="117" t="inlineStr">
        <x:is>
          <x:t xml:space="preserve">High</x:t>
        </x:is>
      </x:c>
      <x:c r="O112" s="117" t="n">
        <x:v>3</x:v>
      </x:c>
      <x:c r="P112" s="117" t="n">
        <x:v>4</x:v>
      </x:c>
      <x:c r="Q112" s="117" t="n">
        <x:v>3</x:v>
      </x:c>
      <x:c r="R112" s="117" t="n">
        <x:v>3</x:v>
      </x:c>
      <x:c r="S112" s="117" t="n">
        <x:v>2</x:v>
      </x:c>
      <x:c r="T112" s="117" t="n">
        <x:f>O112+P112+Q112+S112-R112</x:f>
        <x:v>9</x:v>
      </x:c>
      <x:c r="U112" s="117" t="inlineStr">
        <x:is>
          <x:t xml:space="preserve">Do not promise claim approval or payout.</x:t>
        </x:is>
      </x:c>
      <x:c r="V112" s="117" t="inlineStr">
        <x:is>
          <x:t xml:space="preserve">Cut into a 15-sec hook, a Story poll and a carousel slide if it gets saves/comments.</x:t>
        </x:is>
      </x:c>
    </x:row>
    <x:row r="113" ht="58" customHeight="1">
      <x:c r="A113" s="110" t="n">
        <x:v>109</x:v>
      </x:c>
      <x:c r="B113" s="110" t="inlineStr">
        <x:is>
          <x:t xml:space="preserve">Road Intelligence</x:t>
        </x:is>
      </x:c>
      <x:c r="C113" s="110" t="inlineStr">
        <x:is>
          <x:t xml:space="preserve">Insurance-ready reports</x:t>
        </x:is>
      </x:c>
      <x:c r="D113" s="110" t="inlineStr">
        <x:is>
          <x:t xml:space="preserve">Map vs Reality</x:t>
        </x:is>
      </x:c>
      <x:c r="E113" s="110" t="inlineStr">
        <x:is>
          <x:t xml:space="preserve">Car owner</x:t>
        </x:is>
      </x:c>
      <x:c r="F113" s="110" t="inlineStr">
        <x:is>
          <x:t xml:space="preserve">Awareness</x:t>
        </x:is>
      </x:c>
      <x:c r="G113" s="110" t="inlineStr">
        <x:is>
          <x:t xml:space="preserve">POV Drive</x:t>
        </x:is>
      </x:c>
      <x:c r="H113" s="110" t="inlineStr">
        <x:is>
          <x:t xml:space="preserve">The map says one thing; the road says another.</x:t>
        </x:is>
      </x:c>
      <x:c r="I113" s="110" t="inlineStr">
        <x:is>
          <x:t xml:space="preserve">Map overlay + road footage; carousel steps.</x:t>
        </x:is>
      </x:c>
      <x:c r="J113" s="110" t="inlineStr">
        <x:is>
          <x:t xml:space="preserve">Road-intelligence authority.</x:t>
        </x:is>
      </x:c>
      <x:c r="K113" s="110" t="inlineStr">
        <x:is>
          <x:t xml:space="preserve">Use the story to show scattered evidence and stressful claims follow-up and end with one practical takeaway.</x:t>
        </x:is>
      </x:c>
      <x:c r="L113" s="110" t="inlineStr">
        <x:is>
          <x:t xml:space="preserve">Use Msafiri to keep incident evidence organized.</x:t>
        </x:is>
      </x:c>
      <x:c r="M113" s="110" t="inlineStr">
        <x:is>
          <x:t xml:space="preserve">carousel steps; captions; app screen-record; branded end card</x:t>
        </x:is>
      </x:c>
      <x:c r="N113" s="110" t="inlineStr">
        <x:is>
          <x:t xml:space="preserve">Low</x:t>
        </x:is>
      </x:c>
      <x:c r="O113" s="110" t="n">
        <x:v>3</x:v>
      </x:c>
      <x:c r="P113" s="110" t="n">
        <x:v>5</x:v>
      </x:c>
      <x:c r="Q113" s="110" t="n">
        <x:v>3</x:v>
      </x:c>
      <x:c r="R113" s="110" t="n">
        <x:v>1</x:v>
      </x:c>
      <x:c r="S113" s="110" t="n">
        <x:v>2</x:v>
      </x:c>
      <x:c r="T113" s="110" t="n">
        <x:f>O113+P113+Q113+S113-R113</x:f>
        <x:v>12</x:v>
      </x:c>
      <x:c r="U113" s="110" t="inlineStr">
        <x:is>
          <x:t xml:space="preserve">Do not promise claim approval or payout.</x:t>
        </x:is>
      </x:c>
      <x:c r="V113" s="110" t="inlineStr">
        <x:is>
          <x:t xml:space="preserve">Cut into a 15-sec hook, a Story poll and a carousel slide if it gets saves/comments.</x:t>
        </x:is>
      </x:c>
    </x:row>
    <x:row r="114" ht="58" customHeight="1">
      <x:c r="A114" s="117" t="n">
        <x:v>110</x:v>
      </x:c>
      <x:c r="B114" s="117" t="inlineStr">
        <x:is>
          <x:t xml:space="preserve">Product / Feature Proof</x:t>
        </x:is>
      </x:c>
      <x:c r="C114" s="117" t="inlineStr">
        <x:is>
          <x:t xml:space="preserve">Insurance-ready reports</x:t>
        </x:is>
      </x:c>
      <x:c r="D114" s="117" t="inlineStr">
        <x:is>
          <x:t xml:space="preserve">One-Tap Test</x:t>
        </x:is>
      </x:c>
      <x:c r="E114" s="117" t="inlineStr">
        <x:is>
          <x:t xml:space="preserve">Professional driver</x:t>
        </x:is>
      </x:c>
      <x:c r="F114" s="117" t="inlineStr">
        <x:is>
          <x:t xml:space="preserve">Feature Discovery</x:t>
        </x:is>
      </x:c>
      <x:c r="G114" s="117" t="inlineStr">
        <x:is>
          <x:t xml:space="preserve">Screen-record Demo</x:t>
        </x:is>
      </x:c>
      <x:c r="H114" s="117" t="inlineStr">
        <x:is>
          <x:t xml:space="preserve">How fast can you set up insurance-ready reports before leaving?</x:t>
        </x:is>
      </x:c>
      <x:c r="I114" s="117" t="inlineStr">
        <x:is>
          <x:t xml:space="preserve">Timer + UI taps; report preview blur.</x:t>
        </x:is>
      </x:c>
      <x:c r="J114" s="117" t="inlineStr">
        <x:is>
          <x:t xml:space="preserve">Lower adoption friction.</x:t>
        </x:is>
      </x:c>
      <x:c r="K114" s="117" t="inlineStr">
        <x:is>
          <x:t xml:space="preserve">Use the story to show scattered evidence and stressful claims follow-up and end with one practical takeaway.</x:t>
        </x:is>
      </x:c>
      <x:c r="L114" s="117" t="inlineStr">
        <x:is>
          <x:t xml:space="preserve">Use Msafiri to keep incident evidence organized.</x:t>
        </x:is>
      </x:c>
      <x:c r="M114" s="117" t="inlineStr">
        <x:is>
          <x:t xml:space="preserve">report preview blur; captions; app screen-record; branded end card</x:t>
        </x:is>
      </x:c>
      <x:c r="N114" s="117" t="inlineStr">
        <x:is>
          <x:t xml:space="preserve">Medium</x:t>
        </x:is>
      </x:c>
      <x:c r="O114" s="117" t="n">
        <x:v>3</x:v>
      </x:c>
      <x:c r="P114" s="117" t="n">
        <x:v>4</x:v>
      </x:c>
      <x:c r="Q114" s="117" t="n">
        <x:v>5</x:v>
      </x:c>
      <x:c r="R114" s="117" t="n">
        <x:v>2</x:v>
      </x:c>
      <x:c r="S114" s="117" t="n">
        <x:v>2</x:v>
      </x:c>
      <x:c r="T114" s="117" t="n">
        <x:f>O114+P114+Q114+S114-R114</x:f>
        <x:v>12</x:v>
      </x:c>
      <x:c r="U114" s="117" t="inlineStr">
        <x:is>
          <x:t xml:space="preserve">Do not promise claim approval or payout.</x:t>
        </x:is>
      </x:c>
      <x:c r="V114" s="117" t="inlineStr">
        <x:is>
          <x:t xml:space="preserve">Cut into a 15-sec hook, a Story poll and a carousel slide if it gets saves/comments.</x:t>
        </x:is>
      </x:c>
    </x:row>
    <x:row r="115" ht="58" customHeight="1">
      <x:c r="A115" s="110" t="n">
        <x:v>111</x:v>
      </x:c>
      <x:c r="B115" s="110" t="inlineStr">
        <x:is>
          <x:t xml:space="preserve">Community / UGC</x:t>
        </x:is>
      </x:c>
      <x:c r="C115" s="110" t="inlineStr">
        <x:is>
          <x:t xml:space="preserve">Insurance-ready reports</x:t>
        </x:is>
      </x:c>
      <x:c r="D115" s="110" t="inlineStr">
        <x:is>
          <x:t xml:space="preserve">UGC Prompt</x:t>
        </x:is>
      </x:c>
      <x:c r="E115" s="110" t="inlineStr">
        <x:is>
          <x:t xml:space="preserve">Family driver</x:t>
        </x:is>
      </x:c>
      <x:c r="F115" s="110" t="inlineStr">
        <x:is>
          <x:t xml:space="preserve">Community</x:t>
        </x:is>
      </x:c>
      <x:c r="G115" s="110" t="inlineStr">
        <x:is>
          <x:t xml:space="preserve">Static Graphic</x:t>
        </x:is>
      </x:c>
      <x:c r="H115" s="110" t="inlineStr">
        <x:is>
          <x:t xml:space="preserve">Tell us your insurance-ready reports story and we may feature it.</x:t>
        </x:is>
      </x:c>
      <x:c r="I115" s="110" t="inlineStr">
        <x:is>
          <x:t xml:space="preserve">Branded prompt graphic; photo checklist.</x:t>
        </x:is>
      </x:c>
      <x:c r="J115" s="110" t="inlineStr">
        <x:is>
          <x:t xml:space="preserve">User-generated content pipeline.</x:t>
        </x:is>
      </x:c>
      <x:c r="K115" s="110" t="inlineStr">
        <x:is>
          <x:t xml:space="preserve">Use the story to show scattered evidence and stressful claims follow-up and end with one practical takeaway.</x:t>
        </x:is>
      </x:c>
      <x:c r="L115" s="110" t="inlineStr">
        <x:is>
          <x:t xml:space="preserve">Use Msafiri to keep incident evidence organized.</x:t>
        </x:is>
      </x:c>
      <x:c r="M115" s="110" t="inlineStr">
        <x:is>
          <x:t xml:space="preserve">photo checklist; captions; app screen-record; branded end card</x:t>
        </x:is>
      </x:c>
      <x:c r="N115" s="110" t="inlineStr">
        <x:is>
          <x:t xml:space="preserve">High</x:t>
        </x:is>
      </x:c>
      <x:c r="O115" s="110" t="n">
        <x:v>3</x:v>
      </x:c>
      <x:c r="P115" s="110" t="n">
        <x:v>4</x:v>
      </x:c>
      <x:c r="Q115" s="110" t="n">
        <x:v>3</x:v>
      </x:c>
      <x:c r="R115" s="110" t="n">
        <x:v>3</x:v>
      </x:c>
      <x:c r="S115" s="110" t="n">
        <x:v>2</x:v>
      </x:c>
      <x:c r="T115" s="110" t="n">
        <x:f>O115+P115+Q115+S115-R115</x:f>
        <x:v>9</x:v>
      </x:c>
      <x:c r="U115" s="110" t="inlineStr">
        <x:is>
          <x:t xml:space="preserve">Do not promise claim approval or payout.</x:t>
        </x:is>
      </x:c>
      <x:c r="V115" s="110" t="inlineStr">
        <x:is>
          <x:t xml:space="preserve">Turn best responses into Comment-to-Video and add to next week’s road-check queue.</x:t>
        </x:is>
      </x:c>
    </x:row>
    <x:row r="116" ht="58" customHeight="1">
      <x:c r="A116" s="117" t="n">
        <x:v>112</x:v>
      </x:c>
      <x:c r="B116" s="117" t="inlineStr">
        <x:is>
          <x:t xml:space="preserve">Seasonal Campaign</x:t>
        </x:is>
      </x:c>
      <x:c r="C116" s="117" t="inlineStr">
        <x:is>
          <x:t xml:space="preserve">Insurance-ready reports</x:t>
        </x:is>
      </x:c>
      <x:c r="D116" s="117" t="inlineStr">
        <x:is>
          <x:t xml:space="preserve">End-Year Road Prep</x:t>
        </x:is>
      </x:c>
      <x:c r="E116" s="117" t="inlineStr">
        <x:is>
          <x:t xml:space="preserve">New driver</x:t>
        </x:is>
      </x:c>
      <x:c r="F116" s="117" t="inlineStr">
        <x:is>
          <x:t xml:space="preserve">Conversion</x:t>
        </x:is>
      </x:c>
      <x:c r="G116" s="117" t="inlineStr">
        <x:is>
          <x:t xml:space="preserve">Hero / Reel</x:t>
        </x:is>
      </x:c>
      <x:c r="H116" s="117" t="inlineStr">
        <x:is>
          <x:t xml:space="preserve">Before the December drive, open Msafiri and check this.</x:t>
        </x:is>
      </x:c>
      <x:c r="I116" s="117" t="inlineStr">
        <x:is>
          <x:t xml:space="preserve">December packing + app + road POV; folder comparison.</x:t>
        </x:is>
      </x:c>
      <x:c r="J116" s="117" t="inlineStr">
        <x:is>
          <x:t xml:space="preserve">Seasonal conversion.</x:t>
        </x:is>
      </x:c>
      <x:c r="K116" s="117" t="inlineStr">
        <x:is>
          <x:t xml:space="preserve">Use the story to show scattered evidence and stressful claims follow-up and end with one practical takeaway.</x:t>
        </x:is>
      </x:c>
      <x:c r="L116" s="117" t="inlineStr">
        <x:is>
          <x:t xml:space="preserve">Use Msafiri to keep incident evidence organized.</x:t>
        </x:is>
      </x:c>
      <x:c r="M116" s="117" t="inlineStr">
        <x:is>
          <x:t xml:space="preserve">folder comparison; captions; app screen-record; branded end card</x:t>
        </x:is>
      </x:c>
      <x:c r="N116" s="117" t="inlineStr">
        <x:is>
          <x:t xml:space="preserve">Low</x:t>
        </x:is>
      </x:c>
      <x:c r="O116" s="117" t="n">
        <x:v>4</x:v>
      </x:c>
      <x:c r="P116" s="117" t="n">
        <x:v>4</x:v>
      </x:c>
      <x:c r="Q116" s="117" t="n">
        <x:v>5</x:v>
      </x:c>
      <x:c r="R116" s="117" t="n">
        <x:v>1</x:v>
      </x:c>
      <x:c r="S116" s="117" t="n">
        <x:v>4</x:v>
      </x:c>
      <x:c r="T116" s="117" t="n">
        <x:f>O116+P116+Q116+S116-R116</x:f>
        <x:v>16</x:v>
      </x:c>
      <x:c r="U116" s="117" t="inlineStr">
        <x:is>
          <x:t xml:space="preserve">Do not promise claim approval or payout.</x:t>
        </x:is>
      </x:c>
      <x:c r="V116" s="117" t="inlineStr">
        <x:is>
          <x:t xml:space="preserve">Cut into a 15-sec hook, a Story poll and a carousel slide if it gets saves/comments.</x:t>
        </x:is>
      </x:c>
    </x:row>
    <x:row r="117" ht="58" customHeight="1">
      <x:c r="A117" s="110" t="n">
        <x:v>113</x:v>
      </x:c>
      <x:c r="B117" s="110" t="inlineStr">
        <x:is>
          <x:t xml:space="preserve">Road Intelligence</x:t>
        </x:is>
      </x:c>
      <x:c r="C117" s="110" t="inlineStr">
        <x:is>
          <x:t xml:space="preserve">Alcoblow / sober-driving reminders</x:t>
        </x:is>
      </x:c>
      <x:c r="D117" s="110" t="inlineStr">
        <x:is>
          <x:t xml:space="preserve">Msafiri Road Check</x:t>
        </x:is>
      </x:c>
      <x:c r="E117" s="110" t="inlineStr">
        <x:is>
          <x:t xml:space="preserve">General Kenyan driver</x:t>
        </x:is>
      </x:c>
      <x:c r="F117" s="110" t="inlineStr">
        <x:is>
          <x:t xml:space="preserve">Awareness</x:t>
        </x:is>
      </x:c>
      <x:c r="G117" s="110" t="inlineStr">
        <x:is>
          <x:t xml:space="preserve">POV Drive</x:t>
        </x:is>
      </x:c>
      <x:c r="H117" s="110" t="inlineStr">
        <x:is>
          <x:t xml:space="preserve">We drove a weekend road trip to see where alcoblow / sober-driving reminders actually helps.</x:t>
        </x:is>
      </x:c>
      <x:c r="I117" s="110" t="inlineStr">
        <x:is>
          <x:t xml:space="preserve">Road POV with 3 marked moments; keys away.</x:t>
        </x:is>
      </x:c>
      <x:c r="J117" s="110" t="inlineStr">
        <x:is>
          <x:t xml:space="preserve">A practical route lesson people can save.</x:t>
        </x:is>
      </x:c>
      <x:c r="K117" s="110" t="inlineStr">
        <x:is>
          <x:t xml:space="preserve">Use the story to show unsafe driving choices after celebration and end with one practical takeaway.</x:t>
        </x:is>
      </x:c>
      <x:c r="L117" s="110" t="inlineStr">
        <x:is>
          <x:t xml:space="preserve">Plan the ride before the celebration starts.</x:t>
        </x:is>
      </x:c>
      <x:c r="M117" s="110" t="inlineStr">
        <x:is>
          <x:t xml:space="preserve">keys away; captions; app screen-record; branded end card</x:t>
        </x:is>
      </x:c>
      <x:c r="N117" s="110" t="inlineStr">
        <x:is>
          <x:t xml:space="preserve">Low</x:t>
        </x:is>
      </x:c>
      <x:c r="O117" s="110" t="n">
        <x:v>3</x:v>
      </x:c>
      <x:c r="P117" s="110" t="n">
        <x:v>5</x:v>
      </x:c>
      <x:c r="Q117" s="110" t="n">
        <x:v>3</x:v>
      </x:c>
      <x:c r="R117" s="110" t="n">
        <x:v>1</x:v>
      </x:c>
      <x:c r="S117" s="110" t="n">
        <x:v>2</x:v>
      </x:c>
      <x:c r="T117" s="110" t="n">
        <x:f>O117+P117+Q117+S117-R117</x:f>
        <x:v>12</x:v>
      </x:c>
      <x:c r="U117" s="110" t="inlineStr">
        <x:is>
          <x:t xml:space="preserve">Never share checkpoint locations, evasion tips or real-time enforcement details.</x:t>
        </x:is>
      </x:c>
      <x:c r="V117" s="110" t="inlineStr">
        <x:is>
          <x:t xml:space="preserve">Cut into a 15-sec hook, a Story poll and a carousel slide if it gets saves/comments.</x:t>
        </x:is>
      </x:c>
    </x:row>
    <x:row r="118" ht="58" customHeight="1">
      <x:c r="A118" s="117" t="n">
        <x:v>114</x:v>
      </x:c>
      <x:c r="B118" s="117" t="inlineStr">
        <x:is>
          <x:t xml:space="preserve">Product / Feature Proof</x:t>
        </x:is>
      </x:c>
      <x:c r="C118" s="117" t="inlineStr">
        <x:is>
          <x:t xml:space="preserve">Alcoblow / sober-driving reminders</x:t>
        </x:is>
      </x:c>
      <x:c r="D118" s="117" t="inlineStr">
        <x:is>
          <x:t xml:space="preserve">Feature in the Wild</x:t>
        </x:is>
      </x:c>
      <x:c r="E118" s="117" t="inlineStr">
        <x:is>
          <x:t xml:space="preserve">Safety-conscious passenger</x:t>
        </x:is>
      </x:c>
      <x:c r="F118" s="117" t="inlineStr">
        <x:is>
          <x:t xml:space="preserve">Feature Discovery</x:t>
        </x:is>
      </x:c>
      <x:c r="G118" s="117" t="inlineStr">
        <x:is>
          <x:t xml:space="preserve">Screen-record Demo</x:t>
        </x:is>
      </x:c>
      <x:c r="H118" s="117" t="inlineStr">
        <x:is>
          <x:t xml:space="preserve">Alcoblow / sober-driving reminders in 30 seconds: here is the moment it becomes useful.</x:t>
        </x:is>
      </x:c>
      <x:c r="I118" s="117" t="inlineStr">
        <x:is>
          <x:t xml:space="preserve">Phone screen + real-world cutaway; ride plan text.</x:t>
        </x:is>
      </x:c>
      <x:c r="J118" s="117" t="inlineStr">
        <x:is>
          <x:t xml:space="preserve">Feature clarity without a hard sell.</x:t>
        </x:is>
      </x:c>
      <x:c r="K118" s="117" t="inlineStr">
        <x:is>
          <x:t xml:space="preserve">Use the story to show unsafe driving choices after celebration and end with one practical takeaway.</x:t>
        </x:is>
      </x:c>
      <x:c r="L118" s="117" t="inlineStr">
        <x:is>
          <x:t xml:space="preserve">Plan the ride before the celebration starts.</x:t>
        </x:is>
      </x:c>
      <x:c r="M118" s="117" t="inlineStr">
        <x:is>
          <x:t xml:space="preserve">ride plan text; captions; app screen-record; branded end card</x:t>
        </x:is>
      </x:c>
      <x:c r="N118" s="117" t="inlineStr">
        <x:is>
          <x:t xml:space="preserve">Medium</x:t>
        </x:is>
      </x:c>
      <x:c r="O118" s="117" t="n">
        <x:v>3</x:v>
      </x:c>
      <x:c r="P118" s="117" t="n">
        <x:v>4</x:v>
      </x:c>
      <x:c r="Q118" s="117" t="n">
        <x:v>5</x:v>
      </x:c>
      <x:c r="R118" s="117" t="n">
        <x:v>2</x:v>
      </x:c>
      <x:c r="S118" s="117" t="n">
        <x:v>2</x:v>
      </x:c>
      <x:c r="T118" s="117" t="n">
        <x:f>O118+P118+Q118+S118-R118</x:f>
        <x:v>12</x:v>
      </x:c>
      <x:c r="U118" s="117" t="inlineStr">
        <x:is>
          <x:t xml:space="preserve">Never share checkpoint locations, evasion tips or real-time enforcement details.</x:t>
        </x:is>
      </x:c>
      <x:c r="V118" s="117" t="inlineStr">
        <x:is>
          <x:t xml:space="preserve">Cut into a 15-sec hook, a Story poll and a carousel slide if it gets saves/comments.</x:t>
        </x:is>
      </x:c>
    </x:row>
    <x:row r="119" ht="58" customHeight="1">
      <x:c r="A119" s="110" t="n">
        <x:v>115</x:v>
      </x:c>
      <x:c r="B119" s="110" t="inlineStr">
        <x:is>
          <x:t xml:space="preserve">Kenyan Driving Reality</x:t>
        </x:is>
      </x:c>
      <x:c r="C119" s="110" t="inlineStr">
        <x:is>
          <x:t xml:space="preserve">Alcoblow / sober-driving reminders</x:t>
        </x:is>
      </x:c>
      <x:c r="D119" s="110" t="inlineStr">
        <x:is>
          <x:t xml:space="preserve">Kenyan Driver Problems</x:t>
        </x:is>
      </x:c>
      <x:c r="E119" s="110" t="inlineStr">
        <x:is>
          <x:t xml:space="preserve">Family driver</x:t>
        </x:is>
      </x:c>
      <x:c r="F119" s="110" t="inlineStr">
        <x:is>
          <x:t xml:space="preserve">Engagement</x:t>
        </x:is>
      </x:c>
      <x:c r="G119" s="110" t="inlineStr">
        <x:is>
          <x:t xml:space="preserve">Skit</x:t>
        </x:is>
      </x:c>
      <x:c r="H119" s="110" t="inlineStr">
        <x:is>
          <x:t xml:space="preserve">POV: unsafe driving choices after celebration and everyone in the car has an opinion.</x:t>
        </x:is>
      </x:c>
      <x:c r="I119" s="110" t="inlineStr">
        <x:is>
          <x:t xml:space="preserve">Fast skit with driver/passenger tension; friend group reminder.</x:t>
        </x:is>
      </x:c>
      <x:c r="J119" s="110" t="inlineStr">
        <x:is>
          <x:t xml:space="preserve">Relatability and shares.</x:t>
        </x:is>
      </x:c>
      <x:c r="K119" s="110" t="inlineStr">
        <x:is>
          <x:t xml:space="preserve">Use the story to show unsafe driving choices after celebration and end with one practical takeaway.</x:t>
        </x:is>
      </x:c>
      <x:c r="L119" s="110" t="inlineStr">
        <x:is>
          <x:t xml:space="preserve">Plan the ride before the celebration starts.</x:t>
        </x:is>
      </x:c>
      <x:c r="M119" s="110" t="inlineStr">
        <x:is>
          <x:t xml:space="preserve">friend group reminder; captions; app screen-record; branded end card</x:t>
        </x:is>
      </x:c>
      <x:c r="N119" s="110" t="inlineStr">
        <x:is>
          <x:t xml:space="preserve">High</x:t>
        </x:is>
      </x:c>
      <x:c r="O119" s="110" t="n">
        <x:v>4</x:v>
      </x:c>
      <x:c r="P119" s="110" t="n">
        <x:v>4</x:v>
      </x:c>
      <x:c r="Q119" s="110" t="n">
        <x:v>3</x:v>
      </x:c>
      <x:c r="R119" s="110" t="n">
        <x:v>3</x:v>
      </x:c>
      <x:c r="S119" s="110" t="n">
        <x:v>2</x:v>
      </x:c>
      <x:c r="T119" s="110" t="n">
        <x:f>O119+P119+Q119+S119-R119</x:f>
        <x:v>10</x:v>
      </x:c>
      <x:c r="U119" s="110" t="inlineStr">
        <x:is>
          <x:t xml:space="preserve">Never share checkpoint locations, evasion tips or real-time enforcement details.</x:t>
        </x:is>
      </x:c>
      <x:c r="V119" s="110" t="inlineStr">
        <x:is>
          <x:t xml:space="preserve">Cut into a 15-sec hook, a Story poll and a carousel slide if it gets saves/comments.</x:t>
        </x:is>
      </x:c>
    </x:row>
    <x:row r="120" ht="58" customHeight="1">
      <x:c r="A120" s="117" t="n">
        <x:v>116</x:v>
      </x:c>
      <x:c r="B120" s="117" t="inlineStr">
        <x:is>
          <x:t xml:space="preserve">Education / Safety</x:t>
        </x:is>
      </x:c>
      <x:c r="C120" s="117" t="inlineStr">
        <x:is>
          <x:t xml:space="preserve">Alcoblow / sober-driving reminders</x:t>
        </x:is>
      </x:c>
      <x:c r="D120" s="117" t="inlineStr">
        <x:is>
          <x:t xml:space="preserve">Before You Drive</x:t>
        </x:is>
      </x:c>
      <x:c r="E120" s="117" t="inlineStr">
        <x:is>
          <x:t xml:space="preserve">Road-trip group</x:t>
        </x:is>
      </x:c>
      <x:c r="F120" s="117" t="inlineStr">
        <x:is>
          <x:t xml:space="preserve">Retention</x:t>
        </x:is>
      </x:c>
      <x:c r="G120" s="117" t="inlineStr">
        <x:is>
          <x:t xml:space="preserve">Checklist Reel</x:t>
        </x:is>
      </x:c>
      <x:c r="H120" s="117" t="inlineStr">
        <x:is>
          <x:t xml:space="preserve">Save this before a late-night return: 3 things to check.</x:t>
        </x:is>
      </x:c>
      <x:c r="I120" s="117" t="inlineStr">
        <x:is>
          <x:t xml:space="preserve">Checklist overlay with hands-on shots; water/rest break.</x:t>
        </x:is>
      </x:c>
      <x:c r="J120" s="117" t="inlineStr">
        <x:is>
          <x:t xml:space="preserve">A saveable pre-drive behavior.</x:t>
        </x:is>
      </x:c>
      <x:c r="K120" s="117" t="inlineStr">
        <x:is>
          <x:t xml:space="preserve">Use the story to show unsafe driving choices after celebration and end with one practical takeaway.</x:t>
        </x:is>
      </x:c>
      <x:c r="L120" s="117" t="inlineStr">
        <x:is>
          <x:t xml:space="preserve">Plan the ride before the celebration starts.</x:t>
        </x:is>
      </x:c>
      <x:c r="M120" s="117" t="inlineStr">
        <x:is>
          <x:t xml:space="preserve">water/rest break; captions; app screen-record; branded end card</x:t>
        </x:is>
      </x:c>
      <x:c r="N120" s="117" t="inlineStr">
        <x:is>
          <x:t xml:space="preserve">Low</x:t>
        </x:is>
      </x:c>
      <x:c r="O120" s="117" t="n">
        <x:v>3</x:v>
      </x:c>
      <x:c r="P120" s="117" t="n">
        <x:v>5</x:v>
      </x:c>
      <x:c r="Q120" s="117" t="n">
        <x:v>3</x:v>
      </x:c>
      <x:c r="R120" s="117" t="n">
        <x:v>1</x:v>
      </x:c>
      <x:c r="S120" s="117" t="n">
        <x:v>2</x:v>
      </x:c>
      <x:c r="T120" s="117" t="n">
        <x:f>O120+P120+Q120+S120-R120</x:f>
        <x:v>12</x:v>
      </x:c>
      <x:c r="U120" s="117" t="inlineStr">
        <x:is>
          <x:t xml:space="preserve">Never share checkpoint locations, evasion tips or real-time enforcement details.</x:t>
        </x:is>
      </x:c>
      <x:c r="V120" s="117" t="inlineStr">
        <x:is>
          <x:t xml:space="preserve">Cut into a 15-sec hook, a Story poll and a carousel slide if it gets saves/comments.</x:t>
        </x:is>
      </x:c>
    </x:row>
    <x:row r="121" ht="58" customHeight="1">
      <x:c r="A121" s="110" t="n">
        <x:v>117</x:v>
      </x:c>
      <x:c r="B121" s="110" t="inlineStr">
        <x:is>
          <x:t xml:space="preserve">Founder / BTS</x:t>
        </x:is>
      </x:c>
      <x:c r="C121" s="110" t="inlineStr">
        <x:is>
          <x:t xml:space="preserve">Alcoblow / sober-driving reminders</x:t>
        </x:is>
      </x:c>
      <x:c r="D121" s="110" t="inlineStr">
        <x:is>
          <x:t xml:space="preserve">Founder Files</x:t>
        </x:is>
      </x:c>
      <x:c r="E121" s="110" t="inlineStr">
        <x:is>
          <x:t xml:space="preserve">General Kenyan driver</x:t>
        </x:is>
      </x:c>
      <x:c r="F121" s="110" t="inlineStr">
        <x:is>
          <x:t xml:space="preserve">Trust</x:t>
        </x:is>
      </x:c>
      <x:c r="G121" s="110" t="inlineStr">
        <x:is>
          <x:t xml:space="preserve">Founder-to-camera</x:t>
        </x:is>
      </x:c>
      <x:c r="H121" s="110" t="inlineStr">
        <x:is>
          <x:t xml:space="preserve">Peter explains why alcoblow / sober-driving reminders belongs in a Kenyan driving app.</x:t>
        </x:is>
      </x:c>
      <x:c r="I121" s="110" t="inlineStr">
        <x:is>
          <x:t xml:space="preserve">Peter in car + product cutaway; Peter safety message.</x:t>
        </x:is>
      </x:c>
      <x:c r="J121" s="110" t="inlineStr">
        <x:is>
          <x:t xml:space="preserve">Founder trust and mission clarity.</x:t>
        </x:is>
      </x:c>
      <x:c r="K121" s="110" t="inlineStr">
        <x:is>
          <x:t xml:space="preserve">Use the story to show unsafe driving choices after celebration and end with one practical takeaway.</x:t>
        </x:is>
      </x:c>
      <x:c r="L121" s="110" t="inlineStr">
        <x:is>
          <x:t xml:space="preserve">Plan the ride before the celebration starts.</x:t>
        </x:is>
      </x:c>
      <x:c r="M121" s="110" t="inlineStr">
        <x:is>
          <x:t xml:space="preserve">Peter safety message; captions; app screen-record; branded end card</x:t>
        </x:is>
      </x:c>
      <x:c r="N121" s="110" t="inlineStr">
        <x:is>
          <x:t xml:space="preserve">Medium</x:t>
        </x:is>
      </x:c>
      <x:c r="O121" s="110" t="n">
        <x:v>3</x:v>
      </x:c>
      <x:c r="P121" s="110" t="n">
        <x:v>4</x:v>
      </x:c>
      <x:c r="Q121" s="110" t="n">
        <x:v>3</x:v>
      </x:c>
      <x:c r="R121" s="110" t="n">
        <x:v>2</x:v>
      </x:c>
      <x:c r="S121" s="110" t="n">
        <x:v>2</x:v>
      </x:c>
      <x:c r="T121" s="110" t="n">
        <x:f>O121+P121+Q121+S121-R121</x:f>
        <x:v>10</x:v>
      </x:c>
      <x:c r="U121" s="110" t="inlineStr">
        <x:is>
          <x:t xml:space="preserve">Never share checkpoint locations, evasion tips or real-time enforcement details.</x:t>
        </x:is>
      </x:c>
      <x:c r="V121" s="110" t="inlineStr">
        <x:is>
          <x:t xml:space="preserve">Cut into a 15-sec hook, a Story poll and a carousel slide if it gets saves/comments.</x:t>
        </x:is>
      </x:c>
    </x:row>
    <x:row r="122" ht="58" customHeight="1">
      <x:c r="A122" s="117" t="n">
        <x:v>118</x:v>
      </x:c>
      <x:c r="B122" s="117" t="inlineStr">
        <x:is>
          <x:t xml:space="preserve">Debate / Mythbusters</x:t>
        </x:is>
      </x:c>
      <x:c r="C122" s="117" t="inlineStr">
        <x:is>
          <x:t xml:space="preserve">Alcoblow / sober-driving reminders</x:t>
        </x:is>
      </x:c>
      <x:c r="D122" s="117" t="inlineStr">
        <x:is>
          <x:t xml:space="preserve">Road Mythbusters</x:t>
        </x:is>
      </x:c>
      <x:c r="E122" s="117" t="inlineStr">
        <x:is>
          <x:t xml:space="preserve">Safety-conscious passenger</x:t>
        </x:is>
      </x:c>
      <x:c r="F122" s="117" t="inlineStr">
        <x:is>
          <x:t xml:space="preserve">Engagement</x:t>
        </x:is>
      </x:c>
      <x:c r="G122" s="117" t="inlineStr">
        <x:is>
          <x:t xml:space="preserve">Short-form video</x:t>
        </x:is>
      </x:c>
      <x:c r="H122" s="117" t="inlineStr">
        <x:is>
          <x:t xml:space="preserve">Hot take: the smartest driver decides the ride before drinking starts..</x:t>
        </x:is>
      </x:c>
      <x:c r="I122" s="117" t="inlineStr">
        <x:is>
          <x:t xml:space="preserve">Claim vs reality split screen; keys away.</x:t>
        </x:is>
      </x:c>
      <x:c r="J122" s="117" t="inlineStr">
        <x:is>
          <x:t xml:space="preserve">Controlled comments and debate.</x:t>
        </x:is>
      </x:c>
      <x:c r="K122" s="117" t="inlineStr">
        <x:is>
          <x:t xml:space="preserve">Use the story to show unsafe driving choices after celebration and end with one practical takeaway.</x:t>
        </x:is>
      </x:c>
      <x:c r="L122" s="117" t="inlineStr">
        <x:is>
          <x:t xml:space="preserve">Plan the ride before the celebration starts.</x:t>
        </x:is>
      </x:c>
      <x:c r="M122" s="117" t="inlineStr">
        <x:is>
          <x:t xml:space="preserve">keys away; captions; app screen-record; branded end card</x:t>
        </x:is>
      </x:c>
      <x:c r="N122" s="117" t="inlineStr">
        <x:is>
          <x:t xml:space="preserve">High</x:t>
        </x:is>
      </x:c>
      <x:c r="O122" s="117" t="n">
        <x:v>4</x:v>
      </x:c>
      <x:c r="P122" s="117" t="n">
        <x:v>4</x:v>
      </x:c>
      <x:c r="Q122" s="117" t="n">
        <x:v>3</x:v>
      </x:c>
      <x:c r="R122" s="117" t="n">
        <x:v>3</x:v>
      </x:c>
      <x:c r="S122" s="117" t="n">
        <x:v>2</x:v>
      </x:c>
      <x:c r="T122" s="117" t="n">
        <x:f>O122+P122+Q122+S122-R122</x:f>
        <x:v>10</x:v>
      </x:c>
      <x:c r="U122" s="117" t="inlineStr">
        <x:is>
          <x:t xml:space="preserve">Never share checkpoint locations, evasion tips or real-time enforcement details.</x:t>
        </x:is>
      </x:c>
      <x:c r="V122" s="117" t="inlineStr">
        <x:is>
          <x:t xml:space="preserve">Cut into a 15-sec hook, a Story poll and a carousel slide if it gets saves/comments.</x:t>
        </x:is>
      </x:c>
    </x:row>
    <x:row r="123" ht="58" customHeight="1">
      <x:c r="A123" s="110" t="n">
        <x:v>119</x:v>
      </x:c>
      <x:c r="B123" s="110" t="inlineStr">
        <x:is>
          <x:t xml:space="preserve">Community / UGC</x:t>
        </x:is>
      </x:c>
      <x:c r="C123" s="110" t="inlineStr">
        <x:is>
          <x:t xml:space="preserve">Alcoblow / sober-driving reminders</x:t>
        </x:is>
      </x:c>
      <x:c r="D123" s="110" t="inlineStr">
        <x:is>
          <x:t xml:space="preserve">Ask a Kenyan Driver</x:t>
        </x:is>
      </x:c>
      <x:c r="E123" s="110" t="inlineStr">
        <x:is>
          <x:t xml:space="preserve">Family driver</x:t>
        </x:is>
      </x:c>
      <x:c r="F123" s="110" t="inlineStr">
        <x:is>
          <x:t xml:space="preserve">Community</x:t>
        </x:is>
      </x:c>
      <x:c r="G123" s="110" t="inlineStr">
        <x:is>
          <x:t xml:space="preserve">Street Interview</x:t>
        </x:is>
      </x:c>
      <x:c r="H123" s="110" t="inlineStr">
        <x:is>
          <x:t xml:space="preserve">We asked drivers: what is the safest plan after a night out?</x:t>
        </x:is>
      </x:c>
      <x:c r="I123" s="110" t="inlineStr">
        <x:is>
          <x:t xml:space="preserve">Street answers + subtitle template; ride plan text.</x:t>
        </x:is>
      </x:c>
      <x:c r="J123" s="110" t="inlineStr">
        <x:is>
          <x:t xml:space="preserve">Community stories and future ideas.</x:t>
        </x:is>
      </x:c>
      <x:c r="K123" s="110" t="inlineStr">
        <x:is>
          <x:t xml:space="preserve">Use the story to show unsafe driving choices after celebration and end with one practical takeaway.</x:t>
        </x:is>
      </x:c>
      <x:c r="L123" s="110" t="inlineStr">
        <x:is>
          <x:t xml:space="preserve">Plan the ride before the celebration starts.</x:t>
        </x:is>
      </x:c>
      <x:c r="M123" s="110" t="inlineStr">
        <x:is>
          <x:t xml:space="preserve">ride plan text; captions; app screen-record; branded end card</x:t>
        </x:is>
      </x:c>
      <x:c r="N123" s="110" t="inlineStr">
        <x:is>
          <x:t xml:space="preserve">Low</x:t>
        </x:is>
      </x:c>
      <x:c r="O123" s="110" t="n">
        <x:v>3</x:v>
      </x:c>
      <x:c r="P123" s="110" t="n">
        <x:v>4</x:v>
      </x:c>
      <x:c r="Q123" s="110" t="n">
        <x:v>3</x:v>
      </x:c>
      <x:c r="R123" s="110" t="n">
        <x:v>1</x:v>
      </x:c>
      <x:c r="S123" s="110" t="n">
        <x:v>2</x:v>
      </x:c>
      <x:c r="T123" s="110" t="n">
        <x:f>O123+P123+Q123+S123-R123</x:f>
        <x:v>11</x:v>
      </x:c>
      <x:c r="U123" s="110" t="inlineStr">
        <x:is>
          <x:t xml:space="preserve">Never share checkpoint locations, evasion tips or real-time enforcement details.</x:t>
        </x:is>
      </x:c>
      <x:c r="V123" s="110" t="inlineStr">
        <x:is>
          <x:t xml:space="preserve">Turn best responses into Comment-to-Video and add to next week’s road-check queue.</x:t>
        </x:is>
      </x:c>
    </x:row>
    <x:row r="124" ht="58" customHeight="1">
      <x:c r="A124" s="117" t="n">
        <x:v>120</x:v>
      </x:c>
      <x:c r="B124" s="117" t="inlineStr">
        <x:is>
          <x:t xml:space="preserve">Accident Readiness</x:t>
        </x:is>
      </x:c>
      <x:c r="C124" s="117" t="inlineStr">
        <x:is>
          <x:t xml:space="preserve">Alcoblow / sober-driving reminders</x:t>
        </x:is>
      </x:c>
      <x:c r="D124" s="117" t="inlineStr">
        <x:is>
          <x:t xml:space="preserve">Would You Know What To Do?</x:t>
        </x:is>
      </x:c>
      <x:c r="E124" s="117" t="inlineStr">
        <x:is>
          <x:t xml:space="preserve">Road-trip group</x:t>
        </x:is>
      </x:c>
      <x:c r="F124" s="117" t="inlineStr">
        <x:is>
          <x:t xml:space="preserve">Trust</x:t>
        </x:is>
      </x:c>
      <x:c r="G124" s="117" t="inlineStr">
        <x:is>
          <x:t xml:space="preserve">Short-form video</x:t>
        </x:is>
      </x:c>
      <x:c r="H124" s="117" t="inlineStr">
        <x:is>
          <x:t xml:space="preserve">If this happened today, would you know what to do first?</x:t>
        </x:is>
      </x:c>
      <x:c r="I124" s="117" t="inlineStr">
        <x:is>
          <x:t xml:space="preserve">Scenario roleplay + checklist; friend group reminder.</x:t>
        </x:is>
      </x:c>
      <x:c r="J124" s="117" t="inlineStr">
        <x:is>
          <x:t xml:space="preserve">Preparedness without fear.</x:t>
        </x:is>
      </x:c>
      <x:c r="K124" s="117" t="inlineStr">
        <x:is>
          <x:t xml:space="preserve">Use the story to show unsafe driving choices after celebration and end with one practical takeaway.</x:t>
        </x:is>
      </x:c>
      <x:c r="L124" s="117" t="inlineStr">
        <x:is>
          <x:t xml:space="preserve">Plan the ride before the celebration starts.</x:t>
        </x:is>
      </x:c>
      <x:c r="M124" s="117" t="inlineStr">
        <x:is>
          <x:t xml:space="preserve">friend group reminder; captions; app screen-record; branded end card</x:t>
        </x:is>
      </x:c>
      <x:c r="N124" s="117" t="inlineStr">
        <x:is>
          <x:t xml:space="preserve">Medium</x:t>
        </x:is>
      </x:c>
      <x:c r="O124" s="117" t="n">
        <x:v>3</x:v>
      </x:c>
      <x:c r="P124" s="117" t="n">
        <x:v>5</x:v>
      </x:c>
      <x:c r="Q124" s="117" t="n">
        <x:v>3</x:v>
      </x:c>
      <x:c r="R124" s="117" t="n">
        <x:v>2</x:v>
      </x:c>
      <x:c r="S124" s="117" t="n">
        <x:v>2</x:v>
      </x:c>
      <x:c r="T124" s="117" t="n">
        <x:f>O124+P124+Q124+S124-R124</x:f>
        <x:v>11</x:v>
      </x:c>
      <x:c r="U124" s="117" t="inlineStr">
        <x:is>
          <x:t xml:space="preserve">Never share checkpoint locations, evasion tips or real-time enforcement details.</x:t>
        </x:is>
      </x:c>
      <x:c r="V124" s="117" t="inlineStr">
        <x:is>
          <x:t xml:space="preserve">Cut into a 15-sec hook, a Story poll and a carousel slide if it gets saves/comments.</x:t>
        </x:is>
      </x:c>
    </x:row>
    <x:row r="125" ht="58" customHeight="1">
      <x:c r="A125" s="110" t="n">
        <x:v>121</x:v>
      </x:c>
      <x:c r="B125" s="110" t="inlineStr">
        <x:is>
          <x:t xml:space="preserve">Product / Feature Proof</x:t>
        </x:is>
      </x:c>
      <x:c r="C125" s="110" t="inlineStr">
        <x:is>
          <x:t xml:space="preserve">Alcoblow / sober-driving reminders</x:t>
        </x:is>
      </x:c>
      <x:c r="D125" s="110" t="inlineStr">
        <x:is>
          <x:t xml:space="preserve">Can Msafiri Do This?</x:t>
        </x:is>
      </x:c>
      <x:c r="E125" s="110" t="inlineStr">
        <x:is>
          <x:t xml:space="preserve">General Kenyan driver</x:t>
        </x:is>
      </x:c>
      <x:c r="F125" s="110" t="inlineStr">
        <x:is>
          <x:t xml:space="preserve">Feature Discovery</x:t>
        </x:is>
      </x:c>
      <x:c r="G125" s="110" t="inlineStr">
        <x:is>
          <x:t xml:space="preserve">Short-form video</x:t>
        </x:is>
      </x:c>
      <x:c r="H125" s="110" t="inlineStr">
        <x:is>
          <x:t xml:space="preserve">Can Msafiri help when unsafe driving choices after celebration? Let’s test it.</x:t>
        </x:is>
      </x:c>
      <x:c r="I125" s="110" t="inlineStr">
        <x:is>
          <x:t xml:space="preserve">Live test with timer; water/rest break.</x:t>
        </x:is>
      </x:c>
      <x:c r="J125" s="110" t="inlineStr">
        <x:is>
          <x:t xml:space="preserve">Proof through demonstration.</x:t>
        </x:is>
      </x:c>
      <x:c r="K125" s="110" t="inlineStr">
        <x:is>
          <x:t xml:space="preserve">Use the story to show unsafe driving choices after celebration and end with one practical takeaway.</x:t>
        </x:is>
      </x:c>
      <x:c r="L125" s="110" t="inlineStr">
        <x:is>
          <x:t xml:space="preserve">Plan the ride before the celebration starts.</x:t>
        </x:is>
      </x:c>
      <x:c r="M125" s="110" t="inlineStr">
        <x:is>
          <x:t xml:space="preserve">water/rest break; captions; app screen-record; branded end card</x:t>
        </x:is>
      </x:c>
      <x:c r="N125" s="110" t="inlineStr">
        <x:is>
          <x:t xml:space="preserve">High</x:t>
        </x:is>
      </x:c>
      <x:c r="O125" s="110" t="n">
        <x:v>3</x:v>
      </x:c>
      <x:c r="P125" s="110" t="n">
        <x:v>4</x:v>
      </x:c>
      <x:c r="Q125" s="110" t="n">
        <x:v>5</x:v>
      </x:c>
      <x:c r="R125" s="110" t="n">
        <x:v>3</x:v>
      </x:c>
      <x:c r="S125" s="110" t="n">
        <x:v>2</x:v>
      </x:c>
      <x:c r="T125" s="110" t="n">
        <x:f>O125+P125+Q125+S125-R125</x:f>
        <x:v>11</x:v>
      </x:c>
      <x:c r="U125" s="110" t="inlineStr">
        <x:is>
          <x:t xml:space="preserve">Never share checkpoint locations, evasion tips or real-time enforcement details.</x:t>
        </x:is>
      </x:c>
      <x:c r="V125" s="110" t="inlineStr">
        <x:is>
          <x:t xml:space="preserve">Cut into a 15-sec hook, a Story poll and a carousel slide if it gets saves/comments.</x:t>
        </x:is>
      </x:c>
    </x:row>
    <x:row r="126" ht="58" customHeight="1">
      <x:c r="A126" s="117" t="n">
        <x:v>122</x:v>
      </x:c>
      <x:c r="B126" s="117" t="inlineStr">
        <x:is>
          <x:t xml:space="preserve">Road Intelligence</x:t>
        </x:is>
      </x:c>
      <x:c r="C126" s="117" t="inlineStr">
        <x:is>
          <x:t xml:space="preserve">Alcoblow / sober-driving reminders</x:t>
        </x:is>
      </x:c>
      <x:c r="D126" s="117" t="inlineStr">
        <x:is>
          <x:t xml:space="preserve">Road Trip POV</x:t>
        </x:is>
      </x:c>
      <x:c r="E126" s="117" t="inlineStr">
        <x:is>
          <x:t xml:space="preserve">Safety-conscious passenger</x:t>
        </x:is>
      </x:c>
      <x:c r="F126" s="117" t="inlineStr">
        <x:is>
          <x:t xml:space="preserve">Awareness</x:t>
        </x:is>
      </x:c>
      <x:c r="G126" s="117" t="inlineStr">
        <x:is>
          <x:t xml:space="preserve">Hero / Reel</x:t>
        </x:is>
      </x:c>
      <x:c r="H126" s="117" t="inlineStr">
        <x:is>
          <x:t xml:space="preserve">A calm drive is not luck — watch how we planned a parking-lot incident.</x:t>
        </x:is>
      </x:c>
      <x:c r="I126" s="117" t="inlineStr">
        <x:is>
          <x:t xml:space="preserve">Cinematic POV + UI moments; Peter safety message.</x:t>
        </x:is>
      </x:c>
      <x:c r="J126" s="117" t="inlineStr">
        <x:is>
          <x:t xml:space="preserve">Aspirational practical brand feel.</x:t>
        </x:is>
      </x:c>
      <x:c r="K126" s="117" t="inlineStr">
        <x:is>
          <x:t xml:space="preserve">Use the story to show unsafe driving choices after celebration and end with one practical takeaway.</x:t>
        </x:is>
      </x:c>
      <x:c r="L126" s="117" t="inlineStr">
        <x:is>
          <x:t xml:space="preserve">Plan the ride before the celebration starts.</x:t>
        </x:is>
      </x:c>
      <x:c r="M126" s="117" t="inlineStr">
        <x:is>
          <x:t xml:space="preserve">Peter safety message; captions; app screen-record; branded end card</x:t>
        </x:is>
      </x:c>
      <x:c r="N126" s="117" t="inlineStr">
        <x:is>
          <x:t xml:space="preserve">Low</x:t>
        </x:is>
      </x:c>
      <x:c r="O126" s="117" t="n">
        <x:v>3</x:v>
      </x:c>
      <x:c r="P126" s="117" t="n">
        <x:v>5</x:v>
      </x:c>
      <x:c r="Q126" s="117" t="n">
        <x:v>3</x:v>
      </x:c>
      <x:c r="R126" s="117" t="n">
        <x:v>1</x:v>
      </x:c>
      <x:c r="S126" s="117" t="n">
        <x:v>3</x:v>
      </x:c>
      <x:c r="T126" s="117" t="n">
        <x:f>O126+P126+Q126+S126-R126</x:f>
        <x:v>13</x:v>
      </x:c>
      <x:c r="U126" s="117" t="inlineStr">
        <x:is>
          <x:t xml:space="preserve">Never share checkpoint locations, evasion tips or real-time enforcement details.</x:t>
        </x:is>
      </x:c>
      <x:c r="V126" s="117" t="inlineStr">
        <x:is>
          <x:t xml:space="preserve">Cut into a 15-sec hook, a Story poll and a carousel slide if it gets saves/comments.</x:t>
        </x:is>
      </x:c>
    </x:row>
    <x:row r="127" ht="58" customHeight="1">
      <x:c r="A127" s="110" t="n">
        <x:v>123</x:v>
      </x:c>
      <x:c r="B127" s="110" t="inlineStr">
        <x:is>
          <x:t xml:space="preserve">Education / Safety</x:t>
        </x:is>
      </x:c>
      <x:c r="C127" s="110" t="inlineStr">
        <x:is>
          <x:t xml:space="preserve">Alcoblow / sober-driving reminders</x:t>
        </x:is>
      </x:c>
      <x:c r="D127" s="110" t="inlineStr">
        <x:is>
          <x:t xml:space="preserve">One Minute Road Safety</x:t>
        </x:is>
      </x:c>
      <x:c r="E127" s="110" t="inlineStr">
        <x:is>
          <x:t xml:space="preserve">Family driver</x:t>
        </x:is>
      </x:c>
      <x:c r="F127" s="110" t="inlineStr">
        <x:is>
          <x:t xml:space="preserve">Retention</x:t>
        </x:is>
      </x:c>
      <x:c r="G127" s="110" t="inlineStr">
        <x:is>
          <x:t xml:space="preserve">Checklist Reel</x:t>
        </x:is>
      </x:c>
      <x:c r="H127" s="110" t="inlineStr">
        <x:is>
          <x:t xml:space="preserve">One minute road safety: alcoblow / sober-driving reminders edition.</x:t>
        </x:is>
      </x:c>
      <x:c r="I127" s="110" t="inlineStr">
        <x:is>
          <x:t xml:space="preserve">One tip per beat; keys away.</x:t>
        </x:is>
      </x:c>
      <x:c r="J127" s="110" t="inlineStr">
        <x:is>
          <x:t xml:space="preserve">Quick knowledge people can use.</x:t>
        </x:is>
      </x:c>
      <x:c r="K127" s="110" t="inlineStr">
        <x:is>
          <x:t xml:space="preserve">Use the story to show unsafe driving choices after celebration and end with one practical takeaway.</x:t>
        </x:is>
      </x:c>
      <x:c r="L127" s="110" t="inlineStr">
        <x:is>
          <x:t xml:space="preserve">Plan the ride before the celebration starts.</x:t>
        </x:is>
      </x:c>
      <x:c r="M127" s="110" t="inlineStr">
        <x:is>
          <x:t xml:space="preserve">keys away; captions; app screen-record; branded end card</x:t>
        </x:is>
      </x:c>
      <x:c r="N127" s="110" t="inlineStr">
        <x:is>
          <x:t xml:space="preserve">Medium</x:t>
        </x:is>
      </x:c>
      <x:c r="O127" s="110" t="n">
        <x:v>3</x:v>
      </x:c>
      <x:c r="P127" s="110" t="n">
        <x:v>5</x:v>
      </x:c>
      <x:c r="Q127" s="110" t="n">
        <x:v>3</x:v>
      </x:c>
      <x:c r="R127" s="110" t="n">
        <x:v>2</x:v>
      </x:c>
      <x:c r="S127" s="110" t="n">
        <x:v>2</x:v>
      </x:c>
      <x:c r="T127" s="110" t="n">
        <x:f>O127+P127+Q127+S127-R127</x:f>
        <x:v>11</x:v>
      </x:c>
      <x:c r="U127" s="110" t="inlineStr">
        <x:is>
          <x:t xml:space="preserve">Never share checkpoint locations, evasion tips or real-time enforcement details.</x:t>
        </x:is>
      </x:c>
      <x:c r="V127" s="110" t="inlineStr">
        <x:is>
          <x:t xml:space="preserve">Cut into a 15-sec hook, a Story poll and a carousel slide if it gets saves/comments.</x:t>
        </x:is>
      </x:c>
    </x:row>
    <x:row r="128" ht="58" customHeight="1">
      <x:c r="A128" s="117" t="n">
        <x:v>124</x:v>
      </x:c>
      <x:c r="B128" s="117" t="inlineStr">
        <x:is>
          <x:t xml:space="preserve">Founder / BTS</x:t>
        </x:is>
      </x:c>
      <x:c r="C128" s="117" t="inlineStr">
        <x:is>
          <x:t xml:space="preserve">Alcoblow / sober-driving reminders</x:t>
        </x:is>
      </x:c>
      <x:c r="D128" s="117" t="inlineStr">
        <x:is>
          <x:t xml:space="preserve">Build With Peter</x:t>
        </x:is>
      </x:c>
      <x:c r="E128" s="117" t="inlineStr">
        <x:is>
          <x:t xml:space="preserve">Road-trip group</x:t>
        </x:is>
      </x:c>
      <x:c r="F128" s="117" t="inlineStr">
        <x:is>
          <x:t xml:space="preserve">Trust</x:t>
        </x:is>
      </x:c>
      <x:c r="G128" s="117" t="inlineStr">
        <x:is>
          <x:t xml:space="preserve">Founder-to-camera</x:t>
        </x:is>
      </x:c>
      <x:c r="H128" s="117" t="inlineStr">
        <x:is>
          <x:t xml:space="preserve">The product decision we almost got wrong with alcoblow / sober-driving reminders.</x:t>
        </x:is>
      </x:c>
      <x:c r="I128" s="117" t="inlineStr">
        <x:is>
          <x:t xml:space="preserve">Peter + notes + app prototype; ride plan text.</x:t>
        </x:is>
      </x:c>
      <x:c r="J128" s="117" t="inlineStr">
        <x:is>
          <x:t xml:space="preserve">Humanizing the build process.</x:t>
        </x:is>
      </x:c>
      <x:c r="K128" s="117" t="inlineStr">
        <x:is>
          <x:t xml:space="preserve">Use the story to show unsafe driving choices after celebration and end with one practical takeaway.</x:t>
        </x:is>
      </x:c>
      <x:c r="L128" s="117" t="inlineStr">
        <x:is>
          <x:t xml:space="preserve">Plan the ride before the celebration starts.</x:t>
        </x:is>
      </x:c>
      <x:c r="M128" s="117" t="inlineStr">
        <x:is>
          <x:t xml:space="preserve">ride plan text; captions; app screen-record; branded end card</x:t>
        </x:is>
      </x:c>
      <x:c r="N128" s="117" t="inlineStr">
        <x:is>
          <x:t xml:space="preserve">High</x:t>
        </x:is>
      </x:c>
      <x:c r="O128" s="117" t="n">
        <x:v>3</x:v>
      </x:c>
      <x:c r="P128" s="117" t="n">
        <x:v>4</x:v>
      </x:c>
      <x:c r="Q128" s="117" t="n">
        <x:v>3</x:v>
      </x:c>
      <x:c r="R128" s="117" t="n">
        <x:v>3</x:v>
      </x:c>
      <x:c r="S128" s="117" t="n">
        <x:v>2</x:v>
      </x:c>
      <x:c r="T128" s="117" t="n">
        <x:f>O128+P128+Q128+S128-R128</x:f>
        <x:v>9</x:v>
      </x:c>
      <x:c r="U128" s="117" t="inlineStr">
        <x:is>
          <x:t xml:space="preserve">Never share checkpoint locations, evasion tips or real-time enforcement details.</x:t>
        </x:is>
      </x:c>
      <x:c r="V128" s="117" t="inlineStr">
        <x:is>
          <x:t xml:space="preserve">Cut into a 15-sec hook, a Story poll and a carousel slide if it gets saves/comments.</x:t>
        </x:is>
      </x:c>
    </x:row>
    <x:row r="129" ht="58" customHeight="1">
      <x:c r="A129" s="110" t="n">
        <x:v>125</x:v>
      </x:c>
      <x:c r="B129" s="110" t="inlineStr">
        <x:is>
          <x:t xml:space="preserve">Community / UGC</x:t>
        </x:is>
      </x:c>
      <x:c r="C129" s="110" t="inlineStr">
        <x:is>
          <x:t xml:space="preserve">Alcoblow / sober-driving reminders</x:t>
        </x:is>
      </x:c>
      <x:c r="D129" s="110" t="inlineStr">
        <x:is>
          <x:t xml:space="preserve">Comment-to-Video</x:t>
        </x:is>
      </x:c>
      <x:c r="E129" s="110" t="inlineStr">
        <x:is>
          <x:t xml:space="preserve">General Kenyan driver</x:t>
        </x:is>
      </x:c>
      <x:c r="F129" s="110" t="inlineStr">
        <x:is>
          <x:t xml:space="preserve">Community</x:t>
        </x:is>
      </x:c>
      <x:c r="G129" s="110" t="inlineStr">
        <x:is>
          <x:t xml:space="preserve">Community Reply</x:t>
        </x:is>
      </x:c>
      <x:c r="H129" s="110" t="inlineStr">
        <x:is>
          <x:t xml:space="preserve">A follower asked about unsafe driving choices after celebration; here is the practical answer.</x:t>
        </x:is>
      </x:c>
      <x:c r="I129" s="110" t="inlineStr">
        <x:is>
          <x:t xml:space="preserve">Comment sticker + direct answer; friend group reminder.</x:t>
        </x:is>
      </x:c>
      <x:c r="J129" s="110" t="inlineStr">
        <x:is>
          <x:t xml:space="preserve">Reward comments and build trust.</x:t>
        </x:is>
      </x:c>
      <x:c r="K129" s="110" t="inlineStr">
        <x:is>
          <x:t xml:space="preserve">Use the story to show unsafe driving choices after celebration and end with one practical takeaway.</x:t>
        </x:is>
      </x:c>
      <x:c r="L129" s="110" t="inlineStr">
        <x:is>
          <x:t xml:space="preserve">Plan the ride before the celebration starts.</x:t>
        </x:is>
      </x:c>
      <x:c r="M129" s="110" t="inlineStr">
        <x:is>
          <x:t xml:space="preserve">friend group reminder; captions; app screen-record; branded end card</x:t>
        </x:is>
      </x:c>
      <x:c r="N129" s="110" t="inlineStr">
        <x:is>
          <x:t xml:space="preserve">Low</x:t>
        </x:is>
      </x:c>
      <x:c r="O129" s="110" t="n">
        <x:v>3</x:v>
      </x:c>
      <x:c r="P129" s="110" t="n">
        <x:v>4</x:v>
      </x:c>
      <x:c r="Q129" s="110" t="n">
        <x:v>3</x:v>
      </x:c>
      <x:c r="R129" s="110" t="n">
        <x:v>1</x:v>
      </x:c>
      <x:c r="S129" s="110" t="n">
        <x:v>2</x:v>
      </x:c>
      <x:c r="T129" s="110" t="n">
        <x:f>O129+P129+Q129+S129-R129</x:f>
        <x:v>11</x:v>
      </x:c>
      <x:c r="U129" s="110" t="inlineStr">
        <x:is>
          <x:t xml:space="preserve">Never share checkpoint locations, evasion tips or real-time enforcement details.</x:t>
        </x:is>
      </x:c>
      <x:c r="V129" s="110" t="inlineStr">
        <x:is>
          <x:t xml:space="preserve">Cut into a 15-sec hook, a Story poll and a carousel slide if it gets saves/comments.</x:t>
        </x:is>
      </x:c>
    </x:row>
    <x:row r="130" ht="58" customHeight="1">
      <x:c r="A130" s="117" t="n">
        <x:v>126</x:v>
      </x:c>
      <x:c r="B130" s="117" t="inlineStr">
        <x:is>
          <x:t xml:space="preserve">Kenyan Driving Reality</x:t>
        </x:is>
      </x:c>
      <x:c r="C130" s="117" t="inlineStr">
        <x:is>
          <x:t xml:space="preserve">Alcoblow / sober-driving reminders</x:t>
        </x:is>
      </x:c>
      <x:c r="D130" s="117" t="inlineStr">
        <x:is>
          <x:t xml:space="preserve">Driver Confessions</x:t>
        </x:is>
      </x:c>
      <x:c r="E130" s="117" t="inlineStr">
        <x:is>
          <x:t xml:space="preserve">Safety-conscious passenger</x:t>
        </x:is>
      </x:c>
      <x:c r="F130" s="117" t="inlineStr">
        <x:is>
          <x:t xml:space="preserve">Engagement</x:t>
        </x:is>
      </x:c>
      <x:c r="G130" s="117" t="inlineStr">
        <x:is>
          <x:t xml:space="preserve">Street Interview</x:t>
        </x:is>
      </x:c>
      <x:c r="H130" s="117" t="inlineStr">
        <x:is>
          <x:t xml:space="preserve">Confession time: what is the one driving mistake you learned from?</x:t>
        </x:is>
      </x:c>
      <x:c r="I130" s="117" t="inlineStr">
        <x:is>
          <x:t xml:space="preserve">Anonymous driver confession; water/rest break.</x:t>
        </x:is>
      </x:c>
      <x:c r="J130" s="117" t="inlineStr">
        <x:is>
          <x:t xml:space="preserve">Relatable vulnerability.</x:t>
        </x:is>
      </x:c>
      <x:c r="K130" s="117" t="inlineStr">
        <x:is>
          <x:t xml:space="preserve">Use the story to show unsafe driving choices after celebration and end with one practical takeaway.</x:t>
        </x:is>
      </x:c>
      <x:c r="L130" s="117" t="inlineStr">
        <x:is>
          <x:t xml:space="preserve">Plan the ride before the celebration starts.</x:t>
        </x:is>
      </x:c>
      <x:c r="M130" s="117" t="inlineStr">
        <x:is>
          <x:t xml:space="preserve">water/rest break; captions; app screen-record; branded end card</x:t>
        </x:is>
      </x:c>
      <x:c r="N130" s="117" t="inlineStr">
        <x:is>
          <x:t xml:space="preserve">Medium</x:t>
        </x:is>
      </x:c>
      <x:c r="O130" s="117" t="n">
        <x:v>4</x:v>
      </x:c>
      <x:c r="P130" s="117" t="n">
        <x:v>4</x:v>
      </x:c>
      <x:c r="Q130" s="117" t="n">
        <x:v>3</x:v>
      </x:c>
      <x:c r="R130" s="117" t="n">
        <x:v>2</x:v>
      </x:c>
      <x:c r="S130" s="117" t="n">
        <x:v>2</x:v>
      </x:c>
      <x:c r="T130" s="117" t="n">
        <x:f>O130+P130+Q130+S130-R130</x:f>
        <x:v>11</x:v>
      </x:c>
      <x:c r="U130" s="117" t="inlineStr">
        <x:is>
          <x:t xml:space="preserve">Never share checkpoint locations, evasion tips or real-time enforcement details.</x:t>
        </x:is>
      </x:c>
      <x:c r="V130" s="117" t="inlineStr">
        <x:is>
          <x:t xml:space="preserve">Turn best responses into Comment-to-Video and add to next week’s road-check queue.</x:t>
        </x:is>
      </x:c>
    </x:row>
    <x:row r="131" ht="58" customHeight="1">
      <x:c r="A131" s="110" t="n">
        <x:v>127</x:v>
      </x:c>
      <x:c r="B131" s="110" t="inlineStr">
        <x:is>
          <x:t xml:space="preserve">Product / Feature Proof</x:t>
        </x:is>
      </x:c>
      <x:c r="C131" s="110" t="inlineStr">
        <x:is>
          <x:t xml:space="preserve">Alcoblow / sober-driving reminders</x:t>
        </x:is>
      </x:c>
      <x:c r="D131" s="110" t="inlineStr">
        <x:is>
          <x:t xml:space="preserve">Before / After</x:t>
        </x:is>
      </x:c>
      <x:c r="E131" s="110" t="inlineStr">
        <x:is>
          <x:t xml:space="preserve">Family driver</x:t>
        </x:is>
      </x:c>
      <x:c r="F131" s="110" t="inlineStr">
        <x:is>
          <x:t xml:space="preserve">Conversion</x:t>
        </x:is>
      </x:c>
      <x:c r="G131" s="110" t="inlineStr">
        <x:is>
          <x:t xml:space="preserve">Short-form video</x:t>
        </x:is>
      </x:c>
      <x:c r="H131" s="110" t="inlineStr">
        <x:is>
          <x:t xml:space="preserve">Before Msafiri vs after Msafiri when unsafe driving choices after celebration.</x:t>
        </x:is>
      </x:c>
      <x:c r="I131" s="110" t="inlineStr">
        <x:is>
          <x:t xml:space="preserve">Two-act split screen; Peter safety message.</x:t>
        </x:is>
      </x:c>
      <x:c r="J131" s="110" t="inlineStr">
        <x:is>
          <x:t xml:space="preserve">A clear reason to try.</x:t>
        </x:is>
      </x:c>
      <x:c r="K131" s="110" t="inlineStr">
        <x:is>
          <x:t xml:space="preserve">Use the story to show unsafe driving choices after celebration and end with one practical takeaway.</x:t>
        </x:is>
      </x:c>
      <x:c r="L131" s="110" t="inlineStr">
        <x:is>
          <x:t xml:space="preserve">Plan the ride before the celebration starts.</x:t>
        </x:is>
      </x:c>
      <x:c r="M131" s="110" t="inlineStr">
        <x:is>
          <x:t xml:space="preserve">Peter safety message; captions; app screen-record; branded end card</x:t>
        </x:is>
      </x:c>
      <x:c r="N131" s="110" t="inlineStr">
        <x:is>
          <x:t xml:space="preserve">High</x:t>
        </x:is>
      </x:c>
      <x:c r="O131" s="110" t="n">
        <x:v>3</x:v>
      </x:c>
      <x:c r="P131" s="110" t="n">
        <x:v>4</x:v>
      </x:c>
      <x:c r="Q131" s="110" t="n">
        <x:v>5</x:v>
      </x:c>
      <x:c r="R131" s="110" t="n">
        <x:v>3</x:v>
      </x:c>
      <x:c r="S131" s="110" t="n">
        <x:v>2</x:v>
      </x:c>
      <x:c r="T131" s="110" t="n">
        <x:f>O131+P131+Q131+S131-R131</x:f>
        <x:v>11</x:v>
      </x:c>
      <x:c r="U131" s="110" t="inlineStr">
        <x:is>
          <x:t xml:space="preserve">Never share checkpoint locations, evasion tips or real-time enforcement details.</x:t>
        </x:is>
      </x:c>
      <x:c r="V131" s="110" t="inlineStr">
        <x:is>
          <x:t xml:space="preserve">Cut into a 15-sec hook, a Story poll and a carousel slide if it gets saves/comments.</x:t>
        </x:is>
      </x:c>
    </x:row>
    <x:row r="132" ht="58" customHeight="1">
      <x:c r="A132" s="117" t="n">
        <x:v>128</x:v>
      </x:c>
      <x:c r="B132" s="117" t="inlineStr">
        <x:is>
          <x:t xml:space="preserve">Seasonal Campaign</x:t>
        </x:is>
      </x:c>
      <x:c r="C132" s="117" t="inlineStr">
        <x:is>
          <x:t xml:space="preserve">Alcoblow / sober-driving reminders</x:t>
        </x:is>
      </x:c>
      <x:c r="D132" s="117" t="inlineStr">
        <x:is>
          <x:t xml:space="preserve">Holiday Road Prep</x:t>
        </x:is>
      </x:c>
      <x:c r="E132" s="117" t="inlineStr">
        <x:is>
          <x:t xml:space="preserve">Road-trip group</x:t>
        </x:is>
      </x:c>
      <x:c r="F132" s="117" t="inlineStr">
        <x:is>
          <x:t xml:space="preserve">Awareness</x:t>
        </x:is>
      </x:c>
      <x:c r="G132" s="117" t="inlineStr">
        <x:is>
          <x:t xml:space="preserve">Checklist Reel</x:t>
        </x:is>
      </x:c>
      <x:c r="H132" s="117" t="inlineStr">
        <x:is>
          <x:t xml:space="preserve">Holiday drive coming up? Do not leave before checking this.</x:t>
        </x:is>
      </x:c>
      <x:c r="I132" s="117" t="inlineStr">
        <x:is>
          <x:t xml:space="preserve">Packing + car + phone mount; keys away.</x:t>
        </x:is>
      </x:c>
      <x:c r="J132" s="117" t="inlineStr">
        <x:is>
          <x:t xml:space="preserve">Seasonal urgency.</x:t>
        </x:is>
      </x:c>
      <x:c r="K132" s="117" t="inlineStr">
        <x:is>
          <x:t xml:space="preserve">Use the story to show unsafe driving choices after celebration and end with one practical takeaway.</x:t>
        </x:is>
      </x:c>
      <x:c r="L132" s="117" t="inlineStr">
        <x:is>
          <x:t xml:space="preserve">Plan the ride before the celebration starts.</x:t>
        </x:is>
      </x:c>
      <x:c r="M132" s="117" t="inlineStr">
        <x:is>
          <x:t xml:space="preserve">keys away; captions; app screen-record; branded end card</x:t>
        </x:is>
      </x:c>
      <x:c r="N132" s="117" t="inlineStr">
        <x:is>
          <x:t xml:space="preserve">Low</x:t>
        </x:is>
      </x:c>
      <x:c r="O132" s="117" t="n">
        <x:v>4</x:v>
      </x:c>
      <x:c r="P132" s="117" t="n">
        <x:v>4</x:v>
      </x:c>
      <x:c r="Q132" s="117" t="n">
        <x:v>3</x:v>
      </x:c>
      <x:c r="R132" s="117" t="n">
        <x:v>1</x:v>
      </x:c>
      <x:c r="S132" s="117" t="n">
        <x:v>4</x:v>
      </x:c>
      <x:c r="T132" s="117" t="n">
        <x:f>O132+P132+Q132+S132-R132</x:f>
        <x:v>14</x:v>
      </x:c>
      <x:c r="U132" s="117" t="inlineStr">
        <x:is>
          <x:t xml:space="preserve">Never share checkpoint locations, evasion tips or real-time enforcement details.</x:t>
        </x:is>
      </x:c>
      <x:c r="V132" s="117" t="inlineStr">
        <x:is>
          <x:t xml:space="preserve">Cut into a 15-sec hook, a Story poll and a carousel slide if it gets saves/comments.</x:t>
        </x:is>
      </x:c>
    </x:row>
    <x:row r="133" ht="58" customHeight="1">
      <x:c r="A133" s="110" t="n">
        <x:v>129</x:v>
      </x:c>
      <x:c r="B133" s="110" t="inlineStr">
        <x:is>
          <x:t xml:space="preserve">Education / Safety</x:t>
        </x:is>
      </x:c>
      <x:c r="C133" s="110" t="inlineStr">
        <x:is>
          <x:t xml:space="preserve">Alcoblow / sober-driving reminders</x:t>
        </x:is>
      </x:c>
      <x:c r="D133" s="110" t="inlineStr">
        <x:is>
          <x:t xml:space="preserve">Passenger POV</x:t>
        </x:is>
      </x:c>
      <x:c r="E133" s="110" t="inlineStr">
        <x:is>
          <x:t xml:space="preserve">General Kenyan driver</x:t>
        </x:is>
      </x:c>
      <x:c r="F133" s="110" t="inlineStr">
        <x:is>
          <x:t xml:space="preserve">Community</x:t>
        </x:is>
      </x:c>
      <x:c r="G133" s="110" t="inlineStr">
        <x:is>
          <x:t xml:space="preserve">Short-form video</x:t>
        </x:is>
      </x:c>
      <x:c r="H133" s="110" t="inlineStr">
        <x:is>
          <x:t xml:space="preserve">Passenger script: how to tell the driver to slow down without starting a fight.</x:t>
        </x:is>
      </x:c>
      <x:c r="I133" s="110" t="inlineStr">
        <x:is>
          <x:t xml:space="preserve">Passenger POV + text overlay; ride plan text.</x:t>
        </x:is>
      </x:c>
      <x:c r="J133" s="110" t="inlineStr">
        <x:is>
          <x:t xml:space="preserve">Safety through social behavior.</x:t>
        </x:is>
      </x:c>
      <x:c r="K133" s="110" t="inlineStr">
        <x:is>
          <x:t xml:space="preserve">Use the story to show unsafe driving choices after celebration and end with one practical takeaway.</x:t>
        </x:is>
      </x:c>
      <x:c r="L133" s="110" t="inlineStr">
        <x:is>
          <x:t xml:space="preserve">Plan the ride before the celebration starts.</x:t>
        </x:is>
      </x:c>
      <x:c r="M133" s="110" t="inlineStr">
        <x:is>
          <x:t xml:space="preserve">ride plan text; captions; app screen-record; branded end card</x:t>
        </x:is>
      </x:c>
      <x:c r="N133" s="110" t="inlineStr">
        <x:is>
          <x:t xml:space="preserve">Medium</x:t>
        </x:is>
      </x:c>
      <x:c r="O133" s="110" t="n">
        <x:v>3</x:v>
      </x:c>
      <x:c r="P133" s="110" t="n">
        <x:v>5</x:v>
      </x:c>
      <x:c r="Q133" s="110" t="n">
        <x:v>3</x:v>
      </x:c>
      <x:c r="R133" s="110" t="n">
        <x:v>2</x:v>
      </x:c>
      <x:c r="S133" s="110" t="n">
        <x:v>2</x:v>
      </x:c>
      <x:c r="T133" s="110" t="n">
        <x:f>O133+P133+Q133+S133-R133</x:f>
        <x:v>11</x:v>
      </x:c>
      <x:c r="U133" s="110" t="inlineStr">
        <x:is>
          <x:t xml:space="preserve">Never share checkpoint locations, evasion tips or real-time enforcement details.</x:t>
        </x:is>
      </x:c>
      <x:c r="V133" s="110" t="inlineStr">
        <x:is>
          <x:t xml:space="preserve">Cut into a 15-sec hook, a Story poll and a carousel slide if it gets saves/comments.</x:t>
        </x:is>
      </x:c>
    </x:row>
    <x:row r="134" ht="58" customHeight="1">
      <x:c r="A134" s="117" t="n">
        <x:v>130</x:v>
      </x:c>
      <x:c r="B134" s="117" t="inlineStr">
        <x:is>
          <x:t xml:space="preserve">Product / Feature Proof</x:t>
        </x:is>
      </x:c>
      <x:c r="C134" s="117" t="inlineStr">
        <x:is>
          <x:t xml:space="preserve">Alcoblow / sober-driving reminders</x:t>
        </x:is>
      </x:c>
      <x:c r="D134" s="117" t="inlineStr">
        <x:is>
          <x:t xml:space="preserve">Feature FAQ</x:t>
        </x:is>
      </x:c>
      <x:c r="E134" s="117" t="inlineStr">
        <x:is>
          <x:t xml:space="preserve">Safety-conscious passenger</x:t>
        </x:is>
      </x:c>
      <x:c r="F134" s="117" t="inlineStr">
        <x:is>
          <x:t xml:space="preserve">Feature Discovery</x:t>
        </x:is>
      </x:c>
      <x:c r="G134" s="117" t="inlineStr">
        <x:is>
          <x:t xml:space="preserve">Carousel</x:t>
        </x:is>
      </x:c>
      <x:c r="H134" s="117" t="inlineStr">
        <x:is>
          <x:t xml:space="preserve">The question people ask about alcoblow / sober-driving reminders, answered simply.</x:t>
        </x:is>
      </x:c>
      <x:c r="I134" s="117" t="inlineStr">
        <x:is>
          <x:t xml:space="preserve">Carousel with one answer per slide; friend group reminder.</x:t>
        </x:is>
      </x:c>
      <x:c r="J134" s="117" t="inlineStr">
        <x:is>
          <x:t xml:space="preserve">Reduce confusion.</x:t>
        </x:is>
      </x:c>
      <x:c r="K134" s="117" t="inlineStr">
        <x:is>
          <x:t xml:space="preserve">Use the story to show unsafe driving choices after celebration and end with one practical takeaway.</x:t>
        </x:is>
      </x:c>
      <x:c r="L134" s="117" t="inlineStr">
        <x:is>
          <x:t xml:space="preserve">Plan the ride before the celebration starts.</x:t>
        </x:is>
      </x:c>
      <x:c r="M134" s="117" t="inlineStr">
        <x:is>
          <x:t xml:space="preserve">friend group reminder; captions; app screen-record; branded end card</x:t>
        </x:is>
      </x:c>
      <x:c r="N134" s="117" t="inlineStr">
        <x:is>
          <x:t xml:space="preserve">High</x:t>
        </x:is>
      </x:c>
      <x:c r="O134" s="117" t="n">
        <x:v>3</x:v>
      </x:c>
      <x:c r="P134" s="117" t="n">
        <x:v>4</x:v>
      </x:c>
      <x:c r="Q134" s="117" t="n">
        <x:v>5</x:v>
      </x:c>
      <x:c r="R134" s="117" t="n">
        <x:v>3</x:v>
      </x:c>
      <x:c r="S134" s="117" t="n">
        <x:v>2</x:v>
      </x:c>
      <x:c r="T134" s="117" t="n">
        <x:f>O134+P134+Q134+S134-R134</x:f>
        <x:v>11</x:v>
      </x:c>
      <x:c r="U134" s="117" t="inlineStr">
        <x:is>
          <x:t xml:space="preserve">Never share checkpoint locations, evasion tips or real-time enforcement details.</x:t>
        </x:is>
      </x:c>
      <x:c r="V134" s="117" t="inlineStr">
        <x:is>
          <x:t xml:space="preserve">Cut into a 15-sec hook, a Story poll and a carousel slide if it gets saves/comments.</x:t>
        </x:is>
      </x:c>
    </x:row>
    <x:row r="135" ht="58" customHeight="1">
      <x:c r="A135" s="110" t="n">
        <x:v>131</x:v>
      </x:c>
      <x:c r="B135" s="110" t="inlineStr">
        <x:is>
          <x:t xml:space="preserve">Debate / Mythbusters</x:t>
        </x:is>
      </x:c>
      <x:c r="C135" s="110" t="inlineStr">
        <x:is>
          <x:t xml:space="preserve">Alcoblow / sober-driving reminders</x:t>
        </x:is>
      </x:c>
      <x:c r="D135" s="110" t="inlineStr">
        <x:is>
          <x:t xml:space="preserve">Road Mythbusters</x:t>
        </x:is>
      </x:c>
      <x:c r="E135" s="110" t="inlineStr">
        <x:is>
          <x:t xml:space="preserve">Family driver</x:t>
        </x:is>
      </x:c>
      <x:c r="F135" s="110" t="inlineStr">
        <x:is>
          <x:t xml:space="preserve">Engagement</x:t>
        </x:is>
      </x:c>
      <x:c r="G135" s="110" t="inlineStr">
        <x:is>
          <x:t xml:space="preserve">Story Poll</x:t>
        </x:is>
      </x:c>
      <x:c r="H135" s="110" t="inlineStr">
        <x:is>
          <x:t xml:space="preserve">Would you trust alcoblow / sober-driving reminders on a normal weekday drive?</x:t>
        </x:is>
      </x:c>
      <x:c r="I135" s="110" t="inlineStr">
        <x:is>
          <x:t xml:space="preserve">Poll sticker + quick setup; water/rest break.</x:t>
        </x:is>
      </x:c>
      <x:c r="J135" s="110" t="inlineStr">
        <x:is>
          <x:t xml:space="preserve">Low-friction responses.</x:t>
        </x:is>
      </x:c>
      <x:c r="K135" s="110" t="inlineStr">
        <x:is>
          <x:t xml:space="preserve">Use the story to show unsafe driving choices after celebration and end with one practical takeaway.</x:t>
        </x:is>
      </x:c>
      <x:c r="L135" s="110" t="inlineStr">
        <x:is>
          <x:t xml:space="preserve">Plan the ride before the celebration starts.</x:t>
        </x:is>
      </x:c>
      <x:c r="M135" s="110" t="inlineStr">
        <x:is>
          <x:t xml:space="preserve">water/rest break; captions; app screen-record; branded end card</x:t>
        </x:is>
      </x:c>
      <x:c r="N135" s="110" t="inlineStr">
        <x:is>
          <x:t xml:space="preserve">Low</x:t>
        </x:is>
      </x:c>
      <x:c r="O135" s="110" t="n">
        <x:v>4</x:v>
      </x:c>
      <x:c r="P135" s="110" t="n">
        <x:v>4</x:v>
      </x:c>
      <x:c r="Q135" s="110" t="n">
        <x:v>3</x:v>
      </x:c>
      <x:c r="R135" s="110" t="n">
        <x:v>1</x:v>
      </x:c>
      <x:c r="S135" s="110" t="n">
        <x:v>2</x:v>
      </x:c>
      <x:c r="T135" s="110" t="n">
        <x:f>O135+P135+Q135+S135-R135</x:f>
        <x:v>12</x:v>
      </x:c>
      <x:c r="U135" s="110" t="inlineStr">
        <x:is>
          <x:t xml:space="preserve">Never share checkpoint locations, evasion tips or real-time enforcement details.</x:t>
        </x:is>
      </x:c>
      <x:c r="V135" s="110" t="inlineStr">
        <x:is>
          <x:t xml:space="preserve">Turn best responses into Comment-to-Video and add to next week’s road-check queue.</x:t>
        </x:is>
      </x:c>
    </x:row>
    <x:row r="136" ht="58" customHeight="1">
      <x:c r="A136" s="117" t="n">
        <x:v>132</x:v>
      </x:c>
      <x:c r="B136" s="117" t="inlineStr">
        <x:is>
          <x:t xml:space="preserve">Road Intelligence</x:t>
        </x:is>
      </x:c>
      <x:c r="C136" s="117" t="inlineStr">
        <x:is>
          <x:t xml:space="preserve">Alcoblow / sober-driving reminders</x:t>
        </x:is>
      </x:c>
      <x:c r="D136" s="117" t="inlineStr">
        <x:is>
          <x:t xml:space="preserve">Msafiri Explains</x:t>
        </x:is>
      </x:c>
      <x:c r="E136" s="117" t="inlineStr">
        <x:is>
          <x:t xml:space="preserve">Road-trip group</x:t>
        </x:is>
      </x:c>
      <x:c r="F136" s="117" t="inlineStr">
        <x:is>
          <x:t xml:space="preserve">Trust</x:t>
        </x:is>
      </x:c>
      <x:c r="G136" s="117" t="inlineStr">
        <x:is>
          <x:t xml:space="preserve">Short-form video</x:t>
        </x:is>
      </x:c>
      <x:c r="H136" s="117" t="inlineStr">
        <x:is>
          <x:t xml:space="preserve">The road habit that makes unsafe driving choices after celebration worse.</x:t>
        </x:is>
      </x:c>
      <x:c r="I136" s="117" t="inlineStr">
        <x:is>
          <x:t xml:space="preserve">Explainer with road B-roll; Peter safety message.</x:t>
        </x:is>
      </x:c>
      <x:c r="J136" s="117" t="inlineStr">
        <x:is>
          <x:t xml:space="preserve">Teach without lecturing.</x:t>
        </x:is>
      </x:c>
      <x:c r="K136" s="117" t="inlineStr">
        <x:is>
          <x:t xml:space="preserve">Use the story to show unsafe driving choices after celebration and end with one practical takeaway.</x:t>
        </x:is>
      </x:c>
      <x:c r="L136" s="117" t="inlineStr">
        <x:is>
          <x:t xml:space="preserve">Plan the ride before the celebration starts.</x:t>
        </x:is>
      </x:c>
      <x:c r="M136" s="117" t="inlineStr">
        <x:is>
          <x:t xml:space="preserve">Peter safety message; captions; app screen-record; branded end card</x:t>
        </x:is>
      </x:c>
      <x:c r="N136" s="117" t="inlineStr">
        <x:is>
          <x:t xml:space="preserve">Medium</x:t>
        </x:is>
      </x:c>
      <x:c r="O136" s="117" t="n">
        <x:v>3</x:v>
      </x:c>
      <x:c r="P136" s="117" t="n">
        <x:v>5</x:v>
      </x:c>
      <x:c r="Q136" s="117" t="n">
        <x:v>3</x:v>
      </x:c>
      <x:c r="R136" s="117" t="n">
        <x:v>2</x:v>
      </x:c>
      <x:c r="S136" s="117" t="n">
        <x:v>2</x:v>
      </x:c>
      <x:c r="T136" s="117" t="n">
        <x:f>O136+P136+Q136+S136-R136</x:f>
        <x:v>11</x:v>
      </x:c>
      <x:c r="U136" s="117" t="inlineStr">
        <x:is>
          <x:t xml:space="preserve">Never share checkpoint locations, evasion tips or real-time enforcement details.</x:t>
        </x:is>
      </x:c>
      <x:c r="V136" s="117" t="inlineStr">
        <x:is>
          <x:t xml:space="preserve">Cut into a 15-sec hook, a Story poll and a carousel slide if it gets saves/comments.</x:t>
        </x:is>
      </x:c>
    </x:row>
    <x:row r="137" ht="58" customHeight="1">
      <x:c r="A137" s="110" t="n">
        <x:v>133</x:v>
      </x:c>
      <x:c r="B137" s="110" t="inlineStr">
        <x:is>
          <x:t xml:space="preserve">Community / UGC</x:t>
        </x:is>
      </x:c>
      <x:c r="C137" s="110" t="inlineStr">
        <x:is>
          <x:t xml:space="preserve">Alcoblow / sober-driving reminders</x:t>
        </x:is>
      </x:c>
      <x:c r="D137" s="110" t="inlineStr">
        <x:is>
          <x:t xml:space="preserve">Ask a Kenyan Driver</x:t>
        </x:is>
      </x:c>
      <x:c r="E137" s="110" t="inlineStr">
        <x:is>
          <x:t xml:space="preserve">General Kenyan driver</x:t>
        </x:is>
      </x:c>
      <x:c r="F137" s="110" t="inlineStr">
        <x:is>
          <x:t xml:space="preserve">Community</x:t>
        </x:is>
      </x:c>
      <x:c r="G137" s="110" t="inlineStr">
        <x:is>
          <x:t xml:space="preserve">Story Poll</x:t>
        </x:is>
      </x:c>
      <x:c r="H137" s="110" t="inlineStr">
        <x:is>
          <x:t xml:space="preserve">Choose our next test: alcoblow / sober-driving reminders on a commute or a road trip?</x:t>
        </x:is>
      </x:c>
      <x:c r="I137" s="110" t="inlineStr">
        <x:is>
          <x:t xml:space="preserve">Two-option story poll; keys away.</x:t>
        </x:is>
      </x:c>
      <x:c r="J137" s="110" t="inlineStr">
        <x:is>
          <x:t xml:space="preserve">Audience participation.</x:t>
        </x:is>
      </x:c>
      <x:c r="K137" s="110" t="inlineStr">
        <x:is>
          <x:t xml:space="preserve">Use the story to show unsafe driving choices after celebration and end with one practical takeaway.</x:t>
        </x:is>
      </x:c>
      <x:c r="L137" s="110" t="inlineStr">
        <x:is>
          <x:t xml:space="preserve">Plan the ride before the celebration starts.</x:t>
        </x:is>
      </x:c>
      <x:c r="M137" s="110" t="inlineStr">
        <x:is>
          <x:t xml:space="preserve">keys away; captions; app screen-record; branded end card</x:t>
        </x:is>
      </x:c>
      <x:c r="N137" s="110" t="inlineStr">
        <x:is>
          <x:t xml:space="preserve">High</x:t>
        </x:is>
      </x:c>
      <x:c r="O137" s="110" t="n">
        <x:v>3</x:v>
      </x:c>
      <x:c r="P137" s="110" t="n">
        <x:v>4</x:v>
      </x:c>
      <x:c r="Q137" s="110" t="n">
        <x:v>3</x:v>
      </x:c>
      <x:c r="R137" s="110" t="n">
        <x:v>3</x:v>
      </x:c>
      <x:c r="S137" s="110" t="n">
        <x:v>2</x:v>
      </x:c>
      <x:c r="T137" s="110" t="n">
        <x:f>O137+P137+Q137+S137-R137</x:f>
        <x:v>9</x:v>
      </x:c>
      <x:c r="U137" s="110" t="inlineStr">
        <x:is>
          <x:t xml:space="preserve">Never share checkpoint locations, evasion tips or real-time enforcement details.</x:t>
        </x:is>
      </x:c>
      <x:c r="V137" s="110" t="inlineStr">
        <x:is>
          <x:t xml:space="preserve">Turn best responses into Comment-to-Video and add to next week’s road-check queue.</x:t>
        </x:is>
      </x:c>
    </x:row>
    <x:row r="138" ht="58" customHeight="1">
      <x:c r="A138" s="117" t="n">
        <x:v>134</x:v>
      </x:c>
      <x:c r="B138" s="117" t="inlineStr">
        <x:is>
          <x:t xml:space="preserve">Product / Feature Proof</x:t>
        </x:is>
      </x:c>
      <x:c r="C138" s="117" t="inlineStr">
        <x:is>
          <x:t xml:space="preserve">Alcoblow / sober-driving reminders</x:t>
        </x:is>
      </x:c>
      <x:c r="D138" s="117" t="inlineStr">
        <x:is>
          <x:t xml:space="preserve">Feature Combo</x:t>
        </x:is>
      </x:c>
      <x:c r="E138" s="117" t="inlineStr">
        <x:is>
          <x:t xml:space="preserve">Safety-conscious passenger</x:t>
        </x:is>
      </x:c>
      <x:c r="F138" s="117" t="inlineStr">
        <x:is>
          <x:t xml:space="preserve">Conversion</x:t>
        </x:is>
      </x:c>
      <x:c r="G138" s="117" t="inlineStr">
        <x:is>
          <x:t xml:space="preserve">Short-form video</x:t>
        </x:is>
      </x:c>
      <x:c r="H138" s="117" t="inlineStr">
        <x:is>
          <x:t xml:space="preserve">Two Msafiri features that work better together when unsafe driving choices after celebration.</x:t>
        </x:is>
      </x:c>
      <x:c r="I138" s="117" t="inlineStr">
        <x:is>
          <x:t xml:space="preserve">UI + real drive + end card; ride plan text.</x:t>
        </x:is>
      </x:c>
      <x:c r="J138" s="117" t="inlineStr">
        <x:is>
          <x:t xml:space="preserve">Feature bundling.</x:t>
        </x:is>
      </x:c>
      <x:c r="K138" s="117" t="inlineStr">
        <x:is>
          <x:t xml:space="preserve">Use the story to show unsafe driving choices after celebration and end with one practical takeaway.</x:t>
        </x:is>
      </x:c>
      <x:c r="L138" s="117" t="inlineStr">
        <x:is>
          <x:t xml:space="preserve">Plan the ride before the celebration starts.</x:t>
        </x:is>
      </x:c>
      <x:c r="M138" s="117" t="inlineStr">
        <x:is>
          <x:t xml:space="preserve">ride plan text; captions; app screen-record; branded end card</x:t>
        </x:is>
      </x:c>
      <x:c r="N138" s="117" t="inlineStr">
        <x:is>
          <x:t xml:space="preserve">Low</x:t>
        </x:is>
      </x:c>
      <x:c r="O138" s="117" t="n">
        <x:v>3</x:v>
      </x:c>
      <x:c r="P138" s="117" t="n">
        <x:v>4</x:v>
      </x:c>
      <x:c r="Q138" s="117" t="n">
        <x:v>5</x:v>
      </x:c>
      <x:c r="R138" s="117" t="n">
        <x:v>1</x:v>
      </x:c>
      <x:c r="S138" s="117" t="n">
        <x:v>2</x:v>
      </x:c>
      <x:c r="T138" s="117" t="n">
        <x:f>O138+P138+Q138+S138-R138</x:f>
        <x:v>13</x:v>
      </x:c>
      <x:c r="U138" s="117" t="inlineStr">
        <x:is>
          <x:t xml:space="preserve">Never share checkpoint locations, evasion tips or real-time enforcement details.</x:t>
        </x:is>
      </x:c>
      <x:c r="V138" s="117" t="inlineStr">
        <x:is>
          <x:t xml:space="preserve">Cut into a 15-sec hook, a Story poll and a carousel slide if it gets saves/comments.</x:t>
        </x:is>
      </x:c>
    </x:row>
    <x:row r="139" ht="58" customHeight="1">
      <x:c r="A139" s="110" t="n">
        <x:v>135</x:v>
      </x:c>
      <x:c r="B139" s="110" t="inlineStr">
        <x:is>
          <x:t xml:space="preserve">Education / Safety</x:t>
        </x:is>
      </x:c>
      <x:c r="C139" s="110" t="inlineStr">
        <x:is>
          <x:t xml:space="preserve">Alcoblow / sober-driving reminders</x:t>
        </x:is>
      </x:c>
      <x:c r="D139" s="110" t="inlineStr">
        <x:is>
          <x:t xml:space="preserve">What Not To Do</x:t>
        </x:is>
      </x:c>
      <x:c r="E139" s="110" t="inlineStr">
        <x:is>
          <x:t xml:space="preserve">Family driver</x:t>
        </x:is>
      </x:c>
      <x:c r="F139" s="110" t="inlineStr">
        <x:is>
          <x:t xml:space="preserve">Retention</x:t>
        </x:is>
      </x:c>
      <x:c r="G139" s="110" t="inlineStr">
        <x:is>
          <x:t xml:space="preserve">Short-form video</x:t>
        </x:is>
      </x:c>
      <x:c r="H139" s="110" t="inlineStr">
        <x:is>
          <x:t xml:space="preserve">Do not make this mistake when unsafe driving choices after celebration.</x:t>
        </x:is>
      </x:c>
      <x:c r="I139" s="110" t="inlineStr">
        <x:is>
          <x:t xml:space="preserve">Wrong vs right mini demo; friend group reminder.</x:t>
        </x:is>
      </x:c>
      <x:c r="J139" s="110" t="inlineStr">
        <x:is>
          <x:t xml:space="preserve">Memorable caution.</x:t>
        </x:is>
      </x:c>
      <x:c r="K139" s="110" t="inlineStr">
        <x:is>
          <x:t xml:space="preserve">Use the story to show unsafe driving choices after celebration and end with one practical takeaway.</x:t>
        </x:is>
      </x:c>
      <x:c r="L139" s="110" t="inlineStr">
        <x:is>
          <x:t xml:space="preserve">Plan the ride before the celebration starts.</x:t>
        </x:is>
      </x:c>
      <x:c r="M139" s="110" t="inlineStr">
        <x:is>
          <x:t xml:space="preserve">friend group reminder; captions; app screen-record; branded end card</x:t>
        </x:is>
      </x:c>
      <x:c r="N139" s="110" t="inlineStr">
        <x:is>
          <x:t xml:space="preserve">Medium</x:t>
        </x:is>
      </x:c>
      <x:c r="O139" s="110" t="n">
        <x:v>3</x:v>
      </x:c>
      <x:c r="P139" s="110" t="n">
        <x:v>5</x:v>
      </x:c>
      <x:c r="Q139" s="110" t="n">
        <x:v>3</x:v>
      </x:c>
      <x:c r="R139" s="110" t="n">
        <x:v>2</x:v>
      </x:c>
      <x:c r="S139" s="110" t="n">
        <x:v>2</x:v>
      </x:c>
      <x:c r="T139" s="110" t="n">
        <x:f>O139+P139+Q139+S139-R139</x:f>
        <x:v>11</x:v>
      </x:c>
      <x:c r="U139" s="110" t="inlineStr">
        <x:is>
          <x:t xml:space="preserve">Never share checkpoint locations, evasion tips or real-time enforcement details.</x:t>
        </x:is>
      </x:c>
      <x:c r="V139" s="110" t="inlineStr">
        <x:is>
          <x:t xml:space="preserve">Cut into a 15-sec hook, a Story poll and a carousel slide if it gets saves/comments.</x:t>
        </x:is>
      </x:c>
    </x:row>
    <x:row r="140" ht="58" customHeight="1">
      <x:c r="A140" s="117" t="n">
        <x:v>136</x:v>
      </x:c>
      <x:c r="B140" s="117" t="inlineStr">
        <x:is>
          <x:t xml:space="preserve">Founder / BTS</x:t>
        </x:is>
      </x:c>
      <x:c r="C140" s="117" t="inlineStr">
        <x:is>
          <x:t xml:space="preserve">Alcoblow / sober-driving reminders</x:t>
        </x:is>
      </x:c>
      <x:c r="D140" s="117" t="inlineStr">
        <x:is>
          <x:t xml:space="preserve">Founder Files</x:t>
        </x:is>
      </x:c>
      <x:c r="E140" s="117" t="inlineStr">
        <x:is>
          <x:t xml:space="preserve">Road-trip group</x:t>
        </x:is>
      </x:c>
      <x:c r="F140" s="117" t="inlineStr">
        <x:is>
          <x:t xml:space="preserve">Trust</x:t>
        </x:is>
      </x:c>
      <x:c r="G140" s="117" t="inlineStr">
        <x:is>
          <x:t xml:space="preserve">Founder-to-camera</x:t>
        </x:is>
      </x:c>
      <x:c r="H140" s="117" t="inlineStr">
        <x:is>
          <x:t xml:space="preserve">The most uncomfortable truth about building alcoblow / sober-driving reminders.</x:t>
        </x:is>
      </x:c>
      <x:c r="I140" s="117" t="inlineStr">
        <x:is>
          <x:t xml:space="preserve">Founder honest reflection; water/rest break.</x:t>
        </x:is>
      </x:c>
      <x:c r="J140" s="117" t="inlineStr">
        <x:is>
          <x:t xml:space="preserve">Trust through honesty.</x:t>
        </x:is>
      </x:c>
      <x:c r="K140" s="117" t="inlineStr">
        <x:is>
          <x:t xml:space="preserve">Use the story to show unsafe driving choices after celebration and end with one practical takeaway.</x:t>
        </x:is>
      </x:c>
      <x:c r="L140" s="117" t="inlineStr">
        <x:is>
          <x:t xml:space="preserve">Plan the ride before the celebration starts.</x:t>
        </x:is>
      </x:c>
      <x:c r="M140" s="117" t="inlineStr">
        <x:is>
          <x:t xml:space="preserve">water/rest break; captions; app screen-record; branded end card</x:t>
        </x:is>
      </x:c>
      <x:c r="N140" s="117" t="inlineStr">
        <x:is>
          <x:t xml:space="preserve">High</x:t>
        </x:is>
      </x:c>
      <x:c r="O140" s="117" t="n">
        <x:v>3</x:v>
      </x:c>
      <x:c r="P140" s="117" t="n">
        <x:v>4</x:v>
      </x:c>
      <x:c r="Q140" s="117" t="n">
        <x:v>3</x:v>
      </x:c>
      <x:c r="R140" s="117" t="n">
        <x:v>3</x:v>
      </x:c>
      <x:c r="S140" s="117" t="n">
        <x:v>2</x:v>
      </x:c>
      <x:c r="T140" s="117" t="n">
        <x:f>O140+P140+Q140+S140-R140</x:f>
        <x:v>9</x:v>
      </x:c>
      <x:c r="U140" s="117" t="inlineStr">
        <x:is>
          <x:t xml:space="preserve">Never share checkpoint locations, evasion tips or real-time enforcement details.</x:t>
        </x:is>
      </x:c>
      <x:c r="V140" s="117" t="inlineStr">
        <x:is>
          <x:t xml:space="preserve">Cut into a 15-sec hook, a Story poll and a carousel slide if it gets saves/comments.</x:t>
        </x:is>
      </x:c>
    </x:row>
    <x:row r="141" ht="58" customHeight="1">
      <x:c r="A141" s="110" t="n">
        <x:v>137</x:v>
      </x:c>
      <x:c r="B141" s="110" t="inlineStr">
        <x:is>
          <x:t xml:space="preserve">Road Intelligence</x:t>
        </x:is>
      </x:c>
      <x:c r="C141" s="110" t="inlineStr">
        <x:is>
          <x:t xml:space="preserve">Alcoblow / sober-driving reminders</x:t>
        </x:is>
      </x:c>
      <x:c r="D141" s="110" t="inlineStr">
        <x:is>
          <x:t xml:space="preserve">Map vs Reality</x:t>
        </x:is>
      </x:c>
      <x:c r="E141" s="110" t="inlineStr">
        <x:is>
          <x:t xml:space="preserve">General Kenyan driver</x:t>
        </x:is>
      </x:c>
      <x:c r="F141" s="110" t="inlineStr">
        <x:is>
          <x:t xml:space="preserve">Awareness</x:t>
        </x:is>
      </x:c>
      <x:c r="G141" s="110" t="inlineStr">
        <x:is>
          <x:t xml:space="preserve">POV Drive</x:t>
        </x:is>
      </x:c>
      <x:c r="H141" s="110" t="inlineStr">
        <x:is>
          <x:t xml:space="preserve">The map says one thing; the road says another.</x:t>
        </x:is>
      </x:c>
      <x:c r="I141" s="110" t="inlineStr">
        <x:is>
          <x:t xml:space="preserve">Map overlay + road footage; Peter safety message.</x:t>
        </x:is>
      </x:c>
      <x:c r="J141" s="110" t="inlineStr">
        <x:is>
          <x:t xml:space="preserve">Road-intelligence authority.</x:t>
        </x:is>
      </x:c>
      <x:c r="K141" s="110" t="inlineStr">
        <x:is>
          <x:t xml:space="preserve">Use the story to show unsafe driving choices after celebration and end with one practical takeaway.</x:t>
        </x:is>
      </x:c>
      <x:c r="L141" s="110" t="inlineStr">
        <x:is>
          <x:t xml:space="preserve">Plan the ride before the celebration starts.</x:t>
        </x:is>
      </x:c>
      <x:c r="M141" s="110" t="inlineStr">
        <x:is>
          <x:t xml:space="preserve">Peter safety message; captions; app screen-record; branded end card</x:t>
        </x:is>
      </x:c>
      <x:c r="N141" s="110" t="inlineStr">
        <x:is>
          <x:t xml:space="preserve">Low</x:t>
        </x:is>
      </x:c>
      <x:c r="O141" s="110" t="n">
        <x:v>3</x:v>
      </x:c>
      <x:c r="P141" s="110" t="n">
        <x:v>5</x:v>
      </x:c>
      <x:c r="Q141" s="110" t="n">
        <x:v>3</x:v>
      </x:c>
      <x:c r="R141" s="110" t="n">
        <x:v>1</x:v>
      </x:c>
      <x:c r="S141" s="110" t="n">
        <x:v>2</x:v>
      </x:c>
      <x:c r="T141" s="110" t="n">
        <x:f>O141+P141+Q141+S141-R141</x:f>
        <x:v>12</x:v>
      </x:c>
      <x:c r="U141" s="110" t="inlineStr">
        <x:is>
          <x:t xml:space="preserve">Never share checkpoint locations, evasion tips or real-time enforcement details.</x:t>
        </x:is>
      </x:c>
      <x:c r="V141" s="110" t="inlineStr">
        <x:is>
          <x:t xml:space="preserve">Cut into a 15-sec hook, a Story poll and a carousel slide if it gets saves/comments.</x:t>
        </x:is>
      </x:c>
    </x:row>
    <x:row r="142" ht="58" customHeight="1">
      <x:c r="A142" s="117" t="n">
        <x:v>138</x:v>
      </x:c>
      <x:c r="B142" s="117" t="inlineStr">
        <x:is>
          <x:t xml:space="preserve">Product / Feature Proof</x:t>
        </x:is>
      </x:c>
      <x:c r="C142" s="117" t="inlineStr">
        <x:is>
          <x:t xml:space="preserve">Alcoblow / sober-driving reminders</x:t>
        </x:is>
      </x:c>
      <x:c r="D142" s="117" t="inlineStr">
        <x:is>
          <x:t xml:space="preserve">One-Tap Test</x:t>
        </x:is>
      </x:c>
      <x:c r="E142" s="117" t="inlineStr">
        <x:is>
          <x:t xml:space="preserve">Safety-conscious passenger</x:t>
        </x:is>
      </x:c>
      <x:c r="F142" s="117" t="inlineStr">
        <x:is>
          <x:t xml:space="preserve">Feature Discovery</x:t>
        </x:is>
      </x:c>
      <x:c r="G142" s="117" t="inlineStr">
        <x:is>
          <x:t xml:space="preserve">Screen-record Demo</x:t>
        </x:is>
      </x:c>
      <x:c r="H142" s="117" t="inlineStr">
        <x:is>
          <x:t xml:space="preserve">How fast can you set up alcoblow / sober-driving reminders before leaving?</x:t>
        </x:is>
      </x:c>
      <x:c r="I142" s="117" t="inlineStr">
        <x:is>
          <x:t xml:space="preserve">Timer + UI taps; keys away.</x:t>
        </x:is>
      </x:c>
      <x:c r="J142" s="117" t="inlineStr">
        <x:is>
          <x:t xml:space="preserve">Lower adoption friction.</x:t>
        </x:is>
      </x:c>
      <x:c r="K142" s="117" t="inlineStr">
        <x:is>
          <x:t xml:space="preserve">Use the story to show unsafe driving choices after celebration and end with one practical takeaway.</x:t>
        </x:is>
      </x:c>
      <x:c r="L142" s="117" t="inlineStr">
        <x:is>
          <x:t xml:space="preserve">Plan the ride before the celebration starts.</x:t>
        </x:is>
      </x:c>
      <x:c r="M142" s="117" t="inlineStr">
        <x:is>
          <x:t xml:space="preserve">keys away; captions; app screen-record; branded end card</x:t>
        </x:is>
      </x:c>
      <x:c r="N142" s="117" t="inlineStr">
        <x:is>
          <x:t xml:space="preserve">Medium</x:t>
        </x:is>
      </x:c>
      <x:c r="O142" s="117" t="n">
        <x:v>3</x:v>
      </x:c>
      <x:c r="P142" s="117" t="n">
        <x:v>4</x:v>
      </x:c>
      <x:c r="Q142" s="117" t="n">
        <x:v>5</x:v>
      </x:c>
      <x:c r="R142" s="117" t="n">
        <x:v>2</x:v>
      </x:c>
      <x:c r="S142" s="117" t="n">
        <x:v>2</x:v>
      </x:c>
      <x:c r="T142" s="117" t="n">
        <x:f>O142+P142+Q142+S142-R142</x:f>
        <x:v>12</x:v>
      </x:c>
      <x:c r="U142" s="117" t="inlineStr">
        <x:is>
          <x:t xml:space="preserve">Never share checkpoint locations, evasion tips or real-time enforcement details.</x:t>
        </x:is>
      </x:c>
      <x:c r="V142" s="117" t="inlineStr">
        <x:is>
          <x:t xml:space="preserve">Cut into a 15-sec hook, a Story poll and a carousel slide if it gets saves/comments.</x:t>
        </x:is>
      </x:c>
    </x:row>
    <x:row r="143" ht="58" customHeight="1">
      <x:c r="A143" s="110" t="n">
        <x:v>139</x:v>
      </x:c>
      <x:c r="B143" s="110" t="inlineStr">
        <x:is>
          <x:t xml:space="preserve">Community / UGC</x:t>
        </x:is>
      </x:c>
      <x:c r="C143" s="110" t="inlineStr">
        <x:is>
          <x:t xml:space="preserve">Alcoblow / sober-driving reminders</x:t>
        </x:is>
      </x:c>
      <x:c r="D143" s="110" t="inlineStr">
        <x:is>
          <x:t xml:space="preserve">UGC Prompt</x:t>
        </x:is>
      </x:c>
      <x:c r="E143" s="110" t="inlineStr">
        <x:is>
          <x:t xml:space="preserve">Family driver</x:t>
        </x:is>
      </x:c>
      <x:c r="F143" s="110" t="inlineStr">
        <x:is>
          <x:t xml:space="preserve">Community</x:t>
        </x:is>
      </x:c>
      <x:c r="G143" s="110" t="inlineStr">
        <x:is>
          <x:t xml:space="preserve">Static Graphic</x:t>
        </x:is>
      </x:c>
      <x:c r="H143" s="110" t="inlineStr">
        <x:is>
          <x:t xml:space="preserve">Tell us your alcoblow / sober-driving reminders story and we may feature it.</x:t>
        </x:is>
      </x:c>
      <x:c r="I143" s="110" t="inlineStr">
        <x:is>
          <x:t xml:space="preserve">Branded prompt graphic; ride plan text.</x:t>
        </x:is>
      </x:c>
      <x:c r="J143" s="110" t="inlineStr">
        <x:is>
          <x:t xml:space="preserve">User-generated content pipeline.</x:t>
        </x:is>
      </x:c>
      <x:c r="K143" s="110" t="inlineStr">
        <x:is>
          <x:t xml:space="preserve">Use the story to show unsafe driving choices after celebration and end with one practical takeaway.</x:t>
        </x:is>
      </x:c>
      <x:c r="L143" s="110" t="inlineStr">
        <x:is>
          <x:t xml:space="preserve">Plan the ride before the celebration starts.</x:t>
        </x:is>
      </x:c>
      <x:c r="M143" s="110" t="inlineStr">
        <x:is>
          <x:t xml:space="preserve">ride plan text; captions; app screen-record; branded end card</x:t>
        </x:is>
      </x:c>
      <x:c r="N143" s="110" t="inlineStr">
        <x:is>
          <x:t xml:space="preserve">High</x:t>
        </x:is>
      </x:c>
      <x:c r="O143" s="110" t="n">
        <x:v>3</x:v>
      </x:c>
      <x:c r="P143" s="110" t="n">
        <x:v>4</x:v>
      </x:c>
      <x:c r="Q143" s="110" t="n">
        <x:v>3</x:v>
      </x:c>
      <x:c r="R143" s="110" t="n">
        <x:v>3</x:v>
      </x:c>
      <x:c r="S143" s="110" t="n">
        <x:v>2</x:v>
      </x:c>
      <x:c r="T143" s="110" t="n">
        <x:f>O143+P143+Q143+S143-R143</x:f>
        <x:v>9</x:v>
      </x:c>
      <x:c r="U143" s="110" t="inlineStr">
        <x:is>
          <x:t xml:space="preserve">Never share checkpoint locations, evasion tips or real-time enforcement details.</x:t>
        </x:is>
      </x:c>
      <x:c r="V143" s="110" t="inlineStr">
        <x:is>
          <x:t xml:space="preserve">Turn best responses into Comment-to-Video and add to next week’s road-check queue.</x:t>
        </x:is>
      </x:c>
    </x:row>
    <x:row r="144" ht="58" customHeight="1">
      <x:c r="A144" s="117" t="n">
        <x:v>140</x:v>
      </x:c>
      <x:c r="B144" s="117" t="inlineStr">
        <x:is>
          <x:t xml:space="preserve">Seasonal Campaign</x:t>
        </x:is>
      </x:c>
      <x:c r="C144" s="117" t="inlineStr">
        <x:is>
          <x:t xml:space="preserve">Alcoblow / sober-driving reminders</x:t>
        </x:is>
      </x:c>
      <x:c r="D144" s="117" t="inlineStr">
        <x:is>
          <x:t xml:space="preserve">End-Year Road Prep</x:t>
        </x:is>
      </x:c>
      <x:c r="E144" s="117" t="inlineStr">
        <x:is>
          <x:t xml:space="preserve">Road-trip group</x:t>
        </x:is>
      </x:c>
      <x:c r="F144" s="117" t="inlineStr">
        <x:is>
          <x:t xml:space="preserve">Conversion</x:t>
        </x:is>
      </x:c>
      <x:c r="G144" s="117" t="inlineStr">
        <x:is>
          <x:t xml:space="preserve">Hero / Reel</x:t>
        </x:is>
      </x:c>
      <x:c r="H144" s="117" t="inlineStr">
        <x:is>
          <x:t xml:space="preserve">Before the December drive, open Msafiri and check this.</x:t>
        </x:is>
      </x:c>
      <x:c r="I144" s="117" t="inlineStr">
        <x:is>
          <x:t xml:space="preserve">December packing + app + road POV; friend group reminder.</x:t>
        </x:is>
      </x:c>
      <x:c r="J144" s="117" t="inlineStr">
        <x:is>
          <x:t xml:space="preserve">Seasonal conversion.</x:t>
        </x:is>
      </x:c>
      <x:c r="K144" s="117" t="inlineStr">
        <x:is>
          <x:t xml:space="preserve">Use the story to show unsafe driving choices after celebration and end with one practical takeaway.</x:t>
        </x:is>
      </x:c>
      <x:c r="L144" s="117" t="inlineStr">
        <x:is>
          <x:t xml:space="preserve">Plan the ride before the celebration starts.</x:t>
        </x:is>
      </x:c>
      <x:c r="M144" s="117" t="inlineStr">
        <x:is>
          <x:t xml:space="preserve">friend group reminder; captions; app screen-record; branded end card</x:t>
        </x:is>
      </x:c>
      <x:c r="N144" s="117" t="inlineStr">
        <x:is>
          <x:t xml:space="preserve">Low</x:t>
        </x:is>
      </x:c>
      <x:c r="O144" s="117" t="n">
        <x:v>4</x:v>
      </x:c>
      <x:c r="P144" s="117" t="n">
        <x:v>4</x:v>
      </x:c>
      <x:c r="Q144" s="117" t="n">
        <x:v>5</x:v>
      </x:c>
      <x:c r="R144" s="117" t="n">
        <x:v>1</x:v>
      </x:c>
      <x:c r="S144" s="117" t="n">
        <x:v>4</x:v>
      </x:c>
      <x:c r="T144" s="117" t="n">
        <x:f>O144+P144+Q144+S144-R144</x:f>
        <x:v>16</x:v>
      </x:c>
      <x:c r="U144" s="117" t="inlineStr">
        <x:is>
          <x:t xml:space="preserve">Never share checkpoint locations, evasion tips or real-time enforcement details.</x:t>
        </x:is>
      </x:c>
      <x:c r="V144" s="117" t="inlineStr">
        <x:is>
          <x:t xml:space="preserve">Cut into a 15-sec hook, a Story poll and a carousel slide if it gets saves/comments.</x:t>
        </x:is>
      </x:c>
    </x:row>
    <x:row r="145" ht="58" customHeight="1">
      <x:c r="A145" s="110" t="n">
        <x:v>141</x:v>
      </x:c>
      <x:c r="B145" s="110" t="inlineStr">
        <x:is>
          <x:t xml:space="preserve">Road Intelligence</x:t>
        </x:is>
      </x:c>
      <x:c r="C145" s="110" t="inlineStr">
        <x:is>
          <x:t xml:space="preserve">Road alerts</x:t>
        </x:is>
      </x:c>
      <x:c r="D145" s="110" t="inlineStr">
        <x:is>
          <x:t xml:space="preserve">Msafiri Road Check</x:t>
        </x:is>
      </x:c>
      <x:c r="E145" s="110" t="inlineStr">
        <x:is>
          <x:t xml:space="preserve">Daily Nairobi commuter</x:t>
        </x:is>
      </x:c>
      <x:c r="F145" s="110" t="inlineStr">
        <x:is>
          <x:t xml:space="preserve">Awareness</x:t>
        </x:is>
      </x:c>
      <x:c r="G145" s="110" t="inlineStr">
        <x:is>
          <x:t xml:space="preserve">POV Drive</x:t>
        </x:is>
      </x:c>
      <x:c r="H145" s="110" t="inlineStr">
        <x:is>
          <x:t xml:space="preserve">We drove a family errand to see where road alerts actually helps.</x:t>
        </x:is>
      </x:c>
      <x:c r="I145" s="110" t="inlineStr">
        <x:is>
          <x:t xml:space="preserve">Road POV with 3 marked moments; road hazard B-roll.</x:t>
        </x:is>
      </x:c>
      <x:c r="J145" s="110" t="inlineStr">
        <x:is>
          <x:t xml:space="preserve">A practical route lesson people can save.</x:t>
        </x:is>
      </x:c>
      <x:c r="K145" s="110" t="inlineStr">
        <x:is>
          <x:t xml:space="preserve">Use the story to show unexpected road changes and delayed information and end with one practical takeaway.</x:t>
        </x:is>
      </x:c>
      <x:c r="L145" s="110" t="inlineStr">
        <x:is>
          <x:t xml:space="preserve">Open Msafiri before you start your route.</x:t>
        </x:is>
      </x:c>
      <x:c r="M145" s="110" t="inlineStr">
        <x:is>
          <x:t xml:space="preserve">road hazard B-roll; captions; app screen-record; branded end card</x:t>
        </x:is>
      </x:c>
      <x:c r="N145" s="110" t="inlineStr">
        <x:is>
          <x:t xml:space="preserve">Low</x:t>
        </x:is>
      </x:c>
      <x:c r="O145" s="110" t="n">
        <x:v>3</x:v>
      </x:c>
      <x:c r="P145" s="110" t="n">
        <x:v>5</x:v>
      </x:c>
      <x:c r="Q145" s="110" t="n">
        <x:v>3</x:v>
      </x:c>
      <x:c r="R145" s="110" t="n">
        <x:v>1</x:v>
      </x:c>
      <x:c r="S145" s="110" t="n">
        <x:v>2</x:v>
      </x:c>
      <x:c r="T145" s="110" t="n">
        <x:f>O145+P145+Q145+S145-R145</x:f>
        <x:v>12</x:v>
      </x:c>
      <x:c r="U145" s="110" t="inlineStr">
        <x:is>
          <x:t xml:space="preserve">Verify reports before amplifying; avoid panic wording.</x:t>
        </x:is>
      </x:c>
      <x:c r="V145" s="110" t="inlineStr">
        <x:is>
          <x:t xml:space="preserve">Cut into a 15-sec hook, a Story poll and a carousel slide if it gets saves/comments.</x:t>
        </x:is>
      </x:c>
    </x:row>
    <x:row r="146" ht="58" customHeight="1">
      <x:c r="A146" s="117" t="n">
        <x:v>142</x:v>
      </x:c>
      <x:c r="B146" s="117" t="inlineStr">
        <x:is>
          <x:t xml:space="preserve">Product / Feature Proof</x:t>
        </x:is>
      </x:c>
      <x:c r="C146" s="117" t="inlineStr">
        <x:is>
          <x:t xml:space="preserve">Road alerts</x:t>
        </x:is>
      </x:c>
      <x:c r="D146" s="117" t="inlineStr">
        <x:is>
          <x:t xml:space="preserve">Feature in the Wild</x:t>
        </x:is>
      </x:c>
      <x:c r="E146" s="117" t="inlineStr">
        <x:is>
          <x:t xml:space="preserve">Long-distance driver</x:t>
        </x:is>
      </x:c>
      <x:c r="F146" s="117" t="inlineStr">
        <x:is>
          <x:t xml:space="preserve">Feature Discovery</x:t>
        </x:is>
      </x:c>
      <x:c r="G146" s="117" t="inlineStr">
        <x:is>
          <x:t xml:space="preserve">Screen-record Demo</x:t>
        </x:is>
      </x:c>
      <x:c r="H146" s="117" t="inlineStr">
        <x:is>
          <x:t xml:space="preserve">Road alerts in 30 seconds: here is the moment it becomes useful.</x:t>
        </x:is>
      </x:c>
      <x:c r="I146" s="117" t="inlineStr">
        <x:is>
          <x:t xml:space="preserve">Phone screen + real-world cutaway; route overlay.</x:t>
        </x:is>
      </x:c>
      <x:c r="J146" s="117" t="inlineStr">
        <x:is>
          <x:t xml:space="preserve">Feature clarity without a hard sell.</x:t>
        </x:is>
      </x:c>
      <x:c r="K146" s="117" t="inlineStr">
        <x:is>
          <x:t xml:space="preserve">Use the story to show unexpected road changes and delayed information and end with one practical takeaway.</x:t>
        </x:is>
      </x:c>
      <x:c r="L146" s="117" t="inlineStr">
        <x:is>
          <x:t xml:space="preserve">Open Msafiri before you start your route.</x:t>
        </x:is>
      </x:c>
      <x:c r="M146" s="117" t="inlineStr">
        <x:is>
          <x:t xml:space="preserve">route overlay; captions; app screen-record; branded end card</x:t>
        </x:is>
      </x:c>
      <x:c r="N146" s="117" t="inlineStr">
        <x:is>
          <x:t xml:space="preserve">Medium</x:t>
        </x:is>
      </x:c>
      <x:c r="O146" s="117" t="n">
        <x:v>3</x:v>
      </x:c>
      <x:c r="P146" s="117" t="n">
        <x:v>4</x:v>
      </x:c>
      <x:c r="Q146" s="117" t="n">
        <x:v>5</x:v>
      </x:c>
      <x:c r="R146" s="117" t="n">
        <x:v>2</x:v>
      </x:c>
      <x:c r="S146" s="117" t="n">
        <x:v>2</x:v>
      </x:c>
      <x:c r="T146" s="117" t="n">
        <x:f>O146+P146+Q146+S146-R146</x:f>
        <x:v>12</x:v>
      </x:c>
      <x:c r="U146" s="117" t="inlineStr">
        <x:is>
          <x:t xml:space="preserve">Verify reports before amplifying; avoid panic wording.</x:t>
        </x:is>
      </x:c>
      <x:c r="V146" s="117" t="inlineStr">
        <x:is>
          <x:t xml:space="preserve">Cut into a 15-sec hook, a Story poll and a carousel slide if it gets saves/comments.</x:t>
        </x:is>
      </x:c>
    </x:row>
    <x:row r="147" ht="58" customHeight="1">
      <x:c r="A147" s="110" t="n">
        <x:v>143</x:v>
      </x:c>
      <x:c r="B147" s="110" t="inlineStr">
        <x:is>
          <x:t xml:space="preserve">Kenyan Driving Reality</x:t>
        </x:is>
      </x:c>
      <x:c r="C147" s="110" t="inlineStr">
        <x:is>
          <x:t xml:space="preserve">Road alerts</x:t>
        </x:is>
      </x:c>
      <x:c r="D147" s="110" t="inlineStr">
        <x:is>
          <x:t xml:space="preserve">Kenyan Driver Problems</x:t>
        </x:is>
      </x:c>
      <x:c r="E147" s="110" t="inlineStr">
        <x:is>
          <x:t xml:space="preserve">Family driver</x:t>
        </x:is>
      </x:c>
      <x:c r="F147" s="110" t="inlineStr">
        <x:is>
          <x:t xml:space="preserve">Engagement</x:t>
        </x:is>
      </x:c>
      <x:c r="G147" s="110" t="inlineStr">
        <x:is>
          <x:t xml:space="preserve">Skit</x:t>
        </x:is>
      </x:c>
      <x:c r="H147" s="110" t="inlineStr">
        <x:is>
          <x:t xml:space="preserve">POV: unexpected road changes and delayed information and everyone in the car has an opinion.</x:t>
        </x:is>
      </x:c>
      <x:c r="I147" s="110" t="inlineStr">
        <x:is>
          <x:t xml:space="preserve">Fast skit with driver/passenger tension; community report card.</x:t>
        </x:is>
      </x:c>
      <x:c r="J147" s="110" t="inlineStr">
        <x:is>
          <x:t xml:space="preserve">Relatability and shares.</x:t>
        </x:is>
      </x:c>
      <x:c r="K147" s="110" t="inlineStr">
        <x:is>
          <x:t xml:space="preserve">Use the story to show unexpected road changes and delayed information and end with one practical takeaway.</x:t>
        </x:is>
      </x:c>
      <x:c r="L147" s="110" t="inlineStr">
        <x:is>
          <x:t xml:space="preserve">Open Msafiri before you start your route.</x:t>
        </x:is>
      </x:c>
      <x:c r="M147" s="110" t="inlineStr">
        <x:is>
          <x:t xml:space="preserve">community report card; captions; app screen-record; branded end card</x:t>
        </x:is>
      </x:c>
      <x:c r="N147" s="110" t="inlineStr">
        <x:is>
          <x:t xml:space="preserve">High</x:t>
        </x:is>
      </x:c>
      <x:c r="O147" s="110" t="n">
        <x:v>4</x:v>
      </x:c>
      <x:c r="P147" s="110" t="n">
        <x:v>4</x:v>
      </x:c>
      <x:c r="Q147" s="110" t="n">
        <x:v>3</x:v>
      </x:c>
      <x:c r="R147" s="110" t="n">
        <x:v>3</x:v>
      </x:c>
      <x:c r="S147" s="110" t="n">
        <x:v>2</x:v>
      </x:c>
      <x:c r="T147" s="110" t="n">
        <x:f>O147+P147+Q147+S147-R147</x:f>
        <x:v>10</x:v>
      </x:c>
      <x:c r="U147" s="110" t="inlineStr">
        <x:is>
          <x:t xml:space="preserve">Verify reports before amplifying; avoid panic wording.</x:t>
        </x:is>
      </x:c>
      <x:c r="V147" s="110" t="inlineStr">
        <x:is>
          <x:t xml:space="preserve">Cut into a 15-sec hook, a Story poll and a carousel slide if it gets saves/comments.</x:t>
        </x:is>
      </x:c>
    </x:row>
    <x:row r="148" ht="58" customHeight="1">
      <x:c r="A148" s="117" t="n">
        <x:v>144</x:v>
      </x:c>
      <x:c r="B148" s="117" t="inlineStr">
        <x:is>
          <x:t xml:space="preserve">Education / Safety</x:t>
        </x:is>
      </x:c>
      <x:c r="C148" s="117" t="inlineStr">
        <x:is>
          <x:t xml:space="preserve">Road alerts</x:t>
        </x:is>
      </x:c>
      <x:c r="D148" s="117" t="inlineStr">
        <x:is>
          <x:t xml:space="preserve">Before You Drive</x:t>
        </x:is>
      </x:c>
      <x:c r="E148" s="117" t="inlineStr">
        <x:is>
          <x:t xml:space="preserve">Professional driver</x:t>
        </x:is>
      </x:c>
      <x:c r="F148" s="117" t="inlineStr">
        <x:is>
          <x:t xml:space="preserve">Retention</x:t>
        </x:is>
      </x:c>
      <x:c r="G148" s="117" t="inlineStr">
        <x:is>
          <x:t xml:space="preserve">Checklist Reel</x:t>
        </x:is>
      </x:c>
      <x:c r="H148" s="117" t="inlineStr">
        <x:is>
          <x:t xml:space="preserve">Save this before a weekend road trip: 3 things to check.</x:t>
        </x:is>
      </x:c>
      <x:c r="I148" s="117" t="inlineStr">
        <x:is>
          <x:t xml:space="preserve">Checklist overlay with hands-on shots; before/after route choice.</x:t>
        </x:is>
      </x:c>
      <x:c r="J148" s="117" t="inlineStr">
        <x:is>
          <x:t xml:space="preserve">A saveable pre-drive behavior.</x:t>
        </x:is>
      </x:c>
      <x:c r="K148" s="117" t="inlineStr">
        <x:is>
          <x:t xml:space="preserve">Use the story to show unexpected road changes and delayed information and end with one practical takeaway.</x:t>
        </x:is>
      </x:c>
      <x:c r="L148" s="117" t="inlineStr">
        <x:is>
          <x:t xml:space="preserve">Open Msafiri before you start your route.</x:t>
        </x:is>
      </x:c>
      <x:c r="M148" s="117" t="inlineStr">
        <x:is>
          <x:t xml:space="preserve">before/after route choice; captions; app screen-record; branded end card</x:t>
        </x:is>
      </x:c>
      <x:c r="N148" s="117" t="inlineStr">
        <x:is>
          <x:t xml:space="preserve">Low</x:t>
        </x:is>
      </x:c>
      <x:c r="O148" s="117" t="n">
        <x:v>3</x:v>
      </x:c>
      <x:c r="P148" s="117" t="n">
        <x:v>5</x:v>
      </x:c>
      <x:c r="Q148" s="117" t="n">
        <x:v>3</x:v>
      </x:c>
      <x:c r="R148" s="117" t="n">
        <x:v>1</x:v>
      </x:c>
      <x:c r="S148" s="117" t="n">
        <x:v>2</x:v>
      </x:c>
      <x:c r="T148" s="117" t="n">
        <x:f>O148+P148+Q148+S148-R148</x:f>
        <x:v>12</x:v>
      </x:c>
      <x:c r="U148" s="117" t="inlineStr">
        <x:is>
          <x:t xml:space="preserve">Verify reports before amplifying; avoid panic wording.</x:t>
        </x:is>
      </x:c>
      <x:c r="V148" s="117" t="inlineStr">
        <x:is>
          <x:t xml:space="preserve">Cut into a 15-sec hook, a Story poll and a carousel slide if it gets saves/comments.</x:t>
        </x:is>
      </x:c>
    </x:row>
    <x:row r="149" ht="58" customHeight="1">
      <x:c r="A149" s="110" t="n">
        <x:v>145</x:v>
      </x:c>
      <x:c r="B149" s="110" t="inlineStr">
        <x:is>
          <x:t xml:space="preserve">Founder / BTS</x:t>
        </x:is>
      </x:c>
      <x:c r="C149" s="110" t="inlineStr">
        <x:is>
          <x:t xml:space="preserve">Road alerts</x:t>
        </x:is>
      </x:c>
      <x:c r="D149" s="110" t="inlineStr">
        <x:is>
          <x:t xml:space="preserve">Founder Files</x:t>
        </x:is>
      </x:c>
      <x:c r="E149" s="110" t="inlineStr">
        <x:is>
          <x:t xml:space="preserve">Daily Nairobi commuter</x:t>
        </x:is>
      </x:c>
      <x:c r="F149" s="110" t="inlineStr">
        <x:is>
          <x:t xml:space="preserve">Trust</x:t>
        </x:is>
      </x:c>
      <x:c r="G149" s="110" t="inlineStr">
        <x:is>
          <x:t xml:space="preserve">Founder-to-camera</x:t>
        </x:is>
      </x:c>
      <x:c r="H149" s="110" t="inlineStr">
        <x:is>
          <x:t xml:space="preserve">Peter explains why road alerts belongs in a Kenyan driving app.</x:t>
        </x:is>
      </x:c>
      <x:c r="I149" s="110" t="inlineStr">
        <x:is>
          <x:t xml:space="preserve">Peter in car + product cutaway; weather/visibility shot.</x:t>
        </x:is>
      </x:c>
      <x:c r="J149" s="110" t="inlineStr">
        <x:is>
          <x:t xml:space="preserve">Founder trust and mission clarity.</x:t>
        </x:is>
      </x:c>
      <x:c r="K149" s="110" t="inlineStr">
        <x:is>
          <x:t xml:space="preserve">Use the story to show unexpected road changes and delayed information and end with one practical takeaway.</x:t>
        </x:is>
      </x:c>
      <x:c r="L149" s="110" t="inlineStr">
        <x:is>
          <x:t xml:space="preserve">Open Msafiri before you start your route.</x:t>
        </x:is>
      </x:c>
      <x:c r="M149" s="110" t="inlineStr">
        <x:is>
          <x:t xml:space="preserve">weather/visibility shot; captions; app screen-record; branded end card</x:t>
        </x:is>
      </x:c>
      <x:c r="N149" s="110" t="inlineStr">
        <x:is>
          <x:t xml:space="preserve">Medium</x:t>
        </x:is>
      </x:c>
      <x:c r="O149" s="110" t="n">
        <x:v>3</x:v>
      </x:c>
      <x:c r="P149" s="110" t="n">
        <x:v>4</x:v>
      </x:c>
      <x:c r="Q149" s="110" t="n">
        <x:v>3</x:v>
      </x:c>
      <x:c r="R149" s="110" t="n">
        <x:v>2</x:v>
      </x:c>
      <x:c r="S149" s="110" t="n">
        <x:v>2</x:v>
      </x:c>
      <x:c r="T149" s="110" t="n">
        <x:f>O149+P149+Q149+S149-R149</x:f>
        <x:v>10</x:v>
      </x:c>
      <x:c r="U149" s="110" t="inlineStr">
        <x:is>
          <x:t xml:space="preserve">Verify reports before amplifying; avoid panic wording.</x:t>
        </x:is>
      </x:c>
      <x:c r="V149" s="110" t="inlineStr">
        <x:is>
          <x:t xml:space="preserve">Cut into a 15-sec hook, a Story poll and a carousel slide if it gets saves/comments.</x:t>
        </x:is>
      </x:c>
    </x:row>
    <x:row r="150" ht="58" customHeight="1">
      <x:c r="A150" s="117" t="n">
        <x:v>146</x:v>
      </x:c>
      <x:c r="B150" s="117" t="inlineStr">
        <x:is>
          <x:t xml:space="preserve">Debate / Mythbusters</x:t>
        </x:is>
      </x:c>
      <x:c r="C150" s="117" t="inlineStr">
        <x:is>
          <x:t xml:space="preserve">Road alerts</x:t>
        </x:is>
      </x:c>
      <x:c r="D150" s="117" t="inlineStr">
        <x:is>
          <x:t xml:space="preserve">Road Mythbusters</x:t>
        </x:is>
      </x:c>
      <x:c r="E150" s="117" t="inlineStr">
        <x:is>
          <x:t xml:space="preserve">Long-distance driver</x:t>
        </x:is>
      </x:c>
      <x:c r="F150" s="117" t="inlineStr">
        <x:is>
          <x:t xml:space="preserve">Engagement</x:t>
        </x:is>
      </x:c>
      <x:c r="G150" s="117" t="inlineStr">
        <x:is>
          <x:t xml:space="preserve">Short-form video</x:t>
        </x:is>
      </x:c>
      <x:c r="H150" s="117" t="inlineStr">
        <x:is>
          <x:t xml:space="preserve">Hot take: community road reports are useful only when they are verified..</x:t>
        </x:is>
      </x:c>
      <x:c r="I150" s="117" t="inlineStr">
        <x:is>
          <x:t xml:space="preserve">Claim vs reality split screen; road hazard B-roll.</x:t>
        </x:is>
      </x:c>
      <x:c r="J150" s="117" t="inlineStr">
        <x:is>
          <x:t xml:space="preserve">Controlled comments and debate.</x:t>
        </x:is>
      </x:c>
      <x:c r="K150" s="117" t="inlineStr">
        <x:is>
          <x:t xml:space="preserve">Use the story to show unexpected road changes and delayed information and end with one practical takeaway.</x:t>
        </x:is>
      </x:c>
      <x:c r="L150" s="117" t="inlineStr">
        <x:is>
          <x:t xml:space="preserve">Open Msafiri before you start your route.</x:t>
        </x:is>
      </x:c>
      <x:c r="M150" s="117" t="inlineStr">
        <x:is>
          <x:t xml:space="preserve">road hazard B-roll; captions; app screen-record; branded end card</x:t>
        </x:is>
      </x:c>
      <x:c r="N150" s="117" t="inlineStr">
        <x:is>
          <x:t xml:space="preserve">High</x:t>
        </x:is>
      </x:c>
      <x:c r="O150" s="117" t="n">
        <x:v>4</x:v>
      </x:c>
      <x:c r="P150" s="117" t="n">
        <x:v>4</x:v>
      </x:c>
      <x:c r="Q150" s="117" t="n">
        <x:v>3</x:v>
      </x:c>
      <x:c r="R150" s="117" t="n">
        <x:v>3</x:v>
      </x:c>
      <x:c r="S150" s="117" t="n">
        <x:v>2</x:v>
      </x:c>
      <x:c r="T150" s="117" t="n">
        <x:f>O150+P150+Q150+S150-R150</x:f>
        <x:v>10</x:v>
      </x:c>
      <x:c r="U150" s="117" t="inlineStr">
        <x:is>
          <x:t xml:space="preserve">Verify reports before amplifying; avoid panic wording.</x:t>
        </x:is>
      </x:c>
      <x:c r="V150" s="117" t="inlineStr">
        <x:is>
          <x:t xml:space="preserve">Cut into a 15-sec hook, a Story poll and a carousel slide if it gets saves/comments.</x:t>
        </x:is>
      </x:c>
    </x:row>
    <x:row r="151" ht="58" customHeight="1">
      <x:c r="A151" s="110" t="n">
        <x:v>147</x:v>
      </x:c>
      <x:c r="B151" s="110" t="inlineStr">
        <x:is>
          <x:t xml:space="preserve">Community / UGC</x:t>
        </x:is>
      </x:c>
      <x:c r="C151" s="110" t="inlineStr">
        <x:is>
          <x:t xml:space="preserve">Road alerts</x:t>
        </x:is>
      </x:c>
      <x:c r="D151" s="110" t="inlineStr">
        <x:is>
          <x:t xml:space="preserve">Ask a Kenyan Driver</x:t>
        </x:is>
      </x:c>
      <x:c r="E151" s="110" t="inlineStr">
        <x:is>
          <x:t xml:space="preserve">Family driver</x:t>
        </x:is>
      </x:c>
      <x:c r="F151" s="110" t="inlineStr">
        <x:is>
          <x:t xml:space="preserve">Community</x:t>
        </x:is>
      </x:c>
      <x:c r="G151" s="110" t="inlineStr">
        <x:is>
          <x:t xml:space="preserve">Street Interview</x:t>
        </x:is>
      </x:c>
      <x:c r="H151" s="110" t="inlineStr">
        <x:is>
          <x:t xml:space="preserve">We asked drivers: which road changes without warning?</x:t>
        </x:is>
      </x:c>
      <x:c r="I151" s="110" t="inlineStr">
        <x:is>
          <x:t xml:space="preserve">Street answers + subtitle template; route overlay.</x:t>
        </x:is>
      </x:c>
      <x:c r="J151" s="110" t="inlineStr">
        <x:is>
          <x:t xml:space="preserve">Community stories and future ideas.</x:t>
        </x:is>
      </x:c>
      <x:c r="K151" s="110" t="inlineStr">
        <x:is>
          <x:t xml:space="preserve">Use the story to show unexpected road changes and delayed information and end with one practical takeaway.</x:t>
        </x:is>
      </x:c>
      <x:c r="L151" s="110" t="inlineStr">
        <x:is>
          <x:t xml:space="preserve">Open Msafiri before you start your route.</x:t>
        </x:is>
      </x:c>
      <x:c r="M151" s="110" t="inlineStr">
        <x:is>
          <x:t xml:space="preserve">route overlay; captions; app screen-record; branded end card</x:t>
        </x:is>
      </x:c>
      <x:c r="N151" s="110" t="inlineStr">
        <x:is>
          <x:t xml:space="preserve">Low</x:t>
        </x:is>
      </x:c>
      <x:c r="O151" s="110" t="n">
        <x:v>3</x:v>
      </x:c>
      <x:c r="P151" s="110" t="n">
        <x:v>4</x:v>
      </x:c>
      <x:c r="Q151" s="110" t="n">
        <x:v>3</x:v>
      </x:c>
      <x:c r="R151" s="110" t="n">
        <x:v>1</x:v>
      </x:c>
      <x:c r="S151" s="110" t="n">
        <x:v>2</x:v>
      </x:c>
      <x:c r="T151" s="110" t="n">
        <x:f>O151+P151+Q151+S151-R151</x:f>
        <x:v>11</x:v>
      </x:c>
      <x:c r="U151" s="110" t="inlineStr">
        <x:is>
          <x:t xml:space="preserve">Verify reports before amplifying; avoid panic wording.</x:t>
        </x:is>
      </x:c>
      <x:c r="V151" s="110" t="inlineStr">
        <x:is>
          <x:t xml:space="preserve">Turn best responses into Comment-to-Video and add to next week’s road-check queue.</x:t>
        </x:is>
      </x:c>
    </x:row>
    <x:row r="152" ht="58" customHeight="1">
      <x:c r="A152" s="117" t="n">
        <x:v>148</x:v>
      </x:c>
      <x:c r="B152" s="117" t="inlineStr">
        <x:is>
          <x:t xml:space="preserve">Accident Readiness</x:t>
        </x:is>
      </x:c>
      <x:c r="C152" s="117" t="inlineStr">
        <x:is>
          <x:t xml:space="preserve">Road alerts</x:t>
        </x:is>
      </x:c>
      <x:c r="D152" s="117" t="inlineStr">
        <x:is>
          <x:t xml:space="preserve">Would You Know What To Do?</x:t>
        </x:is>
      </x:c>
      <x:c r="E152" s="117" t="inlineStr">
        <x:is>
          <x:t xml:space="preserve">Professional driver</x:t>
        </x:is>
      </x:c>
      <x:c r="F152" s="117" t="inlineStr">
        <x:is>
          <x:t xml:space="preserve">Trust</x:t>
        </x:is>
      </x:c>
      <x:c r="G152" s="117" t="inlineStr">
        <x:is>
          <x:t xml:space="preserve">Short-form video</x:t>
        </x:is>
      </x:c>
      <x:c r="H152" s="117" t="inlineStr">
        <x:is>
          <x:t xml:space="preserve">If this happened today, would you know what to do first?</x:t>
        </x:is>
      </x:c>
      <x:c r="I152" s="117" t="inlineStr">
        <x:is>
          <x:t xml:space="preserve">Scenario roleplay + checklist; community report card.</x:t>
        </x:is>
      </x:c>
      <x:c r="J152" s="117" t="inlineStr">
        <x:is>
          <x:t xml:space="preserve">Preparedness without fear.</x:t>
        </x:is>
      </x:c>
      <x:c r="K152" s="117" t="inlineStr">
        <x:is>
          <x:t xml:space="preserve">Use the story to show unexpected road changes and delayed information and end with one practical takeaway.</x:t>
        </x:is>
      </x:c>
      <x:c r="L152" s="117" t="inlineStr">
        <x:is>
          <x:t xml:space="preserve">Open Msafiri before you start your route.</x:t>
        </x:is>
      </x:c>
      <x:c r="M152" s="117" t="inlineStr">
        <x:is>
          <x:t xml:space="preserve">community report card; captions; app screen-record; branded end card</x:t>
        </x:is>
      </x:c>
      <x:c r="N152" s="117" t="inlineStr">
        <x:is>
          <x:t xml:space="preserve">Medium</x:t>
        </x:is>
      </x:c>
      <x:c r="O152" s="117" t="n">
        <x:v>3</x:v>
      </x:c>
      <x:c r="P152" s="117" t="n">
        <x:v>5</x:v>
      </x:c>
      <x:c r="Q152" s="117" t="n">
        <x:v>3</x:v>
      </x:c>
      <x:c r="R152" s="117" t="n">
        <x:v>2</x:v>
      </x:c>
      <x:c r="S152" s="117" t="n">
        <x:v>2</x:v>
      </x:c>
      <x:c r="T152" s="117" t="n">
        <x:f>O152+P152+Q152+S152-R152</x:f>
        <x:v>11</x:v>
      </x:c>
      <x:c r="U152" s="117" t="inlineStr">
        <x:is>
          <x:t xml:space="preserve">Verify reports before amplifying; avoid panic wording.</x:t>
        </x:is>
      </x:c>
      <x:c r="V152" s="117" t="inlineStr">
        <x:is>
          <x:t xml:space="preserve">Cut into a 15-sec hook, a Story poll and a carousel slide if it gets saves/comments.</x:t>
        </x:is>
      </x:c>
    </x:row>
    <x:row r="153" ht="58" customHeight="1">
      <x:c r="A153" s="110" t="n">
        <x:v>149</x:v>
      </x:c>
      <x:c r="B153" s="110" t="inlineStr">
        <x:is>
          <x:t xml:space="preserve">Product / Feature Proof</x:t>
        </x:is>
      </x:c>
      <x:c r="C153" s="110" t="inlineStr">
        <x:is>
          <x:t xml:space="preserve">Road alerts</x:t>
        </x:is>
      </x:c>
      <x:c r="D153" s="110" t="inlineStr">
        <x:is>
          <x:t xml:space="preserve">Can Msafiri Do This?</x:t>
        </x:is>
      </x:c>
      <x:c r="E153" s="110" t="inlineStr">
        <x:is>
          <x:t xml:space="preserve">Daily Nairobi commuter</x:t>
        </x:is>
      </x:c>
      <x:c r="F153" s="110" t="inlineStr">
        <x:is>
          <x:t xml:space="preserve">Feature Discovery</x:t>
        </x:is>
      </x:c>
      <x:c r="G153" s="110" t="inlineStr">
        <x:is>
          <x:t xml:space="preserve">Short-form video</x:t>
        </x:is>
      </x:c>
      <x:c r="H153" s="110" t="inlineStr">
        <x:is>
          <x:t xml:space="preserve">Can Msafiri help when unexpected road changes and delayed information? Let’s test it.</x:t>
        </x:is>
      </x:c>
      <x:c r="I153" s="110" t="inlineStr">
        <x:is>
          <x:t xml:space="preserve">Live test with timer; before/after route choice.</x:t>
        </x:is>
      </x:c>
      <x:c r="J153" s="110" t="inlineStr">
        <x:is>
          <x:t xml:space="preserve">Proof through demonstration.</x:t>
        </x:is>
      </x:c>
      <x:c r="K153" s="110" t="inlineStr">
        <x:is>
          <x:t xml:space="preserve">Use the story to show unexpected road changes and delayed information and end with one practical takeaway.</x:t>
        </x:is>
      </x:c>
      <x:c r="L153" s="110" t="inlineStr">
        <x:is>
          <x:t xml:space="preserve">Open Msafiri before you start your route.</x:t>
        </x:is>
      </x:c>
      <x:c r="M153" s="110" t="inlineStr">
        <x:is>
          <x:t xml:space="preserve">before/after route choice; captions; app screen-record; branded end card</x:t>
        </x:is>
      </x:c>
      <x:c r="N153" s="110" t="inlineStr">
        <x:is>
          <x:t xml:space="preserve">High</x:t>
        </x:is>
      </x:c>
      <x:c r="O153" s="110" t="n">
        <x:v>3</x:v>
      </x:c>
      <x:c r="P153" s="110" t="n">
        <x:v>4</x:v>
      </x:c>
      <x:c r="Q153" s="110" t="n">
        <x:v>5</x:v>
      </x:c>
      <x:c r="R153" s="110" t="n">
        <x:v>3</x:v>
      </x:c>
      <x:c r="S153" s="110" t="n">
        <x:v>2</x:v>
      </x:c>
      <x:c r="T153" s="110" t="n">
        <x:f>O153+P153+Q153+S153-R153</x:f>
        <x:v>11</x:v>
      </x:c>
      <x:c r="U153" s="110" t="inlineStr">
        <x:is>
          <x:t xml:space="preserve">Verify reports before amplifying; avoid panic wording.</x:t>
        </x:is>
      </x:c>
      <x:c r="V153" s="110" t="inlineStr">
        <x:is>
          <x:t xml:space="preserve">Cut into a 15-sec hook, a Story poll and a carousel slide if it gets saves/comments.</x:t>
        </x:is>
      </x:c>
    </x:row>
    <x:row r="154" ht="58" customHeight="1">
      <x:c r="A154" s="117" t="n">
        <x:v>150</x:v>
      </x:c>
      <x:c r="B154" s="117" t="inlineStr">
        <x:is>
          <x:t xml:space="preserve">Road Intelligence</x:t>
        </x:is>
      </x:c>
      <x:c r="C154" s="117" t="inlineStr">
        <x:is>
          <x:t xml:space="preserve">Road alerts</x:t>
        </x:is>
      </x:c>
      <x:c r="D154" s="117" t="inlineStr">
        <x:is>
          <x:t xml:space="preserve">Road Trip POV</x:t>
        </x:is>
      </x:c>
      <x:c r="E154" s="117" t="inlineStr">
        <x:is>
          <x:t xml:space="preserve">Long-distance driver</x:t>
        </x:is>
      </x:c>
      <x:c r="F154" s="117" t="inlineStr">
        <x:is>
          <x:t xml:space="preserve">Awareness</x:t>
        </x:is>
      </x:c>
      <x:c r="G154" s="117" t="inlineStr">
        <x:is>
          <x:t xml:space="preserve">Hero / Reel</x:t>
        </x:is>
      </x:c>
      <x:c r="H154" s="117" t="inlineStr">
        <x:is>
          <x:t xml:space="preserve">A calm drive is not luck — watch how we planned a weekday commute.</x:t>
        </x:is>
      </x:c>
      <x:c r="I154" s="117" t="inlineStr">
        <x:is>
          <x:t xml:space="preserve">Cinematic POV + UI moments; weather/visibility shot.</x:t>
        </x:is>
      </x:c>
      <x:c r="J154" s="117" t="inlineStr">
        <x:is>
          <x:t xml:space="preserve">Aspirational practical brand feel.</x:t>
        </x:is>
      </x:c>
      <x:c r="K154" s="117" t="inlineStr">
        <x:is>
          <x:t xml:space="preserve">Use the story to show unexpected road changes and delayed information and end with one practical takeaway.</x:t>
        </x:is>
      </x:c>
      <x:c r="L154" s="117" t="inlineStr">
        <x:is>
          <x:t xml:space="preserve">Open Msafiri before you start your route.</x:t>
        </x:is>
      </x:c>
      <x:c r="M154" s="117" t="inlineStr">
        <x:is>
          <x:t xml:space="preserve">weather/visibility shot; captions; app screen-record; branded end card</x:t>
        </x:is>
      </x:c>
      <x:c r="N154" s="117" t="inlineStr">
        <x:is>
          <x:t xml:space="preserve">Low</x:t>
        </x:is>
      </x:c>
      <x:c r="O154" s="117" t="n">
        <x:v>3</x:v>
      </x:c>
      <x:c r="P154" s="117" t="n">
        <x:v>5</x:v>
      </x:c>
      <x:c r="Q154" s="117" t="n">
        <x:v>3</x:v>
      </x:c>
      <x:c r="R154" s="117" t="n">
        <x:v>1</x:v>
      </x:c>
      <x:c r="S154" s="117" t="n">
        <x:v>3</x:v>
      </x:c>
      <x:c r="T154" s="117" t="n">
        <x:f>O154+P154+Q154+S154-R154</x:f>
        <x:v>13</x:v>
      </x:c>
      <x:c r="U154" s="117" t="inlineStr">
        <x:is>
          <x:t xml:space="preserve">Verify reports before amplifying; avoid panic wording.</x:t>
        </x:is>
      </x:c>
      <x:c r="V154" s="117" t="inlineStr">
        <x:is>
          <x:t xml:space="preserve">Cut into a 15-sec hook, a Story poll and a carousel slide if it gets saves/comments.</x:t>
        </x:is>
      </x:c>
    </x:row>
    <x:row r="155" ht="58" customHeight="1">
      <x:c r="A155" s="110" t="n">
        <x:v>151</x:v>
      </x:c>
      <x:c r="B155" s="110" t="inlineStr">
        <x:is>
          <x:t xml:space="preserve">Education / Safety</x:t>
        </x:is>
      </x:c>
      <x:c r="C155" s="110" t="inlineStr">
        <x:is>
          <x:t xml:space="preserve">Road alerts</x:t>
        </x:is>
      </x:c>
      <x:c r="D155" s="110" t="inlineStr">
        <x:is>
          <x:t xml:space="preserve">One Minute Road Safety</x:t>
        </x:is>
      </x:c>
      <x:c r="E155" s="110" t="inlineStr">
        <x:is>
          <x:t xml:space="preserve">Family driver</x:t>
        </x:is>
      </x:c>
      <x:c r="F155" s="110" t="inlineStr">
        <x:is>
          <x:t xml:space="preserve">Retention</x:t>
        </x:is>
      </x:c>
      <x:c r="G155" s="110" t="inlineStr">
        <x:is>
          <x:t xml:space="preserve">Checklist Reel</x:t>
        </x:is>
      </x:c>
      <x:c r="H155" s="110" t="inlineStr">
        <x:is>
          <x:t xml:space="preserve">One minute road safety: road alerts edition.</x:t>
        </x:is>
      </x:c>
      <x:c r="I155" s="110" t="inlineStr">
        <x:is>
          <x:t xml:space="preserve">One tip per beat; road hazard B-roll.</x:t>
        </x:is>
      </x:c>
      <x:c r="J155" s="110" t="inlineStr">
        <x:is>
          <x:t xml:space="preserve">Quick knowledge people can use.</x:t>
        </x:is>
      </x:c>
      <x:c r="K155" s="110" t="inlineStr">
        <x:is>
          <x:t xml:space="preserve">Use the story to show unexpected road changes and delayed information and end with one practical takeaway.</x:t>
        </x:is>
      </x:c>
      <x:c r="L155" s="110" t="inlineStr">
        <x:is>
          <x:t xml:space="preserve">Open Msafiri before you start your route.</x:t>
        </x:is>
      </x:c>
      <x:c r="M155" s="110" t="inlineStr">
        <x:is>
          <x:t xml:space="preserve">road hazard B-roll; captions; app screen-record; branded end card</x:t>
        </x:is>
      </x:c>
      <x:c r="N155" s="110" t="inlineStr">
        <x:is>
          <x:t xml:space="preserve">Medium</x:t>
        </x:is>
      </x:c>
      <x:c r="O155" s="110" t="n">
        <x:v>3</x:v>
      </x:c>
      <x:c r="P155" s="110" t="n">
        <x:v>5</x:v>
      </x:c>
      <x:c r="Q155" s="110" t="n">
        <x:v>3</x:v>
      </x:c>
      <x:c r="R155" s="110" t="n">
        <x:v>2</x:v>
      </x:c>
      <x:c r="S155" s="110" t="n">
        <x:v>2</x:v>
      </x:c>
      <x:c r="T155" s="110" t="n">
        <x:f>O155+P155+Q155+S155-R155</x:f>
        <x:v>11</x:v>
      </x:c>
      <x:c r="U155" s="110" t="inlineStr">
        <x:is>
          <x:t xml:space="preserve">Verify reports before amplifying; avoid panic wording.</x:t>
        </x:is>
      </x:c>
      <x:c r="V155" s="110" t="inlineStr">
        <x:is>
          <x:t xml:space="preserve">Cut into a 15-sec hook, a Story poll and a carousel slide if it gets saves/comments.</x:t>
        </x:is>
      </x:c>
    </x:row>
    <x:row r="156" ht="58" customHeight="1">
      <x:c r="A156" s="117" t="n">
        <x:v>152</x:v>
      </x:c>
      <x:c r="B156" s="117" t="inlineStr">
        <x:is>
          <x:t xml:space="preserve">Founder / BTS</x:t>
        </x:is>
      </x:c>
      <x:c r="C156" s="117" t="inlineStr">
        <x:is>
          <x:t xml:space="preserve">Road alerts</x:t>
        </x:is>
      </x:c>
      <x:c r="D156" s="117" t="inlineStr">
        <x:is>
          <x:t xml:space="preserve">Build With Peter</x:t>
        </x:is>
      </x:c>
      <x:c r="E156" s="117" t="inlineStr">
        <x:is>
          <x:t xml:space="preserve">Professional driver</x:t>
        </x:is>
      </x:c>
      <x:c r="F156" s="117" t="inlineStr">
        <x:is>
          <x:t xml:space="preserve">Trust</x:t>
        </x:is>
      </x:c>
      <x:c r="G156" s="117" t="inlineStr">
        <x:is>
          <x:t xml:space="preserve">Founder-to-camera</x:t>
        </x:is>
      </x:c>
      <x:c r="H156" s="117" t="inlineStr">
        <x:is>
          <x:t xml:space="preserve">The product decision we almost got wrong with road alerts.</x:t>
        </x:is>
      </x:c>
      <x:c r="I156" s="117" t="inlineStr">
        <x:is>
          <x:t xml:space="preserve">Peter + notes + app prototype; route overlay.</x:t>
        </x:is>
      </x:c>
      <x:c r="J156" s="117" t="inlineStr">
        <x:is>
          <x:t xml:space="preserve">Humanizing the build process.</x:t>
        </x:is>
      </x:c>
      <x:c r="K156" s="117" t="inlineStr">
        <x:is>
          <x:t xml:space="preserve">Use the story to show unexpected road changes and delayed information and end with one practical takeaway.</x:t>
        </x:is>
      </x:c>
      <x:c r="L156" s="117" t="inlineStr">
        <x:is>
          <x:t xml:space="preserve">Open Msafiri before you start your route.</x:t>
        </x:is>
      </x:c>
      <x:c r="M156" s="117" t="inlineStr">
        <x:is>
          <x:t xml:space="preserve">route overlay; captions; app screen-record; branded end card</x:t>
        </x:is>
      </x:c>
      <x:c r="N156" s="117" t="inlineStr">
        <x:is>
          <x:t xml:space="preserve">High</x:t>
        </x:is>
      </x:c>
      <x:c r="O156" s="117" t="n">
        <x:v>3</x:v>
      </x:c>
      <x:c r="P156" s="117" t="n">
        <x:v>4</x:v>
      </x:c>
      <x:c r="Q156" s="117" t="n">
        <x:v>3</x:v>
      </x:c>
      <x:c r="R156" s="117" t="n">
        <x:v>3</x:v>
      </x:c>
      <x:c r="S156" s="117" t="n">
        <x:v>2</x:v>
      </x:c>
      <x:c r="T156" s="117" t="n">
        <x:f>O156+P156+Q156+S156-R156</x:f>
        <x:v>9</x:v>
      </x:c>
      <x:c r="U156" s="117" t="inlineStr">
        <x:is>
          <x:t xml:space="preserve">Verify reports before amplifying; avoid panic wording.</x:t>
        </x:is>
      </x:c>
      <x:c r="V156" s="117" t="inlineStr">
        <x:is>
          <x:t xml:space="preserve">Cut into a 15-sec hook, a Story poll and a carousel slide if it gets saves/comments.</x:t>
        </x:is>
      </x:c>
    </x:row>
    <x:row r="157" ht="58" customHeight="1">
      <x:c r="A157" s="110" t="n">
        <x:v>153</x:v>
      </x:c>
      <x:c r="B157" s="110" t="inlineStr">
        <x:is>
          <x:t xml:space="preserve">Community / UGC</x:t>
        </x:is>
      </x:c>
      <x:c r="C157" s="110" t="inlineStr">
        <x:is>
          <x:t xml:space="preserve">Road alerts</x:t>
        </x:is>
      </x:c>
      <x:c r="D157" s="110" t="inlineStr">
        <x:is>
          <x:t xml:space="preserve">Comment-to-Video</x:t>
        </x:is>
      </x:c>
      <x:c r="E157" s="110" t="inlineStr">
        <x:is>
          <x:t xml:space="preserve">Daily Nairobi commuter</x:t>
        </x:is>
      </x:c>
      <x:c r="F157" s="110" t="inlineStr">
        <x:is>
          <x:t xml:space="preserve">Community</x:t>
        </x:is>
      </x:c>
      <x:c r="G157" s="110" t="inlineStr">
        <x:is>
          <x:t xml:space="preserve">Community Reply</x:t>
        </x:is>
      </x:c>
      <x:c r="H157" s="110" t="inlineStr">
        <x:is>
          <x:t xml:space="preserve">A follower asked about unexpected road changes and delayed information; here is the practical answer.</x:t>
        </x:is>
      </x:c>
      <x:c r="I157" s="110" t="inlineStr">
        <x:is>
          <x:t xml:space="preserve">Comment sticker + direct answer; community report card.</x:t>
        </x:is>
      </x:c>
      <x:c r="J157" s="110" t="inlineStr">
        <x:is>
          <x:t xml:space="preserve">Reward comments and build trust.</x:t>
        </x:is>
      </x:c>
      <x:c r="K157" s="110" t="inlineStr">
        <x:is>
          <x:t xml:space="preserve">Use the story to show unexpected road changes and delayed information and end with one practical takeaway.</x:t>
        </x:is>
      </x:c>
      <x:c r="L157" s="110" t="inlineStr">
        <x:is>
          <x:t xml:space="preserve">Open Msafiri before you start your route.</x:t>
        </x:is>
      </x:c>
      <x:c r="M157" s="110" t="inlineStr">
        <x:is>
          <x:t xml:space="preserve">community report card; captions; app screen-record; branded end card</x:t>
        </x:is>
      </x:c>
      <x:c r="N157" s="110" t="inlineStr">
        <x:is>
          <x:t xml:space="preserve">Low</x:t>
        </x:is>
      </x:c>
      <x:c r="O157" s="110" t="n">
        <x:v>3</x:v>
      </x:c>
      <x:c r="P157" s="110" t="n">
        <x:v>4</x:v>
      </x:c>
      <x:c r="Q157" s="110" t="n">
        <x:v>3</x:v>
      </x:c>
      <x:c r="R157" s="110" t="n">
        <x:v>1</x:v>
      </x:c>
      <x:c r="S157" s="110" t="n">
        <x:v>2</x:v>
      </x:c>
      <x:c r="T157" s="110" t="n">
        <x:f>O157+P157+Q157+S157-R157</x:f>
        <x:v>11</x:v>
      </x:c>
      <x:c r="U157" s="110" t="inlineStr">
        <x:is>
          <x:t xml:space="preserve">Verify reports before amplifying; avoid panic wording.</x:t>
        </x:is>
      </x:c>
      <x:c r="V157" s="110" t="inlineStr">
        <x:is>
          <x:t xml:space="preserve">Cut into a 15-sec hook, a Story poll and a carousel slide if it gets saves/comments.</x:t>
        </x:is>
      </x:c>
    </x:row>
    <x:row r="158" ht="58" customHeight="1">
      <x:c r="A158" s="117" t="n">
        <x:v>154</x:v>
      </x:c>
      <x:c r="B158" s="117" t="inlineStr">
        <x:is>
          <x:t xml:space="preserve">Kenyan Driving Reality</x:t>
        </x:is>
      </x:c>
      <x:c r="C158" s="117" t="inlineStr">
        <x:is>
          <x:t xml:space="preserve">Road alerts</x:t>
        </x:is>
      </x:c>
      <x:c r="D158" s="117" t="inlineStr">
        <x:is>
          <x:t xml:space="preserve">Driver Confessions</x:t>
        </x:is>
      </x:c>
      <x:c r="E158" s="117" t="inlineStr">
        <x:is>
          <x:t xml:space="preserve">Long-distance driver</x:t>
        </x:is>
      </x:c>
      <x:c r="F158" s="117" t="inlineStr">
        <x:is>
          <x:t xml:space="preserve">Engagement</x:t>
        </x:is>
      </x:c>
      <x:c r="G158" s="117" t="inlineStr">
        <x:is>
          <x:t xml:space="preserve">Street Interview</x:t>
        </x:is>
      </x:c>
      <x:c r="H158" s="117" t="inlineStr">
        <x:is>
          <x:t xml:space="preserve">Confession time: what is the one driving mistake you learned from?</x:t>
        </x:is>
      </x:c>
      <x:c r="I158" s="117" t="inlineStr">
        <x:is>
          <x:t xml:space="preserve">Anonymous driver confession; before/after route choice.</x:t>
        </x:is>
      </x:c>
      <x:c r="J158" s="117" t="inlineStr">
        <x:is>
          <x:t xml:space="preserve">Relatable vulnerability.</x:t>
        </x:is>
      </x:c>
      <x:c r="K158" s="117" t="inlineStr">
        <x:is>
          <x:t xml:space="preserve">Use the story to show unexpected road changes and delayed information and end with one practical takeaway.</x:t>
        </x:is>
      </x:c>
      <x:c r="L158" s="117" t="inlineStr">
        <x:is>
          <x:t xml:space="preserve">Open Msafiri before you start your route.</x:t>
        </x:is>
      </x:c>
      <x:c r="M158" s="117" t="inlineStr">
        <x:is>
          <x:t xml:space="preserve">before/after route choice; captions; app screen-record; branded end card</x:t>
        </x:is>
      </x:c>
      <x:c r="N158" s="117" t="inlineStr">
        <x:is>
          <x:t xml:space="preserve">Medium</x:t>
        </x:is>
      </x:c>
      <x:c r="O158" s="117" t="n">
        <x:v>4</x:v>
      </x:c>
      <x:c r="P158" s="117" t="n">
        <x:v>4</x:v>
      </x:c>
      <x:c r="Q158" s="117" t="n">
        <x:v>3</x:v>
      </x:c>
      <x:c r="R158" s="117" t="n">
        <x:v>2</x:v>
      </x:c>
      <x:c r="S158" s="117" t="n">
        <x:v>2</x:v>
      </x:c>
      <x:c r="T158" s="117" t="n">
        <x:f>O158+P158+Q158+S158-R158</x:f>
        <x:v>11</x:v>
      </x:c>
      <x:c r="U158" s="117" t="inlineStr">
        <x:is>
          <x:t xml:space="preserve">Verify reports before amplifying; avoid panic wording.</x:t>
        </x:is>
      </x:c>
      <x:c r="V158" s="117" t="inlineStr">
        <x:is>
          <x:t xml:space="preserve">Turn best responses into Comment-to-Video and add to next week’s road-check queue.</x:t>
        </x:is>
      </x:c>
    </x:row>
    <x:row r="159" ht="58" customHeight="1">
      <x:c r="A159" s="110" t="n">
        <x:v>155</x:v>
      </x:c>
      <x:c r="B159" s="110" t="inlineStr">
        <x:is>
          <x:t xml:space="preserve">Product / Feature Proof</x:t>
        </x:is>
      </x:c>
      <x:c r="C159" s="110" t="inlineStr">
        <x:is>
          <x:t xml:space="preserve">Road alerts</x:t>
        </x:is>
      </x:c>
      <x:c r="D159" s="110" t="inlineStr">
        <x:is>
          <x:t xml:space="preserve">Before / After</x:t>
        </x:is>
      </x:c>
      <x:c r="E159" s="110" t="inlineStr">
        <x:is>
          <x:t xml:space="preserve">Family driver</x:t>
        </x:is>
      </x:c>
      <x:c r="F159" s="110" t="inlineStr">
        <x:is>
          <x:t xml:space="preserve">Conversion</x:t>
        </x:is>
      </x:c>
      <x:c r="G159" s="110" t="inlineStr">
        <x:is>
          <x:t xml:space="preserve">Short-form video</x:t>
        </x:is>
      </x:c>
      <x:c r="H159" s="110" t="inlineStr">
        <x:is>
          <x:t xml:space="preserve">Before Msafiri vs after Msafiri when unexpected road changes and delayed information.</x:t>
        </x:is>
      </x:c>
      <x:c r="I159" s="110" t="inlineStr">
        <x:is>
          <x:t xml:space="preserve">Two-act split screen; weather/visibility shot.</x:t>
        </x:is>
      </x:c>
      <x:c r="J159" s="110" t="inlineStr">
        <x:is>
          <x:t xml:space="preserve">A clear reason to try.</x:t>
        </x:is>
      </x:c>
      <x:c r="K159" s="110" t="inlineStr">
        <x:is>
          <x:t xml:space="preserve">Use the story to show unexpected road changes and delayed information and end with one practical takeaway.</x:t>
        </x:is>
      </x:c>
      <x:c r="L159" s="110" t="inlineStr">
        <x:is>
          <x:t xml:space="preserve">Open Msafiri before you start your route.</x:t>
        </x:is>
      </x:c>
      <x:c r="M159" s="110" t="inlineStr">
        <x:is>
          <x:t xml:space="preserve">weather/visibility shot; captions; app screen-record; branded end card</x:t>
        </x:is>
      </x:c>
      <x:c r="N159" s="110" t="inlineStr">
        <x:is>
          <x:t xml:space="preserve">High</x:t>
        </x:is>
      </x:c>
      <x:c r="O159" s="110" t="n">
        <x:v>3</x:v>
      </x:c>
      <x:c r="P159" s="110" t="n">
        <x:v>4</x:v>
      </x:c>
      <x:c r="Q159" s="110" t="n">
        <x:v>5</x:v>
      </x:c>
      <x:c r="R159" s="110" t="n">
        <x:v>3</x:v>
      </x:c>
      <x:c r="S159" s="110" t="n">
        <x:v>2</x:v>
      </x:c>
      <x:c r="T159" s="110" t="n">
        <x:f>O159+P159+Q159+S159-R159</x:f>
        <x:v>11</x:v>
      </x:c>
      <x:c r="U159" s="110" t="inlineStr">
        <x:is>
          <x:t xml:space="preserve">Verify reports before amplifying; avoid panic wording.</x:t>
        </x:is>
      </x:c>
      <x:c r="V159" s="110" t="inlineStr">
        <x:is>
          <x:t xml:space="preserve">Cut into a 15-sec hook, a Story poll and a carousel slide if it gets saves/comments.</x:t>
        </x:is>
      </x:c>
    </x:row>
    <x:row r="160" ht="58" customHeight="1">
      <x:c r="A160" s="117" t="n">
        <x:v>156</x:v>
      </x:c>
      <x:c r="B160" s="117" t="inlineStr">
        <x:is>
          <x:t xml:space="preserve">Seasonal Campaign</x:t>
        </x:is>
      </x:c>
      <x:c r="C160" s="117" t="inlineStr">
        <x:is>
          <x:t xml:space="preserve">Road alerts</x:t>
        </x:is>
      </x:c>
      <x:c r="D160" s="117" t="inlineStr">
        <x:is>
          <x:t xml:space="preserve">Holiday Road Prep</x:t>
        </x:is>
      </x:c>
      <x:c r="E160" s="117" t="inlineStr">
        <x:is>
          <x:t xml:space="preserve">Professional driver</x:t>
        </x:is>
      </x:c>
      <x:c r="F160" s="117" t="inlineStr">
        <x:is>
          <x:t xml:space="preserve">Awareness</x:t>
        </x:is>
      </x:c>
      <x:c r="G160" s="117" t="inlineStr">
        <x:is>
          <x:t xml:space="preserve">Checklist Reel</x:t>
        </x:is>
      </x:c>
      <x:c r="H160" s="117" t="inlineStr">
        <x:is>
          <x:t xml:space="preserve">Holiday drive coming up? Do not leave before checking this.</x:t>
        </x:is>
      </x:c>
      <x:c r="I160" s="117" t="inlineStr">
        <x:is>
          <x:t xml:space="preserve">Packing + car + phone mount; road hazard B-roll.</x:t>
        </x:is>
      </x:c>
      <x:c r="J160" s="117" t="inlineStr">
        <x:is>
          <x:t xml:space="preserve">Seasonal urgency.</x:t>
        </x:is>
      </x:c>
      <x:c r="K160" s="117" t="inlineStr">
        <x:is>
          <x:t xml:space="preserve">Use the story to show unexpected road changes and delayed information and end with one practical takeaway.</x:t>
        </x:is>
      </x:c>
      <x:c r="L160" s="117" t="inlineStr">
        <x:is>
          <x:t xml:space="preserve">Open Msafiri before you start your route.</x:t>
        </x:is>
      </x:c>
      <x:c r="M160" s="117" t="inlineStr">
        <x:is>
          <x:t xml:space="preserve">road hazard B-roll; captions; app screen-record; branded end card</x:t>
        </x:is>
      </x:c>
      <x:c r="N160" s="117" t="inlineStr">
        <x:is>
          <x:t xml:space="preserve">Low</x:t>
        </x:is>
      </x:c>
      <x:c r="O160" s="117" t="n">
        <x:v>4</x:v>
      </x:c>
      <x:c r="P160" s="117" t="n">
        <x:v>4</x:v>
      </x:c>
      <x:c r="Q160" s="117" t="n">
        <x:v>3</x:v>
      </x:c>
      <x:c r="R160" s="117" t="n">
        <x:v>1</x:v>
      </x:c>
      <x:c r="S160" s="117" t="n">
        <x:v>4</x:v>
      </x:c>
      <x:c r="T160" s="117" t="n">
        <x:f>O160+P160+Q160+S160-R160</x:f>
        <x:v>14</x:v>
      </x:c>
      <x:c r="U160" s="117" t="inlineStr">
        <x:is>
          <x:t xml:space="preserve">Verify reports before amplifying; avoid panic wording.</x:t>
        </x:is>
      </x:c>
      <x:c r="V160" s="117" t="inlineStr">
        <x:is>
          <x:t xml:space="preserve">Cut into a 15-sec hook, a Story poll and a carousel slide if it gets saves/comments.</x:t>
        </x:is>
      </x:c>
    </x:row>
    <x:row r="161" ht="58" customHeight="1">
      <x:c r="A161" s="110" t="n">
        <x:v>157</x:v>
      </x:c>
      <x:c r="B161" s="110" t="inlineStr">
        <x:is>
          <x:t xml:space="preserve">Education / Safety</x:t>
        </x:is>
      </x:c>
      <x:c r="C161" s="110" t="inlineStr">
        <x:is>
          <x:t xml:space="preserve">Road alerts</x:t>
        </x:is>
      </x:c>
      <x:c r="D161" s="110" t="inlineStr">
        <x:is>
          <x:t xml:space="preserve">Passenger POV</x:t>
        </x:is>
      </x:c>
      <x:c r="E161" s="110" t="inlineStr">
        <x:is>
          <x:t xml:space="preserve">Daily Nairobi commuter</x:t>
        </x:is>
      </x:c>
      <x:c r="F161" s="110" t="inlineStr">
        <x:is>
          <x:t xml:space="preserve">Community</x:t>
        </x:is>
      </x:c>
      <x:c r="G161" s="110" t="inlineStr">
        <x:is>
          <x:t xml:space="preserve">Short-form video</x:t>
        </x:is>
      </x:c>
      <x:c r="H161" s="110" t="inlineStr">
        <x:is>
          <x:t xml:space="preserve">Passenger script: how to tell the driver to slow down without starting a fight.</x:t>
        </x:is>
      </x:c>
      <x:c r="I161" s="110" t="inlineStr">
        <x:is>
          <x:t xml:space="preserve">Passenger POV + text overlay; route overlay.</x:t>
        </x:is>
      </x:c>
      <x:c r="J161" s="110" t="inlineStr">
        <x:is>
          <x:t xml:space="preserve">Safety through social behavior.</x:t>
        </x:is>
      </x:c>
      <x:c r="K161" s="110" t="inlineStr">
        <x:is>
          <x:t xml:space="preserve">Use the story to show unexpected road changes and delayed information and end with one practical takeaway.</x:t>
        </x:is>
      </x:c>
      <x:c r="L161" s="110" t="inlineStr">
        <x:is>
          <x:t xml:space="preserve">Open Msafiri before you start your route.</x:t>
        </x:is>
      </x:c>
      <x:c r="M161" s="110" t="inlineStr">
        <x:is>
          <x:t xml:space="preserve">route overlay; captions; app screen-record; branded end card</x:t>
        </x:is>
      </x:c>
      <x:c r="N161" s="110" t="inlineStr">
        <x:is>
          <x:t xml:space="preserve">Medium</x:t>
        </x:is>
      </x:c>
      <x:c r="O161" s="110" t="n">
        <x:v>3</x:v>
      </x:c>
      <x:c r="P161" s="110" t="n">
        <x:v>5</x:v>
      </x:c>
      <x:c r="Q161" s="110" t="n">
        <x:v>3</x:v>
      </x:c>
      <x:c r="R161" s="110" t="n">
        <x:v>2</x:v>
      </x:c>
      <x:c r="S161" s="110" t="n">
        <x:v>2</x:v>
      </x:c>
      <x:c r="T161" s="110" t="n">
        <x:f>O161+P161+Q161+S161-R161</x:f>
        <x:v>11</x:v>
      </x:c>
      <x:c r="U161" s="110" t="inlineStr">
        <x:is>
          <x:t xml:space="preserve">Verify reports before amplifying; avoid panic wording.</x:t>
        </x:is>
      </x:c>
      <x:c r="V161" s="110" t="inlineStr">
        <x:is>
          <x:t xml:space="preserve">Cut into a 15-sec hook, a Story poll and a carousel slide if it gets saves/comments.</x:t>
        </x:is>
      </x:c>
    </x:row>
    <x:row r="162" ht="58" customHeight="1">
      <x:c r="A162" s="117" t="n">
        <x:v>158</x:v>
      </x:c>
      <x:c r="B162" s="117" t="inlineStr">
        <x:is>
          <x:t xml:space="preserve">Product / Feature Proof</x:t>
        </x:is>
      </x:c>
      <x:c r="C162" s="117" t="inlineStr">
        <x:is>
          <x:t xml:space="preserve">Road alerts</x:t>
        </x:is>
      </x:c>
      <x:c r="D162" s="117" t="inlineStr">
        <x:is>
          <x:t xml:space="preserve">Feature FAQ</x:t>
        </x:is>
      </x:c>
      <x:c r="E162" s="117" t="inlineStr">
        <x:is>
          <x:t xml:space="preserve">Long-distance driver</x:t>
        </x:is>
      </x:c>
      <x:c r="F162" s="117" t="inlineStr">
        <x:is>
          <x:t xml:space="preserve">Feature Discovery</x:t>
        </x:is>
      </x:c>
      <x:c r="G162" s="117" t="inlineStr">
        <x:is>
          <x:t xml:space="preserve">Carousel</x:t>
        </x:is>
      </x:c>
      <x:c r="H162" s="117" t="inlineStr">
        <x:is>
          <x:t xml:space="preserve">The question people ask about road alerts, answered simply.</x:t>
        </x:is>
      </x:c>
      <x:c r="I162" s="117" t="inlineStr">
        <x:is>
          <x:t xml:space="preserve">Carousel with one answer per slide; community report card.</x:t>
        </x:is>
      </x:c>
      <x:c r="J162" s="117" t="inlineStr">
        <x:is>
          <x:t xml:space="preserve">Reduce confusion.</x:t>
        </x:is>
      </x:c>
      <x:c r="K162" s="117" t="inlineStr">
        <x:is>
          <x:t xml:space="preserve">Use the story to show unexpected road changes and delayed information and end with one practical takeaway.</x:t>
        </x:is>
      </x:c>
      <x:c r="L162" s="117" t="inlineStr">
        <x:is>
          <x:t xml:space="preserve">Open Msafiri before you start your route.</x:t>
        </x:is>
      </x:c>
      <x:c r="M162" s="117" t="inlineStr">
        <x:is>
          <x:t xml:space="preserve">community report card; captions; app screen-record; branded end card</x:t>
        </x:is>
      </x:c>
      <x:c r="N162" s="117" t="inlineStr">
        <x:is>
          <x:t xml:space="preserve">High</x:t>
        </x:is>
      </x:c>
      <x:c r="O162" s="117" t="n">
        <x:v>3</x:v>
      </x:c>
      <x:c r="P162" s="117" t="n">
        <x:v>4</x:v>
      </x:c>
      <x:c r="Q162" s="117" t="n">
        <x:v>5</x:v>
      </x:c>
      <x:c r="R162" s="117" t="n">
        <x:v>3</x:v>
      </x:c>
      <x:c r="S162" s="117" t="n">
        <x:v>2</x:v>
      </x:c>
      <x:c r="T162" s="117" t="n">
        <x:f>O162+P162+Q162+S162-R162</x:f>
        <x:v>11</x:v>
      </x:c>
      <x:c r="U162" s="117" t="inlineStr">
        <x:is>
          <x:t xml:space="preserve">Verify reports before amplifying; avoid panic wording.</x:t>
        </x:is>
      </x:c>
      <x:c r="V162" s="117" t="inlineStr">
        <x:is>
          <x:t xml:space="preserve">Cut into a 15-sec hook, a Story poll and a carousel slide if it gets saves/comments.</x:t>
        </x:is>
      </x:c>
    </x:row>
    <x:row r="163" ht="58" customHeight="1">
      <x:c r="A163" s="110" t="n">
        <x:v>159</x:v>
      </x:c>
      <x:c r="B163" s="110" t="inlineStr">
        <x:is>
          <x:t xml:space="preserve">Debate / Mythbusters</x:t>
        </x:is>
      </x:c>
      <x:c r="C163" s="110" t="inlineStr">
        <x:is>
          <x:t xml:space="preserve">Road alerts</x:t>
        </x:is>
      </x:c>
      <x:c r="D163" s="110" t="inlineStr">
        <x:is>
          <x:t xml:space="preserve">Road Mythbusters</x:t>
        </x:is>
      </x:c>
      <x:c r="E163" s="110" t="inlineStr">
        <x:is>
          <x:t xml:space="preserve">Family driver</x:t>
        </x:is>
      </x:c>
      <x:c r="F163" s="110" t="inlineStr">
        <x:is>
          <x:t xml:space="preserve">Engagement</x:t>
        </x:is>
      </x:c>
      <x:c r="G163" s="110" t="inlineStr">
        <x:is>
          <x:t xml:space="preserve">Story Poll</x:t>
        </x:is>
      </x:c>
      <x:c r="H163" s="110" t="inlineStr">
        <x:is>
          <x:t xml:space="preserve">Would you trust road alerts on a normal weekday drive?</x:t>
        </x:is>
      </x:c>
      <x:c r="I163" s="110" t="inlineStr">
        <x:is>
          <x:t xml:space="preserve">Poll sticker + quick setup; before/after route choice.</x:t>
        </x:is>
      </x:c>
      <x:c r="J163" s="110" t="inlineStr">
        <x:is>
          <x:t xml:space="preserve">Low-friction responses.</x:t>
        </x:is>
      </x:c>
      <x:c r="K163" s="110" t="inlineStr">
        <x:is>
          <x:t xml:space="preserve">Use the story to show unexpected road changes and delayed information and end with one practical takeaway.</x:t>
        </x:is>
      </x:c>
      <x:c r="L163" s="110" t="inlineStr">
        <x:is>
          <x:t xml:space="preserve">Open Msafiri before you start your route.</x:t>
        </x:is>
      </x:c>
      <x:c r="M163" s="110" t="inlineStr">
        <x:is>
          <x:t xml:space="preserve">before/after route choice; captions; app screen-record; branded end card</x:t>
        </x:is>
      </x:c>
      <x:c r="N163" s="110" t="inlineStr">
        <x:is>
          <x:t xml:space="preserve">Low</x:t>
        </x:is>
      </x:c>
      <x:c r="O163" s="110" t="n">
        <x:v>4</x:v>
      </x:c>
      <x:c r="P163" s="110" t="n">
        <x:v>4</x:v>
      </x:c>
      <x:c r="Q163" s="110" t="n">
        <x:v>3</x:v>
      </x:c>
      <x:c r="R163" s="110" t="n">
        <x:v>1</x:v>
      </x:c>
      <x:c r="S163" s="110" t="n">
        <x:v>2</x:v>
      </x:c>
      <x:c r="T163" s="110" t="n">
        <x:f>O163+P163+Q163+S163-R163</x:f>
        <x:v>12</x:v>
      </x:c>
      <x:c r="U163" s="110" t="inlineStr">
        <x:is>
          <x:t xml:space="preserve">Verify reports before amplifying; avoid panic wording.</x:t>
        </x:is>
      </x:c>
      <x:c r="V163" s="110" t="inlineStr">
        <x:is>
          <x:t xml:space="preserve">Turn best responses into Comment-to-Video and add to next week’s road-check queue.</x:t>
        </x:is>
      </x:c>
    </x:row>
    <x:row r="164" ht="58" customHeight="1">
      <x:c r="A164" s="117" t="n">
        <x:v>160</x:v>
      </x:c>
      <x:c r="B164" s="117" t="inlineStr">
        <x:is>
          <x:t xml:space="preserve">Road Intelligence</x:t>
        </x:is>
      </x:c>
      <x:c r="C164" s="117" t="inlineStr">
        <x:is>
          <x:t xml:space="preserve">Road alerts</x:t>
        </x:is>
      </x:c>
      <x:c r="D164" s="117" t="inlineStr">
        <x:is>
          <x:t xml:space="preserve">Msafiri Explains</x:t>
        </x:is>
      </x:c>
      <x:c r="E164" s="117" t="inlineStr">
        <x:is>
          <x:t xml:space="preserve">Professional driver</x:t>
        </x:is>
      </x:c>
      <x:c r="F164" s="117" t="inlineStr">
        <x:is>
          <x:t xml:space="preserve">Trust</x:t>
        </x:is>
      </x:c>
      <x:c r="G164" s="117" t="inlineStr">
        <x:is>
          <x:t xml:space="preserve">Short-form video</x:t>
        </x:is>
      </x:c>
      <x:c r="H164" s="117" t="inlineStr">
        <x:is>
          <x:t xml:space="preserve">The road habit that makes unexpected road changes and delayed information worse.</x:t>
        </x:is>
      </x:c>
      <x:c r="I164" s="117" t="inlineStr">
        <x:is>
          <x:t xml:space="preserve">Explainer with road B-roll; weather/visibility shot.</x:t>
        </x:is>
      </x:c>
      <x:c r="J164" s="117" t="inlineStr">
        <x:is>
          <x:t xml:space="preserve">Teach without lecturing.</x:t>
        </x:is>
      </x:c>
      <x:c r="K164" s="117" t="inlineStr">
        <x:is>
          <x:t xml:space="preserve">Use the story to show unexpected road changes and delayed information and end with one practical takeaway.</x:t>
        </x:is>
      </x:c>
      <x:c r="L164" s="117" t="inlineStr">
        <x:is>
          <x:t xml:space="preserve">Open Msafiri before you start your route.</x:t>
        </x:is>
      </x:c>
      <x:c r="M164" s="117" t="inlineStr">
        <x:is>
          <x:t xml:space="preserve">weather/visibility shot; captions; app screen-record; branded end card</x:t>
        </x:is>
      </x:c>
      <x:c r="N164" s="117" t="inlineStr">
        <x:is>
          <x:t xml:space="preserve">Medium</x:t>
        </x:is>
      </x:c>
      <x:c r="O164" s="117" t="n">
        <x:v>3</x:v>
      </x:c>
      <x:c r="P164" s="117" t="n">
        <x:v>5</x:v>
      </x:c>
      <x:c r="Q164" s="117" t="n">
        <x:v>3</x:v>
      </x:c>
      <x:c r="R164" s="117" t="n">
        <x:v>2</x:v>
      </x:c>
      <x:c r="S164" s="117" t="n">
        <x:v>2</x:v>
      </x:c>
      <x:c r="T164" s="117" t="n">
        <x:f>O164+P164+Q164+S164-R164</x:f>
        <x:v>11</x:v>
      </x:c>
      <x:c r="U164" s="117" t="inlineStr">
        <x:is>
          <x:t xml:space="preserve">Verify reports before amplifying; avoid panic wording.</x:t>
        </x:is>
      </x:c>
      <x:c r="V164" s="117" t="inlineStr">
        <x:is>
          <x:t xml:space="preserve">Cut into a 15-sec hook, a Story poll and a carousel slide if it gets saves/comments.</x:t>
        </x:is>
      </x:c>
    </x:row>
    <x:row r="165" ht="58" customHeight="1">
      <x:c r="A165" s="110" t="n">
        <x:v>161</x:v>
      </x:c>
      <x:c r="B165" s="110" t="inlineStr">
        <x:is>
          <x:t xml:space="preserve">Community / UGC</x:t>
        </x:is>
      </x:c>
      <x:c r="C165" s="110" t="inlineStr">
        <x:is>
          <x:t xml:space="preserve">Road alerts</x:t>
        </x:is>
      </x:c>
      <x:c r="D165" s="110" t="inlineStr">
        <x:is>
          <x:t xml:space="preserve">Ask a Kenyan Driver</x:t>
        </x:is>
      </x:c>
      <x:c r="E165" s="110" t="inlineStr">
        <x:is>
          <x:t xml:space="preserve">Daily Nairobi commuter</x:t>
        </x:is>
      </x:c>
      <x:c r="F165" s="110" t="inlineStr">
        <x:is>
          <x:t xml:space="preserve">Community</x:t>
        </x:is>
      </x:c>
      <x:c r="G165" s="110" t="inlineStr">
        <x:is>
          <x:t xml:space="preserve">Story Poll</x:t>
        </x:is>
      </x:c>
      <x:c r="H165" s="110" t="inlineStr">
        <x:is>
          <x:t xml:space="preserve">Choose our next test: road alerts on a commute or a road trip?</x:t>
        </x:is>
      </x:c>
      <x:c r="I165" s="110" t="inlineStr">
        <x:is>
          <x:t xml:space="preserve">Two-option story poll; road hazard B-roll.</x:t>
        </x:is>
      </x:c>
      <x:c r="J165" s="110" t="inlineStr">
        <x:is>
          <x:t xml:space="preserve">Audience participation.</x:t>
        </x:is>
      </x:c>
      <x:c r="K165" s="110" t="inlineStr">
        <x:is>
          <x:t xml:space="preserve">Use the story to show unexpected road changes and delayed information and end with one practical takeaway.</x:t>
        </x:is>
      </x:c>
      <x:c r="L165" s="110" t="inlineStr">
        <x:is>
          <x:t xml:space="preserve">Open Msafiri before you start your route.</x:t>
        </x:is>
      </x:c>
      <x:c r="M165" s="110" t="inlineStr">
        <x:is>
          <x:t xml:space="preserve">road hazard B-roll; captions; app screen-record; branded end card</x:t>
        </x:is>
      </x:c>
      <x:c r="N165" s="110" t="inlineStr">
        <x:is>
          <x:t xml:space="preserve">High</x:t>
        </x:is>
      </x:c>
      <x:c r="O165" s="110" t="n">
        <x:v>3</x:v>
      </x:c>
      <x:c r="P165" s="110" t="n">
        <x:v>4</x:v>
      </x:c>
      <x:c r="Q165" s="110" t="n">
        <x:v>3</x:v>
      </x:c>
      <x:c r="R165" s="110" t="n">
        <x:v>3</x:v>
      </x:c>
      <x:c r="S165" s="110" t="n">
        <x:v>2</x:v>
      </x:c>
      <x:c r="T165" s="110" t="n">
        <x:f>O165+P165+Q165+S165-R165</x:f>
        <x:v>9</x:v>
      </x:c>
      <x:c r="U165" s="110" t="inlineStr">
        <x:is>
          <x:t xml:space="preserve">Verify reports before amplifying; avoid panic wording.</x:t>
        </x:is>
      </x:c>
      <x:c r="V165" s="110" t="inlineStr">
        <x:is>
          <x:t xml:space="preserve">Turn best responses into Comment-to-Video and add to next week’s road-check queue.</x:t>
        </x:is>
      </x:c>
    </x:row>
    <x:row r="166" ht="58" customHeight="1">
      <x:c r="A166" s="117" t="n">
        <x:v>162</x:v>
      </x:c>
      <x:c r="B166" s="117" t="inlineStr">
        <x:is>
          <x:t xml:space="preserve">Product / Feature Proof</x:t>
        </x:is>
      </x:c>
      <x:c r="C166" s="117" t="inlineStr">
        <x:is>
          <x:t xml:space="preserve">Road alerts</x:t>
        </x:is>
      </x:c>
      <x:c r="D166" s="117" t="inlineStr">
        <x:is>
          <x:t xml:space="preserve">Feature Combo</x:t>
        </x:is>
      </x:c>
      <x:c r="E166" s="117" t="inlineStr">
        <x:is>
          <x:t xml:space="preserve">Long-distance driver</x:t>
        </x:is>
      </x:c>
      <x:c r="F166" s="117" t="inlineStr">
        <x:is>
          <x:t xml:space="preserve">Conversion</x:t>
        </x:is>
      </x:c>
      <x:c r="G166" s="117" t="inlineStr">
        <x:is>
          <x:t xml:space="preserve">Short-form video</x:t>
        </x:is>
      </x:c>
      <x:c r="H166" s="117" t="inlineStr">
        <x:is>
          <x:t xml:space="preserve">Two Msafiri features that work better together when unexpected road changes and delayed information.</x:t>
        </x:is>
      </x:c>
      <x:c r="I166" s="117" t="inlineStr">
        <x:is>
          <x:t xml:space="preserve">UI + real drive + end card; route overlay.</x:t>
        </x:is>
      </x:c>
      <x:c r="J166" s="117" t="inlineStr">
        <x:is>
          <x:t xml:space="preserve">Feature bundling.</x:t>
        </x:is>
      </x:c>
      <x:c r="K166" s="117" t="inlineStr">
        <x:is>
          <x:t xml:space="preserve">Use the story to show unexpected road changes and delayed information and end with one practical takeaway.</x:t>
        </x:is>
      </x:c>
      <x:c r="L166" s="117" t="inlineStr">
        <x:is>
          <x:t xml:space="preserve">Open Msafiri before you start your route.</x:t>
        </x:is>
      </x:c>
      <x:c r="M166" s="117" t="inlineStr">
        <x:is>
          <x:t xml:space="preserve">route overlay; captions; app screen-record; branded end card</x:t>
        </x:is>
      </x:c>
      <x:c r="N166" s="117" t="inlineStr">
        <x:is>
          <x:t xml:space="preserve">Low</x:t>
        </x:is>
      </x:c>
      <x:c r="O166" s="117" t="n">
        <x:v>3</x:v>
      </x:c>
      <x:c r="P166" s="117" t="n">
        <x:v>4</x:v>
      </x:c>
      <x:c r="Q166" s="117" t="n">
        <x:v>5</x:v>
      </x:c>
      <x:c r="R166" s="117" t="n">
        <x:v>1</x:v>
      </x:c>
      <x:c r="S166" s="117" t="n">
        <x:v>2</x:v>
      </x:c>
      <x:c r="T166" s="117" t="n">
        <x:f>O166+P166+Q166+S166-R166</x:f>
        <x:v>13</x:v>
      </x:c>
      <x:c r="U166" s="117" t="inlineStr">
        <x:is>
          <x:t xml:space="preserve">Verify reports before amplifying; avoid panic wording.</x:t>
        </x:is>
      </x:c>
      <x:c r="V166" s="117" t="inlineStr">
        <x:is>
          <x:t xml:space="preserve">Cut into a 15-sec hook, a Story poll and a carousel slide if it gets saves/comments.</x:t>
        </x:is>
      </x:c>
    </x:row>
    <x:row r="167" ht="58" customHeight="1">
      <x:c r="A167" s="110" t="n">
        <x:v>163</x:v>
      </x:c>
      <x:c r="B167" s="110" t="inlineStr">
        <x:is>
          <x:t xml:space="preserve">Education / Safety</x:t>
        </x:is>
      </x:c>
      <x:c r="C167" s="110" t="inlineStr">
        <x:is>
          <x:t xml:space="preserve">Road alerts</x:t>
        </x:is>
      </x:c>
      <x:c r="D167" s="110" t="inlineStr">
        <x:is>
          <x:t xml:space="preserve">What Not To Do</x:t>
        </x:is>
      </x:c>
      <x:c r="E167" s="110" t="inlineStr">
        <x:is>
          <x:t xml:space="preserve">Family driver</x:t>
        </x:is>
      </x:c>
      <x:c r="F167" s="110" t="inlineStr">
        <x:is>
          <x:t xml:space="preserve">Retention</x:t>
        </x:is>
      </x:c>
      <x:c r="G167" s="110" t="inlineStr">
        <x:is>
          <x:t xml:space="preserve">Short-form video</x:t>
        </x:is>
      </x:c>
      <x:c r="H167" s="110" t="inlineStr">
        <x:is>
          <x:t xml:space="preserve">Do not make this mistake when unexpected road changes and delayed information.</x:t>
        </x:is>
      </x:c>
      <x:c r="I167" s="110" t="inlineStr">
        <x:is>
          <x:t xml:space="preserve">Wrong vs right mini demo; community report card.</x:t>
        </x:is>
      </x:c>
      <x:c r="J167" s="110" t="inlineStr">
        <x:is>
          <x:t xml:space="preserve">Memorable caution.</x:t>
        </x:is>
      </x:c>
      <x:c r="K167" s="110" t="inlineStr">
        <x:is>
          <x:t xml:space="preserve">Use the story to show unexpected road changes and delayed information and end with one practical takeaway.</x:t>
        </x:is>
      </x:c>
      <x:c r="L167" s="110" t="inlineStr">
        <x:is>
          <x:t xml:space="preserve">Open Msafiri before you start your route.</x:t>
        </x:is>
      </x:c>
      <x:c r="M167" s="110" t="inlineStr">
        <x:is>
          <x:t xml:space="preserve">community report card; captions; app screen-record; branded end card</x:t>
        </x:is>
      </x:c>
      <x:c r="N167" s="110" t="inlineStr">
        <x:is>
          <x:t xml:space="preserve">Medium</x:t>
        </x:is>
      </x:c>
      <x:c r="O167" s="110" t="n">
        <x:v>3</x:v>
      </x:c>
      <x:c r="P167" s="110" t="n">
        <x:v>5</x:v>
      </x:c>
      <x:c r="Q167" s="110" t="n">
        <x:v>3</x:v>
      </x:c>
      <x:c r="R167" s="110" t="n">
        <x:v>2</x:v>
      </x:c>
      <x:c r="S167" s="110" t="n">
        <x:v>2</x:v>
      </x:c>
      <x:c r="T167" s="110" t="n">
        <x:f>O167+P167+Q167+S167-R167</x:f>
        <x:v>11</x:v>
      </x:c>
      <x:c r="U167" s="110" t="inlineStr">
        <x:is>
          <x:t xml:space="preserve">Verify reports before amplifying; avoid panic wording.</x:t>
        </x:is>
      </x:c>
      <x:c r="V167" s="110" t="inlineStr">
        <x:is>
          <x:t xml:space="preserve">Cut into a 15-sec hook, a Story poll and a carousel slide if it gets saves/comments.</x:t>
        </x:is>
      </x:c>
    </x:row>
    <x:row r="168" ht="58" customHeight="1">
      <x:c r="A168" s="117" t="n">
        <x:v>164</x:v>
      </x:c>
      <x:c r="B168" s="117" t="inlineStr">
        <x:is>
          <x:t xml:space="preserve">Founder / BTS</x:t>
        </x:is>
      </x:c>
      <x:c r="C168" s="117" t="inlineStr">
        <x:is>
          <x:t xml:space="preserve">Road alerts</x:t>
        </x:is>
      </x:c>
      <x:c r="D168" s="117" t="inlineStr">
        <x:is>
          <x:t xml:space="preserve">Founder Files</x:t>
        </x:is>
      </x:c>
      <x:c r="E168" s="117" t="inlineStr">
        <x:is>
          <x:t xml:space="preserve">Professional driver</x:t>
        </x:is>
      </x:c>
      <x:c r="F168" s="117" t="inlineStr">
        <x:is>
          <x:t xml:space="preserve">Trust</x:t>
        </x:is>
      </x:c>
      <x:c r="G168" s="117" t="inlineStr">
        <x:is>
          <x:t xml:space="preserve">Founder-to-camera</x:t>
        </x:is>
      </x:c>
      <x:c r="H168" s="117" t="inlineStr">
        <x:is>
          <x:t xml:space="preserve">The most uncomfortable truth about building road alerts.</x:t>
        </x:is>
      </x:c>
      <x:c r="I168" s="117" t="inlineStr">
        <x:is>
          <x:t xml:space="preserve">Founder honest reflection; before/after route choice.</x:t>
        </x:is>
      </x:c>
      <x:c r="J168" s="117" t="inlineStr">
        <x:is>
          <x:t xml:space="preserve">Trust through honesty.</x:t>
        </x:is>
      </x:c>
      <x:c r="K168" s="117" t="inlineStr">
        <x:is>
          <x:t xml:space="preserve">Use the story to show unexpected road changes and delayed information and end with one practical takeaway.</x:t>
        </x:is>
      </x:c>
      <x:c r="L168" s="117" t="inlineStr">
        <x:is>
          <x:t xml:space="preserve">Open Msafiri before you start your route.</x:t>
        </x:is>
      </x:c>
      <x:c r="M168" s="117" t="inlineStr">
        <x:is>
          <x:t xml:space="preserve">before/after route choice; captions; app screen-record; branded end card</x:t>
        </x:is>
      </x:c>
      <x:c r="N168" s="117" t="inlineStr">
        <x:is>
          <x:t xml:space="preserve">High</x:t>
        </x:is>
      </x:c>
      <x:c r="O168" s="117" t="n">
        <x:v>3</x:v>
      </x:c>
      <x:c r="P168" s="117" t="n">
        <x:v>4</x:v>
      </x:c>
      <x:c r="Q168" s="117" t="n">
        <x:v>3</x:v>
      </x:c>
      <x:c r="R168" s="117" t="n">
        <x:v>3</x:v>
      </x:c>
      <x:c r="S168" s="117" t="n">
        <x:v>2</x:v>
      </x:c>
      <x:c r="T168" s="117" t="n">
        <x:f>O168+P168+Q168+S168-R168</x:f>
        <x:v>9</x:v>
      </x:c>
      <x:c r="U168" s="117" t="inlineStr">
        <x:is>
          <x:t xml:space="preserve">Verify reports before amplifying; avoid panic wording.</x:t>
        </x:is>
      </x:c>
      <x:c r="V168" s="117" t="inlineStr">
        <x:is>
          <x:t xml:space="preserve">Cut into a 15-sec hook, a Story poll and a carousel slide if it gets saves/comments.</x:t>
        </x:is>
      </x:c>
    </x:row>
    <x:row r="169" ht="58" customHeight="1">
      <x:c r="A169" s="110" t="n">
        <x:v>165</x:v>
      </x:c>
      <x:c r="B169" s="110" t="inlineStr">
        <x:is>
          <x:t xml:space="preserve">Road Intelligence</x:t>
        </x:is>
      </x:c>
      <x:c r="C169" s="110" t="inlineStr">
        <x:is>
          <x:t xml:space="preserve">Road alerts</x:t>
        </x:is>
      </x:c>
      <x:c r="D169" s="110" t="inlineStr">
        <x:is>
          <x:t xml:space="preserve">Map vs Reality</x:t>
        </x:is>
      </x:c>
      <x:c r="E169" s="110" t="inlineStr">
        <x:is>
          <x:t xml:space="preserve">Daily Nairobi commuter</x:t>
        </x:is>
      </x:c>
      <x:c r="F169" s="110" t="inlineStr">
        <x:is>
          <x:t xml:space="preserve">Awareness</x:t>
        </x:is>
      </x:c>
      <x:c r="G169" s="110" t="inlineStr">
        <x:is>
          <x:t xml:space="preserve">POV Drive</x:t>
        </x:is>
      </x:c>
      <x:c r="H169" s="110" t="inlineStr">
        <x:is>
          <x:t xml:space="preserve">The map says one thing; the road says another.</x:t>
        </x:is>
      </x:c>
      <x:c r="I169" s="110" t="inlineStr">
        <x:is>
          <x:t xml:space="preserve">Map overlay + road footage; weather/visibility shot.</x:t>
        </x:is>
      </x:c>
      <x:c r="J169" s="110" t="inlineStr">
        <x:is>
          <x:t xml:space="preserve">Road-intelligence authority.</x:t>
        </x:is>
      </x:c>
      <x:c r="K169" s="110" t="inlineStr">
        <x:is>
          <x:t xml:space="preserve">Use the story to show unexpected road changes and delayed information and end with one practical takeaway.</x:t>
        </x:is>
      </x:c>
      <x:c r="L169" s="110" t="inlineStr">
        <x:is>
          <x:t xml:space="preserve">Open Msafiri before you start your route.</x:t>
        </x:is>
      </x:c>
      <x:c r="M169" s="110" t="inlineStr">
        <x:is>
          <x:t xml:space="preserve">weather/visibility shot; captions; app screen-record; branded end card</x:t>
        </x:is>
      </x:c>
      <x:c r="N169" s="110" t="inlineStr">
        <x:is>
          <x:t xml:space="preserve">Low</x:t>
        </x:is>
      </x:c>
      <x:c r="O169" s="110" t="n">
        <x:v>3</x:v>
      </x:c>
      <x:c r="P169" s="110" t="n">
        <x:v>5</x:v>
      </x:c>
      <x:c r="Q169" s="110" t="n">
        <x:v>3</x:v>
      </x:c>
      <x:c r="R169" s="110" t="n">
        <x:v>1</x:v>
      </x:c>
      <x:c r="S169" s="110" t="n">
        <x:v>2</x:v>
      </x:c>
      <x:c r="T169" s="110" t="n">
        <x:f>O169+P169+Q169+S169-R169</x:f>
        <x:v>12</x:v>
      </x:c>
      <x:c r="U169" s="110" t="inlineStr">
        <x:is>
          <x:t xml:space="preserve">Verify reports before amplifying; avoid panic wording.</x:t>
        </x:is>
      </x:c>
      <x:c r="V169" s="110" t="inlineStr">
        <x:is>
          <x:t xml:space="preserve">Cut into a 15-sec hook, a Story poll and a carousel slide if it gets saves/comments.</x:t>
        </x:is>
      </x:c>
    </x:row>
    <x:row r="170" ht="58" customHeight="1">
      <x:c r="A170" s="117" t="n">
        <x:v>166</x:v>
      </x:c>
      <x:c r="B170" s="117" t="inlineStr">
        <x:is>
          <x:t xml:space="preserve">Product / Feature Proof</x:t>
        </x:is>
      </x:c>
      <x:c r="C170" s="117" t="inlineStr">
        <x:is>
          <x:t xml:space="preserve">Road alerts</x:t>
        </x:is>
      </x:c>
      <x:c r="D170" s="117" t="inlineStr">
        <x:is>
          <x:t xml:space="preserve">One-Tap Test</x:t>
        </x:is>
      </x:c>
      <x:c r="E170" s="117" t="inlineStr">
        <x:is>
          <x:t xml:space="preserve">Long-distance driver</x:t>
        </x:is>
      </x:c>
      <x:c r="F170" s="117" t="inlineStr">
        <x:is>
          <x:t xml:space="preserve">Feature Discovery</x:t>
        </x:is>
      </x:c>
      <x:c r="G170" s="117" t="inlineStr">
        <x:is>
          <x:t xml:space="preserve">Screen-record Demo</x:t>
        </x:is>
      </x:c>
      <x:c r="H170" s="117" t="inlineStr">
        <x:is>
          <x:t xml:space="preserve">How fast can you set up road alerts before leaving?</x:t>
        </x:is>
      </x:c>
      <x:c r="I170" s="117" t="inlineStr">
        <x:is>
          <x:t xml:space="preserve">Timer + UI taps; road hazard B-roll.</x:t>
        </x:is>
      </x:c>
      <x:c r="J170" s="117" t="inlineStr">
        <x:is>
          <x:t xml:space="preserve">Lower adoption friction.</x:t>
        </x:is>
      </x:c>
      <x:c r="K170" s="117" t="inlineStr">
        <x:is>
          <x:t xml:space="preserve">Use the story to show unexpected road changes and delayed information and end with one practical takeaway.</x:t>
        </x:is>
      </x:c>
      <x:c r="L170" s="117" t="inlineStr">
        <x:is>
          <x:t xml:space="preserve">Open Msafiri before you start your route.</x:t>
        </x:is>
      </x:c>
      <x:c r="M170" s="117" t="inlineStr">
        <x:is>
          <x:t xml:space="preserve">road hazard B-roll; captions; app screen-record; branded end card</x:t>
        </x:is>
      </x:c>
      <x:c r="N170" s="117" t="inlineStr">
        <x:is>
          <x:t xml:space="preserve">Medium</x:t>
        </x:is>
      </x:c>
      <x:c r="O170" s="117" t="n">
        <x:v>3</x:v>
      </x:c>
      <x:c r="P170" s="117" t="n">
        <x:v>4</x:v>
      </x:c>
      <x:c r="Q170" s="117" t="n">
        <x:v>5</x:v>
      </x:c>
      <x:c r="R170" s="117" t="n">
        <x:v>2</x:v>
      </x:c>
      <x:c r="S170" s="117" t="n">
        <x:v>2</x:v>
      </x:c>
      <x:c r="T170" s="117" t="n">
        <x:f>O170+P170+Q170+S170-R170</x:f>
        <x:v>12</x:v>
      </x:c>
      <x:c r="U170" s="117" t="inlineStr">
        <x:is>
          <x:t xml:space="preserve">Verify reports before amplifying; avoid panic wording.</x:t>
        </x:is>
      </x:c>
      <x:c r="V170" s="117" t="inlineStr">
        <x:is>
          <x:t xml:space="preserve">Cut into a 15-sec hook, a Story poll and a carousel slide if it gets saves/comments.</x:t>
        </x:is>
      </x:c>
    </x:row>
    <x:row r="171" ht="58" customHeight="1">
      <x:c r="A171" s="110" t="n">
        <x:v>167</x:v>
      </x:c>
      <x:c r="B171" s="110" t="inlineStr">
        <x:is>
          <x:t xml:space="preserve">Community / UGC</x:t>
        </x:is>
      </x:c>
      <x:c r="C171" s="110" t="inlineStr">
        <x:is>
          <x:t xml:space="preserve">Road alerts</x:t>
        </x:is>
      </x:c>
      <x:c r="D171" s="110" t="inlineStr">
        <x:is>
          <x:t xml:space="preserve">UGC Prompt</x:t>
        </x:is>
      </x:c>
      <x:c r="E171" s="110" t="inlineStr">
        <x:is>
          <x:t xml:space="preserve">Family driver</x:t>
        </x:is>
      </x:c>
      <x:c r="F171" s="110" t="inlineStr">
        <x:is>
          <x:t xml:space="preserve">Community</x:t>
        </x:is>
      </x:c>
      <x:c r="G171" s="110" t="inlineStr">
        <x:is>
          <x:t xml:space="preserve">Static Graphic</x:t>
        </x:is>
      </x:c>
      <x:c r="H171" s="110" t="inlineStr">
        <x:is>
          <x:t xml:space="preserve">Tell us your road alerts story and we may feature it.</x:t>
        </x:is>
      </x:c>
      <x:c r="I171" s="110" t="inlineStr">
        <x:is>
          <x:t xml:space="preserve">Branded prompt graphic; route overlay.</x:t>
        </x:is>
      </x:c>
      <x:c r="J171" s="110" t="inlineStr">
        <x:is>
          <x:t xml:space="preserve">User-generated content pipeline.</x:t>
        </x:is>
      </x:c>
      <x:c r="K171" s="110" t="inlineStr">
        <x:is>
          <x:t xml:space="preserve">Use the story to show unexpected road changes and delayed information and end with one practical takeaway.</x:t>
        </x:is>
      </x:c>
      <x:c r="L171" s="110" t="inlineStr">
        <x:is>
          <x:t xml:space="preserve">Open Msafiri before you start your route.</x:t>
        </x:is>
      </x:c>
      <x:c r="M171" s="110" t="inlineStr">
        <x:is>
          <x:t xml:space="preserve">route overlay; captions; app screen-record; branded end card</x:t>
        </x:is>
      </x:c>
      <x:c r="N171" s="110" t="inlineStr">
        <x:is>
          <x:t xml:space="preserve">High</x:t>
        </x:is>
      </x:c>
      <x:c r="O171" s="110" t="n">
        <x:v>3</x:v>
      </x:c>
      <x:c r="P171" s="110" t="n">
        <x:v>4</x:v>
      </x:c>
      <x:c r="Q171" s="110" t="n">
        <x:v>3</x:v>
      </x:c>
      <x:c r="R171" s="110" t="n">
        <x:v>3</x:v>
      </x:c>
      <x:c r="S171" s="110" t="n">
        <x:v>2</x:v>
      </x:c>
      <x:c r="T171" s="110" t="n">
        <x:f>O171+P171+Q171+S171-R171</x:f>
        <x:v>9</x:v>
      </x:c>
      <x:c r="U171" s="110" t="inlineStr">
        <x:is>
          <x:t xml:space="preserve">Verify reports before amplifying; avoid panic wording.</x:t>
        </x:is>
      </x:c>
      <x:c r="V171" s="110" t="inlineStr">
        <x:is>
          <x:t xml:space="preserve">Turn best responses into Comment-to-Video and add to next week’s road-check queue.</x:t>
        </x:is>
      </x:c>
    </x:row>
    <x:row r="172" ht="58" customHeight="1">
      <x:c r="A172" s="117" t="n">
        <x:v>168</x:v>
      </x:c>
      <x:c r="B172" s="117" t="inlineStr">
        <x:is>
          <x:t xml:space="preserve">Seasonal Campaign</x:t>
        </x:is>
      </x:c>
      <x:c r="C172" s="117" t="inlineStr">
        <x:is>
          <x:t xml:space="preserve">Road alerts</x:t>
        </x:is>
      </x:c>
      <x:c r="D172" s="117" t="inlineStr">
        <x:is>
          <x:t xml:space="preserve">End-Year Road Prep</x:t>
        </x:is>
      </x:c>
      <x:c r="E172" s="117" t="inlineStr">
        <x:is>
          <x:t xml:space="preserve">Professional driver</x:t>
        </x:is>
      </x:c>
      <x:c r="F172" s="117" t="inlineStr">
        <x:is>
          <x:t xml:space="preserve">Conversion</x:t>
        </x:is>
      </x:c>
      <x:c r="G172" s="117" t="inlineStr">
        <x:is>
          <x:t xml:space="preserve">Hero / Reel</x:t>
        </x:is>
      </x:c>
      <x:c r="H172" s="117" t="inlineStr">
        <x:is>
          <x:t xml:space="preserve">Before the December drive, open Msafiri and check this.</x:t>
        </x:is>
      </x:c>
      <x:c r="I172" s="117" t="inlineStr">
        <x:is>
          <x:t xml:space="preserve">December packing + app + road POV; community report card.</x:t>
        </x:is>
      </x:c>
      <x:c r="J172" s="117" t="inlineStr">
        <x:is>
          <x:t xml:space="preserve">Seasonal conversion.</x:t>
        </x:is>
      </x:c>
      <x:c r="K172" s="117" t="inlineStr">
        <x:is>
          <x:t xml:space="preserve">Use the story to show unexpected road changes and delayed information and end with one practical takeaway.</x:t>
        </x:is>
      </x:c>
      <x:c r="L172" s="117" t="inlineStr">
        <x:is>
          <x:t xml:space="preserve">Open Msafiri before you start your route.</x:t>
        </x:is>
      </x:c>
      <x:c r="M172" s="117" t="inlineStr">
        <x:is>
          <x:t xml:space="preserve">community report card; captions; app screen-record; branded end card</x:t>
        </x:is>
      </x:c>
      <x:c r="N172" s="117" t="inlineStr">
        <x:is>
          <x:t xml:space="preserve">Low</x:t>
        </x:is>
      </x:c>
      <x:c r="O172" s="117" t="n">
        <x:v>4</x:v>
      </x:c>
      <x:c r="P172" s="117" t="n">
        <x:v>4</x:v>
      </x:c>
      <x:c r="Q172" s="117" t="n">
        <x:v>5</x:v>
      </x:c>
      <x:c r="R172" s="117" t="n">
        <x:v>1</x:v>
      </x:c>
      <x:c r="S172" s="117" t="n">
        <x:v>4</x:v>
      </x:c>
      <x:c r="T172" s="117" t="n">
        <x:f>O172+P172+Q172+S172-R172</x:f>
        <x:v>16</x:v>
      </x:c>
      <x:c r="U172" s="117" t="inlineStr">
        <x:is>
          <x:t xml:space="preserve">Verify reports before amplifying; avoid panic wording.</x:t>
        </x:is>
      </x:c>
      <x:c r="V172" s="117" t="inlineStr">
        <x:is>
          <x:t xml:space="preserve">Cut into a 15-sec hook, a Story poll and a carousel slide if it gets saves/comments.</x:t>
        </x:is>
      </x:c>
    </x:row>
    <x:row r="173" ht="58" customHeight="1">
      <x:c r="A173" s="110" t="n">
        <x:v>169</x:v>
      </x:c>
      <x:c r="B173" s="110" t="inlineStr">
        <x:is>
          <x:t xml:space="preserve">Road Intelligence</x:t>
        </x:is>
      </x:c>
      <x:c r="C173" s="110" t="inlineStr">
        <x:is>
          <x:t xml:space="preserve">Vehicle care</x:t>
        </x:is>
      </x:c>
      <x:c r="D173" s="110" t="inlineStr">
        <x:is>
          <x:t xml:space="preserve">Msafiri Road Check</x:t>
        </x:is>
      </x:c>
      <x:c r="E173" s="110" t="inlineStr">
        <x:is>
          <x:t xml:space="preserve">Car owner</x:t>
        </x:is>
      </x:c>
      <x:c r="F173" s="110" t="inlineStr">
        <x:is>
          <x:t xml:space="preserve">Awareness</x:t>
        </x:is>
      </x:c>
      <x:c r="G173" s="110" t="inlineStr">
        <x:is>
          <x:t xml:space="preserve">POV Drive</x:t>
        </x:is>
      </x:c>
      <x:c r="H173" s="110" t="inlineStr">
        <x:is>
          <x:t xml:space="preserve">We drove a rainy evening drive to see where vehicle care actually helps.</x:t>
        </x:is>
      </x:c>
      <x:c r="I173" s="110" t="inlineStr">
        <x:is>
          <x:t xml:space="preserve">Road POV with 3 marked moments; tyre check.</x:t>
        </x:is>
      </x:c>
      <x:c r="J173" s="110" t="inlineStr">
        <x:is>
          <x:t xml:space="preserve">A practical route lesson people can save.</x:t>
        </x:is>
      </x:c>
      <x:c r="K173" s="110" t="inlineStr">
        <x:is>
          <x:t xml:space="preserve">Use the story to show minor car issues becoming expensive surprises and end with one practical takeaway.</x:t>
        </x:is>
      </x:c>
      <x:c r="L173" s="110" t="inlineStr">
        <x:is>
          <x:t xml:space="preserve">Use Msafiri to stay ahead of car-care surprises.</x:t>
        </x:is>
      </x:c>
      <x:c r="M173" s="110" t="inlineStr">
        <x:is>
          <x:t xml:space="preserve">tyre check; captions; app screen-record; branded end card</x:t>
        </x:is>
      </x:c>
      <x:c r="N173" s="110" t="inlineStr">
        <x:is>
          <x:t xml:space="preserve">Low</x:t>
        </x:is>
      </x:c>
      <x:c r="O173" s="110" t="n">
        <x:v>3</x:v>
      </x:c>
      <x:c r="P173" s="110" t="n">
        <x:v>5</x:v>
      </x:c>
      <x:c r="Q173" s="110" t="n">
        <x:v>3</x:v>
      </x:c>
      <x:c r="R173" s="110" t="n">
        <x:v>1</x:v>
      </x:c>
      <x:c r="S173" s="110" t="n">
        <x:v>2</x:v>
      </x:c>
      <x:c r="T173" s="110" t="n">
        <x:f>O173+P173+Q173+S173-R173</x:f>
        <x:v>12</x:v>
      </x:c>
      <x:c r="U173" s="110" t="inlineStr">
        <x:is>
          <x:t xml:space="preserve">Keep advice general unless verified by a qualified expert.</x:t>
        </x:is>
      </x:c>
      <x:c r="V173" s="110" t="inlineStr">
        <x:is>
          <x:t xml:space="preserve">Cut into a 15-sec hook, a Story poll and a carousel slide if it gets saves/comments.</x:t>
        </x:is>
      </x:c>
    </x:row>
    <x:row r="174" ht="58" customHeight="1">
      <x:c r="A174" s="117" t="n">
        <x:v>170</x:v>
      </x:c>
      <x:c r="B174" s="117" t="inlineStr">
        <x:is>
          <x:t xml:space="preserve">Product / Feature Proof</x:t>
        </x:is>
      </x:c>
      <x:c r="C174" s="117" t="inlineStr">
        <x:is>
          <x:t xml:space="preserve">Vehicle care</x:t>
        </x:is>
      </x:c>
      <x:c r="D174" s="117" t="inlineStr">
        <x:is>
          <x:t xml:space="preserve">Feature in the Wild</x:t>
        </x:is>
      </x:c>
      <x:c r="E174" s="117" t="inlineStr">
        <x:is>
          <x:t xml:space="preserve">New driver</x:t>
        </x:is>
      </x:c>
      <x:c r="F174" s="117" t="inlineStr">
        <x:is>
          <x:t xml:space="preserve">Feature Discovery</x:t>
        </x:is>
      </x:c>
      <x:c r="G174" s="117" t="inlineStr">
        <x:is>
          <x:t xml:space="preserve">Screen-record Demo</x:t>
        </x:is>
      </x:c>
      <x:c r="H174" s="117" t="inlineStr">
        <x:is>
          <x:t xml:space="preserve">Vehicle care in 30 seconds: here is the moment it becomes useful.</x:t>
        </x:is>
      </x:c>
      <x:c r="I174" s="117" t="inlineStr">
        <x:is>
          <x:t xml:space="preserve">Phone screen + real-world cutaway; fluid check.</x:t>
        </x:is>
      </x:c>
      <x:c r="J174" s="117" t="inlineStr">
        <x:is>
          <x:t xml:space="preserve">Feature clarity without a hard sell.</x:t>
        </x:is>
      </x:c>
      <x:c r="K174" s="117" t="inlineStr">
        <x:is>
          <x:t xml:space="preserve">Use the story to show minor car issues becoming expensive surprises and end with one practical takeaway.</x:t>
        </x:is>
      </x:c>
      <x:c r="L174" s="117" t="inlineStr">
        <x:is>
          <x:t xml:space="preserve">Use Msafiri to stay ahead of car-care surprises.</x:t>
        </x:is>
      </x:c>
      <x:c r="M174" s="117" t="inlineStr">
        <x:is>
          <x:t xml:space="preserve">fluid check; captions; app screen-record; branded end card</x:t>
        </x:is>
      </x:c>
      <x:c r="N174" s="117" t="inlineStr">
        <x:is>
          <x:t xml:space="preserve">Medium</x:t>
        </x:is>
      </x:c>
      <x:c r="O174" s="117" t="n">
        <x:v>3</x:v>
      </x:c>
      <x:c r="P174" s="117" t="n">
        <x:v>4</x:v>
      </x:c>
      <x:c r="Q174" s="117" t="n">
        <x:v>5</x:v>
      </x:c>
      <x:c r="R174" s="117" t="n">
        <x:v>2</x:v>
      </x:c>
      <x:c r="S174" s="117" t="n">
        <x:v>2</x:v>
      </x:c>
      <x:c r="T174" s="117" t="n">
        <x:f>O174+P174+Q174+S174-R174</x:f>
        <x:v>12</x:v>
      </x:c>
      <x:c r="U174" s="117" t="inlineStr">
        <x:is>
          <x:t xml:space="preserve">Keep advice general unless verified by a qualified expert.</x:t>
        </x:is>
      </x:c>
      <x:c r="V174" s="117" t="inlineStr">
        <x:is>
          <x:t xml:space="preserve">Cut into a 15-sec hook, a Story poll and a carousel slide if it gets saves/comments.</x:t>
        </x:is>
      </x:c>
    </x:row>
    <x:row r="175" ht="58" customHeight="1">
      <x:c r="A175" s="110" t="n">
        <x:v>171</x:v>
      </x:c>
      <x:c r="B175" s="110" t="inlineStr">
        <x:is>
          <x:t xml:space="preserve">Kenyan Driving Reality</x:t>
        </x:is>
      </x:c>
      <x:c r="C175" s="110" t="inlineStr">
        <x:is>
          <x:t xml:space="preserve">Vehicle care</x:t>
        </x:is>
      </x:c>
      <x:c r="D175" s="110" t="inlineStr">
        <x:is>
          <x:t xml:space="preserve">Kenyan Driver Problems</x:t>
        </x:is>
      </x:c>
      <x:c r="E175" s="110" t="inlineStr">
        <x:is>
          <x:t xml:space="preserve">Family driver</x:t>
        </x:is>
      </x:c>
      <x:c r="F175" s="110" t="inlineStr">
        <x:is>
          <x:t xml:space="preserve">Engagement</x:t>
        </x:is>
      </x:c>
      <x:c r="G175" s="110" t="inlineStr">
        <x:is>
          <x:t xml:space="preserve">Skit</x:t>
        </x:is>
      </x:c>
      <x:c r="H175" s="110" t="inlineStr">
        <x:is>
          <x:t xml:space="preserve">POV: minor car issues becoming expensive surprises and everyone in the car has an opinion.</x:t>
        </x:is>
      </x:c>
      <x:c r="I175" s="110" t="inlineStr">
        <x:is>
          <x:t xml:space="preserve">Fast skit with driver/passenger tension; garage B-roll.</x:t>
        </x:is>
      </x:c>
      <x:c r="J175" s="110" t="inlineStr">
        <x:is>
          <x:t xml:space="preserve">Relatability and shares.</x:t>
        </x:is>
      </x:c>
      <x:c r="K175" s="110" t="inlineStr">
        <x:is>
          <x:t xml:space="preserve">Use the story to show minor car issues becoming expensive surprises and end with one practical takeaway.</x:t>
        </x:is>
      </x:c>
      <x:c r="L175" s="110" t="inlineStr">
        <x:is>
          <x:t xml:space="preserve">Use Msafiri to stay ahead of car-care surprises.</x:t>
        </x:is>
      </x:c>
      <x:c r="M175" s="110" t="inlineStr">
        <x:is>
          <x:t xml:space="preserve">garage B-roll; captions; app screen-record; branded end card</x:t>
        </x:is>
      </x:c>
      <x:c r="N175" s="110" t="inlineStr">
        <x:is>
          <x:t xml:space="preserve">High</x:t>
        </x:is>
      </x:c>
      <x:c r="O175" s="110" t="n">
        <x:v>4</x:v>
      </x:c>
      <x:c r="P175" s="110" t="n">
        <x:v>4</x:v>
      </x:c>
      <x:c r="Q175" s="110" t="n">
        <x:v>3</x:v>
      </x:c>
      <x:c r="R175" s="110" t="n">
        <x:v>3</x:v>
      </x:c>
      <x:c r="S175" s="110" t="n">
        <x:v>2</x:v>
      </x:c>
      <x:c r="T175" s="110" t="n">
        <x:f>O175+P175+Q175+S175-R175</x:f>
        <x:v>10</x:v>
      </x:c>
      <x:c r="U175" s="110" t="inlineStr">
        <x:is>
          <x:t xml:space="preserve">Keep advice general unless verified by a qualified expert.</x:t>
        </x:is>
      </x:c>
      <x:c r="V175" s="110" t="inlineStr">
        <x:is>
          <x:t xml:space="preserve">Cut into a 15-sec hook, a Story poll and a carousel slide if it gets saves/comments.</x:t>
        </x:is>
      </x:c>
    </x:row>
    <x:row r="176" ht="58" customHeight="1">
      <x:c r="A176" s="117" t="n">
        <x:v>172</x:v>
      </x:c>
      <x:c r="B176" s="117" t="inlineStr">
        <x:is>
          <x:t xml:space="preserve">Education / Safety</x:t>
        </x:is>
      </x:c>
      <x:c r="C176" s="117" t="inlineStr">
        <x:is>
          <x:t xml:space="preserve">Vehicle care</x:t>
        </x:is>
      </x:c>
      <x:c r="D176" s="117" t="inlineStr">
        <x:is>
          <x:t xml:space="preserve">Before You Drive</x:t>
        </x:is>
      </x:c>
      <x:c r="E176" s="117" t="inlineStr">
        <x:is>
          <x:t xml:space="preserve">Professional driver</x:t>
        </x:is>
      </x:c>
      <x:c r="F176" s="117" t="inlineStr">
        <x:is>
          <x:t xml:space="preserve">Retention</x:t>
        </x:is>
      </x:c>
      <x:c r="G176" s="117" t="inlineStr">
        <x:is>
          <x:t xml:space="preserve">Checklist Reel</x:t>
        </x:is>
      </x:c>
      <x:c r="H176" s="117" t="inlineStr">
        <x:is>
          <x:t xml:space="preserve">Save this before a school run: 3 things to check.</x:t>
        </x:is>
      </x:c>
      <x:c r="I176" s="117" t="inlineStr">
        <x:is>
          <x:t xml:space="preserve">Checklist overlay with hands-on shots; dashboard warning light.</x:t>
        </x:is>
      </x:c>
      <x:c r="J176" s="117" t="inlineStr">
        <x:is>
          <x:t xml:space="preserve">A saveable pre-drive behavior.</x:t>
        </x:is>
      </x:c>
      <x:c r="K176" s="117" t="inlineStr">
        <x:is>
          <x:t xml:space="preserve">Use the story to show minor car issues becoming expensive surprises and end with one practical takeaway.</x:t>
        </x:is>
      </x:c>
      <x:c r="L176" s="117" t="inlineStr">
        <x:is>
          <x:t xml:space="preserve">Use Msafiri to stay ahead of car-care surprises.</x:t>
        </x:is>
      </x:c>
      <x:c r="M176" s="117" t="inlineStr">
        <x:is>
          <x:t xml:space="preserve">dashboard warning light; captions; app screen-record; branded end card</x:t>
        </x:is>
      </x:c>
      <x:c r="N176" s="117" t="inlineStr">
        <x:is>
          <x:t xml:space="preserve">Low</x:t>
        </x:is>
      </x:c>
      <x:c r="O176" s="117" t="n">
        <x:v>3</x:v>
      </x:c>
      <x:c r="P176" s="117" t="n">
        <x:v>5</x:v>
      </x:c>
      <x:c r="Q176" s="117" t="n">
        <x:v>3</x:v>
      </x:c>
      <x:c r="R176" s="117" t="n">
        <x:v>1</x:v>
      </x:c>
      <x:c r="S176" s="117" t="n">
        <x:v>2</x:v>
      </x:c>
      <x:c r="T176" s="117" t="n">
        <x:f>O176+P176+Q176+S176-R176</x:f>
        <x:v>12</x:v>
      </x:c>
      <x:c r="U176" s="117" t="inlineStr">
        <x:is>
          <x:t xml:space="preserve">Keep advice general unless verified by a qualified expert.</x:t>
        </x:is>
      </x:c>
      <x:c r="V176" s="117" t="inlineStr">
        <x:is>
          <x:t xml:space="preserve">Cut into a 15-sec hook, a Story poll and a carousel slide if it gets saves/comments.</x:t>
        </x:is>
      </x:c>
    </x:row>
    <x:row r="177" ht="58" customHeight="1">
      <x:c r="A177" s="110" t="n">
        <x:v>173</x:v>
      </x:c>
      <x:c r="B177" s="110" t="inlineStr">
        <x:is>
          <x:t xml:space="preserve">Founder / BTS</x:t>
        </x:is>
      </x:c>
      <x:c r="C177" s="110" t="inlineStr">
        <x:is>
          <x:t xml:space="preserve">Vehicle care</x:t>
        </x:is>
      </x:c>
      <x:c r="D177" s="110" t="inlineStr">
        <x:is>
          <x:t xml:space="preserve">Founder Files</x:t>
        </x:is>
      </x:c>
      <x:c r="E177" s="110" t="inlineStr">
        <x:is>
          <x:t xml:space="preserve">Car owner</x:t>
        </x:is>
      </x:c>
      <x:c r="F177" s="110" t="inlineStr">
        <x:is>
          <x:t xml:space="preserve">Trust</x:t>
        </x:is>
      </x:c>
      <x:c r="G177" s="110" t="inlineStr">
        <x:is>
          <x:t xml:space="preserve">Founder-to-camera</x:t>
        </x:is>
      </x:c>
      <x:c r="H177" s="110" t="inlineStr">
        <x:is>
          <x:t xml:space="preserve">Peter explains why vehicle care belongs in a Kenyan driving app.</x:t>
        </x:is>
      </x:c>
      <x:c r="I177" s="110" t="inlineStr">
        <x:is>
          <x:t xml:space="preserve">Peter in car + product cutaway; checklist overlay.</x:t>
        </x:is>
      </x:c>
      <x:c r="J177" s="110" t="inlineStr">
        <x:is>
          <x:t xml:space="preserve">Founder trust and mission clarity.</x:t>
        </x:is>
      </x:c>
      <x:c r="K177" s="110" t="inlineStr">
        <x:is>
          <x:t xml:space="preserve">Use the story to show minor car issues becoming expensive surprises and end with one practical takeaway.</x:t>
        </x:is>
      </x:c>
      <x:c r="L177" s="110" t="inlineStr">
        <x:is>
          <x:t xml:space="preserve">Use Msafiri to stay ahead of car-care surprises.</x:t>
        </x:is>
      </x:c>
      <x:c r="M177" s="110" t="inlineStr">
        <x:is>
          <x:t xml:space="preserve">checklist overlay; captions; app screen-record; branded end card</x:t>
        </x:is>
      </x:c>
      <x:c r="N177" s="110" t="inlineStr">
        <x:is>
          <x:t xml:space="preserve">Medium</x:t>
        </x:is>
      </x:c>
      <x:c r="O177" s="110" t="n">
        <x:v>3</x:v>
      </x:c>
      <x:c r="P177" s="110" t="n">
        <x:v>4</x:v>
      </x:c>
      <x:c r="Q177" s="110" t="n">
        <x:v>3</x:v>
      </x:c>
      <x:c r="R177" s="110" t="n">
        <x:v>2</x:v>
      </x:c>
      <x:c r="S177" s="110" t="n">
        <x:v>2</x:v>
      </x:c>
      <x:c r="T177" s="110" t="n">
        <x:f>O177+P177+Q177+S177-R177</x:f>
        <x:v>10</x:v>
      </x:c>
      <x:c r="U177" s="110" t="inlineStr">
        <x:is>
          <x:t xml:space="preserve">Keep advice general unless verified by a qualified expert.</x:t>
        </x:is>
      </x:c>
      <x:c r="V177" s="110" t="inlineStr">
        <x:is>
          <x:t xml:space="preserve">Cut into a 15-sec hook, a Story poll and a carousel slide if it gets saves/comments.</x:t>
        </x:is>
      </x:c>
    </x:row>
    <x:row r="178" ht="58" customHeight="1">
      <x:c r="A178" s="117" t="n">
        <x:v>174</x:v>
      </x:c>
      <x:c r="B178" s="117" t="inlineStr">
        <x:is>
          <x:t xml:space="preserve">Debate / Mythbusters</x:t>
        </x:is>
      </x:c>
      <x:c r="C178" s="117" t="inlineStr">
        <x:is>
          <x:t xml:space="preserve">Vehicle care</x:t>
        </x:is>
      </x:c>
      <x:c r="D178" s="117" t="inlineStr">
        <x:is>
          <x:t xml:space="preserve">Road Mythbusters</x:t>
        </x:is>
      </x:c>
      <x:c r="E178" s="117" t="inlineStr">
        <x:is>
          <x:t xml:space="preserve">New driver</x:t>
        </x:is>
      </x:c>
      <x:c r="F178" s="117" t="inlineStr">
        <x:is>
          <x:t xml:space="preserve">Engagement</x:t>
        </x:is>
      </x:c>
      <x:c r="G178" s="117" t="inlineStr">
        <x:is>
          <x:t xml:space="preserve">Short-form video</x:t>
        </x:is>
      </x:c>
      <x:c r="H178" s="117" t="inlineStr">
        <x:is>
          <x:t xml:space="preserve">Hot take: car care reminders are not boring when they save your month..</x:t>
        </x:is>
      </x:c>
      <x:c r="I178" s="117" t="inlineStr">
        <x:is>
          <x:t xml:space="preserve">Claim vs reality split screen; tyre check.</x:t>
        </x:is>
      </x:c>
      <x:c r="J178" s="117" t="inlineStr">
        <x:is>
          <x:t xml:space="preserve">Controlled comments and debate.</x:t>
        </x:is>
      </x:c>
      <x:c r="K178" s="117" t="inlineStr">
        <x:is>
          <x:t xml:space="preserve">Use the story to show minor car issues becoming expensive surprises and end with one practical takeaway.</x:t>
        </x:is>
      </x:c>
      <x:c r="L178" s="117" t="inlineStr">
        <x:is>
          <x:t xml:space="preserve">Use Msafiri to stay ahead of car-care surprises.</x:t>
        </x:is>
      </x:c>
      <x:c r="M178" s="117" t="inlineStr">
        <x:is>
          <x:t xml:space="preserve">tyre check; captions; app screen-record; branded end card</x:t>
        </x:is>
      </x:c>
      <x:c r="N178" s="117" t="inlineStr">
        <x:is>
          <x:t xml:space="preserve">High</x:t>
        </x:is>
      </x:c>
      <x:c r="O178" s="117" t="n">
        <x:v>4</x:v>
      </x:c>
      <x:c r="P178" s="117" t="n">
        <x:v>4</x:v>
      </x:c>
      <x:c r="Q178" s="117" t="n">
        <x:v>3</x:v>
      </x:c>
      <x:c r="R178" s="117" t="n">
        <x:v>3</x:v>
      </x:c>
      <x:c r="S178" s="117" t="n">
        <x:v>2</x:v>
      </x:c>
      <x:c r="T178" s="117" t="n">
        <x:f>O178+P178+Q178+S178-R178</x:f>
        <x:v>10</x:v>
      </x:c>
      <x:c r="U178" s="117" t="inlineStr">
        <x:is>
          <x:t xml:space="preserve">Keep advice general unless verified by a qualified expert.</x:t>
        </x:is>
      </x:c>
      <x:c r="V178" s="117" t="inlineStr">
        <x:is>
          <x:t xml:space="preserve">Cut into a 15-sec hook, a Story poll and a carousel slide if it gets saves/comments.</x:t>
        </x:is>
      </x:c>
    </x:row>
    <x:row r="179" ht="58" customHeight="1">
      <x:c r="A179" s="110" t="n">
        <x:v>175</x:v>
      </x:c>
      <x:c r="B179" s="110" t="inlineStr">
        <x:is>
          <x:t xml:space="preserve">Community / UGC</x:t>
        </x:is>
      </x:c>
      <x:c r="C179" s="110" t="inlineStr">
        <x:is>
          <x:t xml:space="preserve">Vehicle care</x:t>
        </x:is>
      </x:c>
      <x:c r="D179" s="110" t="inlineStr">
        <x:is>
          <x:t xml:space="preserve">Ask a Kenyan Driver</x:t>
        </x:is>
      </x:c>
      <x:c r="E179" s="110" t="inlineStr">
        <x:is>
          <x:t xml:space="preserve">Family driver</x:t>
        </x:is>
      </x:c>
      <x:c r="F179" s="110" t="inlineStr">
        <x:is>
          <x:t xml:space="preserve">Community</x:t>
        </x:is>
      </x:c>
      <x:c r="G179" s="110" t="inlineStr">
        <x:is>
          <x:t xml:space="preserve">Street Interview</x:t>
        </x:is>
      </x:c>
      <x:c r="H179" s="110" t="inlineStr">
        <x:is>
          <x:t xml:space="preserve">We asked drivers: what car issue surprised you at the worst time?</x:t>
        </x:is>
      </x:c>
      <x:c r="I179" s="110" t="inlineStr">
        <x:is>
          <x:t xml:space="preserve">Street answers + subtitle template; fluid check.</x:t>
        </x:is>
      </x:c>
      <x:c r="J179" s="110" t="inlineStr">
        <x:is>
          <x:t xml:space="preserve">Community stories and future ideas.</x:t>
        </x:is>
      </x:c>
      <x:c r="K179" s="110" t="inlineStr">
        <x:is>
          <x:t xml:space="preserve">Use the story to show minor car issues becoming expensive surprises and end with one practical takeaway.</x:t>
        </x:is>
      </x:c>
      <x:c r="L179" s="110" t="inlineStr">
        <x:is>
          <x:t xml:space="preserve">Use Msafiri to stay ahead of car-care surprises.</x:t>
        </x:is>
      </x:c>
      <x:c r="M179" s="110" t="inlineStr">
        <x:is>
          <x:t xml:space="preserve">fluid check; captions; app screen-record; branded end card</x:t>
        </x:is>
      </x:c>
      <x:c r="N179" s="110" t="inlineStr">
        <x:is>
          <x:t xml:space="preserve">Low</x:t>
        </x:is>
      </x:c>
      <x:c r="O179" s="110" t="n">
        <x:v>3</x:v>
      </x:c>
      <x:c r="P179" s="110" t="n">
        <x:v>4</x:v>
      </x:c>
      <x:c r="Q179" s="110" t="n">
        <x:v>3</x:v>
      </x:c>
      <x:c r="R179" s="110" t="n">
        <x:v>1</x:v>
      </x:c>
      <x:c r="S179" s="110" t="n">
        <x:v>2</x:v>
      </x:c>
      <x:c r="T179" s="110" t="n">
        <x:f>O179+P179+Q179+S179-R179</x:f>
        <x:v>11</x:v>
      </x:c>
      <x:c r="U179" s="110" t="inlineStr">
        <x:is>
          <x:t xml:space="preserve">Keep advice general unless verified by a qualified expert.</x:t>
        </x:is>
      </x:c>
      <x:c r="V179" s="110" t="inlineStr">
        <x:is>
          <x:t xml:space="preserve">Turn best responses into Comment-to-Video and add to next week’s road-check queue.</x:t>
        </x:is>
      </x:c>
    </x:row>
    <x:row r="180" ht="58" customHeight="1">
      <x:c r="A180" s="117" t="n">
        <x:v>176</x:v>
      </x:c>
      <x:c r="B180" s="117" t="inlineStr">
        <x:is>
          <x:t xml:space="preserve">Accident Readiness</x:t>
        </x:is>
      </x:c>
      <x:c r="C180" s="117" t="inlineStr">
        <x:is>
          <x:t xml:space="preserve">Vehicle care</x:t>
        </x:is>
      </x:c>
      <x:c r="D180" s="117" t="inlineStr">
        <x:is>
          <x:t xml:space="preserve">Would You Know What To Do?</x:t>
        </x:is>
      </x:c>
      <x:c r="E180" s="117" t="inlineStr">
        <x:is>
          <x:t xml:space="preserve">Professional driver</x:t>
        </x:is>
      </x:c>
      <x:c r="F180" s="117" t="inlineStr">
        <x:is>
          <x:t xml:space="preserve">Trust</x:t>
        </x:is>
      </x:c>
      <x:c r="G180" s="117" t="inlineStr">
        <x:is>
          <x:t xml:space="preserve">Short-form video</x:t>
        </x:is>
      </x:c>
      <x:c r="H180" s="117" t="inlineStr">
        <x:is>
          <x:t xml:space="preserve">If this happened today, would you know what to do first?</x:t>
        </x:is>
      </x:c>
      <x:c r="I180" s="117" t="inlineStr">
        <x:is>
          <x:t xml:space="preserve">Scenario roleplay + checklist; garage B-roll.</x:t>
        </x:is>
      </x:c>
      <x:c r="J180" s="117" t="inlineStr">
        <x:is>
          <x:t xml:space="preserve">Preparedness without fear.</x:t>
        </x:is>
      </x:c>
      <x:c r="K180" s="117" t="inlineStr">
        <x:is>
          <x:t xml:space="preserve">Use the story to show minor car issues becoming expensive surprises and end with one practical takeaway.</x:t>
        </x:is>
      </x:c>
      <x:c r="L180" s="117" t="inlineStr">
        <x:is>
          <x:t xml:space="preserve">Use Msafiri to stay ahead of car-care surprises.</x:t>
        </x:is>
      </x:c>
      <x:c r="M180" s="117" t="inlineStr">
        <x:is>
          <x:t xml:space="preserve">garage B-roll; captions; app screen-record; branded end card</x:t>
        </x:is>
      </x:c>
      <x:c r="N180" s="117" t="inlineStr">
        <x:is>
          <x:t xml:space="preserve">Medium</x:t>
        </x:is>
      </x:c>
      <x:c r="O180" s="117" t="n">
        <x:v>3</x:v>
      </x:c>
      <x:c r="P180" s="117" t="n">
        <x:v>5</x:v>
      </x:c>
      <x:c r="Q180" s="117" t="n">
        <x:v>3</x:v>
      </x:c>
      <x:c r="R180" s="117" t="n">
        <x:v>2</x:v>
      </x:c>
      <x:c r="S180" s="117" t="n">
        <x:v>2</x:v>
      </x:c>
      <x:c r="T180" s="117" t="n">
        <x:f>O180+P180+Q180+S180-R180</x:f>
        <x:v>11</x:v>
      </x:c>
      <x:c r="U180" s="117" t="inlineStr">
        <x:is>
          <x:t xml:space="preserve">Keep advice general unless verified by a qualified expert.</x:t>
        </x:is>
      </x:c>
      <x:c r="V180" s="117" t="inlineStr">
        <x:is>
          <x:t xml:space="preserve">Cut into a 15-sec hook, a Story poll and a carousel slide if it gets saves/comments.</x:t>
        </x:is>
      </x:c>
    </x:row>
    <x:row r="181" ht="58" customHeight="1">
      <x:c r="A181" s="110" t="n">
        <x:v>177</x:v>
      </x:c>
      <x:c r="B181" s="110" t="inlineStr">
        <x:is>
          <x:t xml:space="preserve">Product / Feature Proof</x:t>
        </x:is>
      </x:c>
      <x:c r="C181" s="110" t="inlineStr">
        <x:is>
          <x:t xml:space="preserve">Vehicle care</x:t>
        </x:is>
      </x:c>
      <x:c r="D181" s="110" t="inlineStr">
        <x:is>
          <x:t xml:space="preserve">Can Msafiri Do This?</x:t>
        </x:is>
      </x:c>
      <x:c r="E181" s="110" t="inlineStr">
        <x:is>
          <x:t xml:space="preserve">Car owner</x:t>
        </x:is>
      </x:c>
      <x:c r="F181" s="110" t="inlineStr">
        <x:is>
          <x:t xml:space="preserve">Feature Discovery</x:t>
        </x:is>
      </x:c>
      <x:c r="G181" s="110" t="inlineStr">
        <x:is>
          <x:t xml:space="preserve">Short-form video</x:t>
        </x:is>
      </x:c>
      <x:c r="H181" s="110" t="inlineStr">
        <x:is>
          <x:t xml:space="preserve">Can Msafiri help when minor car issues becoming expensive surprises? Let’s test it.</x:t>
        </x:is>
      </x:c>
      <x:c r="I181" s="110" t="inlineStr">
        <x:is>
          <x:t xml:space="preserve">Live test with timer; dashboard warning light.</x:t>
        </x:is>
      </x:c>
      <x:c r="J181" s="110" t="inlineStr">
        <x:is>
          <x:t xml:space="preserve">Proof through demonstration.</x:t>
        </x:is>
      </x:c>
      <x:c r="K181" s="110" t="inlineStr">
        <x:is>
          <x:t xml:space="preserve">Use the story to show minor car issues becoming expensive surprises and end with one practical takeaway.</x:t>
        </x:is>
      </x:c>
      <x:c r="L181" s="110" t="inlineStr">
        <x:is>
          <x:t xml:space="preserve">Use Msafiri to stay ahead of car-care surprises.</x:t>
        </x:is>
      </x:c>
      <x:c r="M181" s="110" t="inlineStr">
        <x:is>
          <x:t xml:space="preserve">dashboard warning light; captions; app screen-record; branded end card</x:t>
        </x:is>
      </x:c>
      <x:c r="N181" s="110" t="inlineStr">
        <x:is>
          <x:t xml:space="preserve">High</x:t>
        </x:is>
      </x:c>
      <x:c r="O181" s="110" t="n">
        <x:v>3</x:v>
      </x:c>
      <x:c r="P181" s="110" t="n">
        <x:v>4</x:v>
      </x:c>
      <x:c r="Q181" s="110" t="n">
        <x:v>5</x:v>
      </x:c>
      <x:c r="R181" s="110" t="n">
        <x:v>3</x:v>
      </x:c>
      <x:c r="S181" s="110" t="n">
        <x:v>2</x:v>
      </x:c>
      <x:c r="T181" s="110" t="n">
        <x:f>O181+P181+Q181+S181-R181</x:f>
        <x:v>11</x:v>
      </x:c>
      <x:c r="U181" s="110" t="inlineStr">
        <x:is>
          <x:t xml:space="preserve">Keep advice general unless verified by a qualified expert.</x:t>
        </x:is>
      </x:c>
      <x:c r="V181" s="110" t="inlineStr">
        <x:is>
          <x:t xml:space="preserve">Cut into a 15-sec hook, a Story poll and a carousel slide if it gets saves/comments.</x:t>
        </x:is>
      </x:c>
    </x:row>
    <x:row r="182" ht="58" customHeight="1">
      <x:c r="A182" s="117" t="n">
        <x:v>178</x:v>
      </x:c>
      <x:c r="B182" s="117" t="inlineStr">
        <x:is>
          <x:t xml:space="preserve">Road Intelligence</x:t>
        </x:is>
      </x:c>
      <x:c r="C182" s="117" t="inlineStr">
        <x:is>
          <x:t xml:space="preserve">Vehicle care</x:t>
        </x:is>
      </x:c>
      <x:c r="D182" s="117" t="inlineStr">
        <x:is>
          <x:t xml:space="preserve">Road Trip POV</x:t>
        </x:is>
      </x:c>
      <x:c r="E182" s="117" t="inlineStr">
        <x:is>
          <x:t xml:space="preserve">New driver</x:t>
        </x:is>
      </x:c>
      <x:c r="F182" s="117" t="inlineStr">
        <x:is>
          <x:t xml:space="preserve">Awareness</x:t>
        </x:is>
      </x:c>
      <x:c r="G182" s="117" t="inlineStr">
        <x:is>
          <x:t xml:space="preserve">Hero / Reel</x:t>
        </x:is>
      </x:c>
      <x:c r="H182" s="117" t="inlineStr">
        <x:is>
          <x:t xml:space="preserve">A calm drive is not luck — watch how we planned a family errand.</x:t>
        </x:is>
      </x:c>
      <x:c r="I182" s="117" t="inlineStr">
        <x:is>
          <x:t xml:space="preserve">Cinematic POV + UI moments; checklist overlay.</x:t>
        </x:is>
      </x:c>
      <x:c r="J182" s="117" t="inlineStr">
        <x:is>
          <x:t xml:space="preserve">Aspirational practical brand feel.</x:t>
        </x:is>
      </x:c>
      <x:c r="K182" s="117" t="inlineStr">
        <x:is>
          <x:t xml:space="preserve">Use the story to show minor car issues becoming expensive surprises and end with one practical takeaway.</x:t>
        </x:is>
      </x:c>
      <x:c r="L182" s="117" t="inlineStr">
        <x:is>
          <x:t xml:space="preserve">Use Msafiri to stay ahead of car-care surprises.</x:t>
        </x:is>
      </x:c>
      <x:c r="M182" s="117" t="inlineStr">
        <x:is>
          <x:t xml:space="preserve">checklist overlay; captions; app screen-record; branded end card</x:t>
        </x:is>
      </x:c>
      <x:c r="N182" s="117" t="inlineStr">
        <x:is>
          <x:t xml:space="preserve">Low</x:t>
        </x:is>
      </x:c>
      <x:c r="O182" s="117" t="n">
        <x:v>3</x:v>
      </x:c>
      <x:c r="P182" s="117" t="n">
        <x:v>5</x:v>
      </x:c>
      <x:c r="Q182" s="117" t="n">
        <x:v>3</x:v>
      </x:c>
      <x:c r="R182" s="117" t="n">
        <x:v>1</x:v>
      </x:c>
      <x:c r="S182" s="117" t="n">
        <x:v>3</x:v>
      </x:c>
      <x:c r="T182" s="117" t="n">
        <x:f>O182+P182+Q182+S182-R182</x:f>
        <x:v>13</x:v>
      </x:c>
      <x:c r="U182" s="117" t="inlineStr">
        <x:is>
          <x:t xml:space="preserve">Keep advice general unless verified by a qualified expert.</x:t>
        </x:is>
      </x:c>
      <x:c r="V182" s="117" t="inlineStr">
        <x:is>
          <x:t xml:space="preserve">Cut into a 15-sec hook, a Story poll and a carousel slide if it gets saves/comments.</x:t>
        </x:is>
      </x:c>
    </x:row>
    <x:row r="183" ht="58" customHeight="1">
      <x:c r="A183" s="110" t="n">
        <x:v>179</x:v>
      </x:c>
      <x:c r="B183" s="110" t="inlineStr">
        <x:is>
          <x:t xml:space="preserve">Education / Safety</x:t>
        </x:is>
      </x:c>
      <x:c r="C183" s="110" t="inlineStr">
        <x:is>
          <x:t xml:space="preserve">Vehicle care</x:t>
        </x:is>
      </x:c>
      <x:c r="D183" s="110" t="inlineStr">
        <x:is>
          <x:t xml:space="preserve">One Minute Road Safety</x:t>
        </x:is>
      </x:c>
      <x:c r="E183" s="110" t="inlineStr">
        <x:is>
          <x:t xml:space="preserve">Family driver</x:t>
        </x:is>
      </x:c>
      <x:c r="F183" s="110" t="inlineStr">
        <x:is>
          <x:t xml:space="preserve">Retention</x:t>
        </x:is>
      </x:c>
      <x:c r="G183" s="110" t="inlineStr">
        <x:is>
          <x:t xml:space="preserve">Checklist Reel</x:t>
        </x:is>
      </x:c>
      <x:c r="H183" s="110" t="inlineStr">
        <x:is>
          <x:t xml:space="preserve">One minute road safety: vehicle care edition.</x:t>
        </x:is>
      </x:c>
      <x:c r="I183" s="110" t="inlineStr">
        <x:is>
          <x:t xml:space="preserve">One tip per beat; tyre check.</x:t>
        </x:is>
      </x:c>
      <x:c r="J183" s="110" t="inlineStr">
        <x:is>
          <x:t xml:space="preserve">Quick knowledge people can use.</x:t>
        </x:is>
      </x:c>
      <x:c r="K183" s="110" t="inlineStr">
        <x:is>
          <x:t xml:space="preserve">Use the story to show minor car issues becoming expensive surprises and end with one practical takeaway.</x:t>
        </x:is>
      </x:c>
      <x:c r="L183" s="110" t="inlineStr">
        <x:is>
          <x:t xml:space="preserve">Use Msafiri to stay ahead of car-care surprises.</x:t>
        </x:is>
      </x:c>
      <x:c r="M183" s="110" t="inlineStr">
        <x:is>
          <x:t xml:space="preserve">tyre check; captions; app screen-record; branded end card</x:t>
        </x:is>
      </x:c>
      <x:c r="N183" s="110" t="inlineStr">
        <x:is>
          <x:t xml:space="preserve">Medium</x:t>
        </x:is>
      </x:c>
      <x:c r="O183" s="110" t="n">
        <x:v>3</x:v>
      </x:c>
      <x:c r="P183" s="110" t="n">
        <x:v>5</x:v>
      </x:c>
      <x:c r="Q183" s="110" t="n">
        <x:v>3</x:v>
      </x:c>
      <x:c r="R183" s="110" t="n">
        <x:v>2</x:v>
      </x:c>
      <x:c r="S183" s="110" t="n">
        <x:v>2</x:v>
      </x:c>
      <x:c r="T183" s="110" t="n">
        <x:f>O183+P183+Q183+S183-R183</x:f>
        <x:v>11</x:v>
      </x:c>
      <x:c r="U183" s="110" t="inlineStr">
        <x:is>
          <x:t xml:space="preserve">Keep advice general unless verified by a qualified expert.</x:t>
        </x:is>
      </x:c>
      <x:c r="V183" s="110" t="inlineStr">
        <x:is>
          <x:t xml:space="preserve">Cut into a 15-sec hook, a Story poll and a carousel slide if it gets saves/comments.</x:t>
        </x:is>
      </x:c>
    </x:row>
    <x:row r="184" ht="58" customHeight="1">
      <x:c r="A184" s="117" t="n">
        <x:v>180</x:v>
      </x:c>
      <x:c r="B184" s="117" t="inlineStr">
        <x:is>
          <x:t xml:space="preserve">Founder / BTS</x:t>
        </x:is>
      </x:c>
      <x:c r="C184" s="117" t="inlineStr">
        <x:is>
          <x:t xml:space="preserve">Vehicle care</x:t>
        </x:is>
      </x:c>
      <x:c r="D184" s="117" t="inlineStr">
        <x:is>
          <x:t xml:space="preserve">Build With Peter</x:t>
        </x:is>
      </x:c>
      <x:c r="E184" s="117" t="inlineStr">
        <x:is>
          <x:t xml:space="preserve">Professional driver</x:t>
        </x:is>
      </x:c>
      <x:c r="F184" s="117" t="inlineStr">
        <x:is>
          <x:t xml:space="preserve">Trust</x:t>
        </x:is>
      </x:c>
      <x:c r="G184" s="117" t="inlineStr">
        <x:is>
          <x:t xml:space="preserve">Founder-to-camera</x:t>
        </x:is>
      </x:c>
      <x:c r="H184" s="117" t="inlineStr">
        <x:is>
          <x:t xml:space="preserve">The product decision we almost got wrong with vehicle care.</x:t>
        </x:is>
      </x:c>
      <x:c r="I184" s="117" t="inlineStr">
        <x:is>
          <x:t xml:space="preserve">Peter + notes + app prototype; fluid check.</x:t>
        </x:is>
      </x:c>
      <x:c r="J184" s="117" t="inlineStr">
        <x:is>
          <x:t xml:space="preserve">Humanizing the build process.</x:t>
        </x:is>
      </x:c>
      <x:c r="K184" s="117" t="inlineStr">
        <x:is>
          <x:t xml:space="preserve">Use the story to show minor car issues becoming expensive surprises and end with one practical takeaway.</x:t>
        </x:is>
      </x:c>
      <x:c r="L184" s="117" t="inlineStr">
        <x:is>
          <x:t xml:space="preserve">Use Msafiri to stay ahead of car-care surprises.</x:t>
        </x:is>
      </x:c>
      <x:c r="M184" s="117" t="inlineStr">
        <x:is>
          <x:t xml:space="preserve">fluid check; captions; app screen-record; branded end card</x:t>
        </x:is>
      </x:c>
      <x:c r="N184" s="117" t="inlineStr">
        <x:is>
          <x:t xml:space="preserve">High</x:t>
        </x:is>
      </x:c>
      <x:c r="O184" s="117" t="n">
        <x:v>3</x:v>
      </x:c>
      <x:c r="P184" s="117" t="n">
        <x:v>4</x:v>
      </x:c>
      <x:c r="Q184" s="117" t="n">
        <x:v>3</x:v>
      </x:c>
      <x:c r="R184" s="117" t="n">
        <x:v>3</x:v>
      </x:c>
      <x:c r="S184" s="117" t="n">
        <x:v>2</x:v>
      </x:c>
      <x:c r="T184" s="117" t="n">
        <x:f>O184+P184+Q184+S184-R184</x:f>
        <x:v>9</x:v>
      </x:c>
      <x:c r="U184" s="117" t="inlineStr">
        <x:is>
          <x:t xml:space="preserve">Keep advice general unless verified by a qualified expert.</x:t>
        </x:is>
      </x:c>
      <x:c r="V184" s="117" t="inlineStr">
        <x:is>
          <x:t xml:space="preserve">Cut into a 15-sec hook, a Story poll and a carousel slide if it gets saves/comments.</x:t>
        </x:is>
      </x:c>
    </x:row>
    <x:row r="185" ht="58" customHeight="1">
      <x:c r="A185" s="110" t="n">
        <x:v>181</x:v>
      </x:c>
      <x:c r="B185" s="110" t="inlineStr">
        <x:is>
          <x:t xml:space="preserve">Community / UGC</x:t>
        </x:is>
      </x:c>
      <x:c r="C185" s="110" t="inlineStr">
        <x:is>
          <x:t xml:space="preserve">Vehicle care</x:t>
        </x:is>
      </x:c>
      <x:c r="D185" s="110" t="inlineStr">
        <x:is>
          <x:t xml:space="preserve">Comment-to-Video</x:t>
        </x:is>
      </x:c>
      <x:c r="E185" s="110" t="inlineStr">
        <x:is>
          <x:t xml:space="preserve">Car owner</x:t>
        </x:is>
      </x:c>
      <x:c r="F185" s="110" t="inlineStr">
        <x:is>
          <x:t xml:space="preserve">Community</x:t>
        </x:is>
      </x:c>
      <x:c r="G185" s="110" t="inlineStr">
        <x:is>
          <x:t xml:space="preserve">Community Reply</x:t>
        </x:is>
      </x:c>
      <x:c r="H185" s="110" t="inlineStr">
        <x:is>
          <x:t xml:space="preserve">A follower asked about minor car issues becoming expensive surprises; here is the practical answer.</x:t>
        </x:is>
      </x:c>
      <x:c r="I185" s="110" t="inlineStr">
        <x:is>
          <x:t xml:space="preserve">Comment sticker + direct answer; garage B-roll.</x:t>
        </x:is>
      </x:c>
      <x:c r="J185" s="110" t="inlineStr">
        <x:is>
          <x:t xml:space="preserve">Reward comments and build trust.</x:t>
        </x:is>
      </x:c>
      <x:c r="K185" s="110" t="inlineStr">
        <x:is>
          <x:t xml:space="preserve">Use the story to show minor car issues becoming expensive surprises and end with one practical takeaway.</x:t>
        </x:is>
      </x:c>
      <x:c r="L185" s="110" t="inlineStr">
        <x:is>
          <x:t xml:space="preserve">Use Msafiri to stay ahead of car-care surprises.</x:t>
        </x:is>
      </x:c>
      <x:c r="M185" s="110" t="inlineStr">
        <x:is>
          <x:t xml:space="preserve">garage B-roll; captions; app screen-record; branded end card</x:t>
        </x:is>
      </x:c>
      <x:c r="N185" s="110" t="inlineStr">
        <x:is>
          <x:t xml:space="preserve">Low</x:t>
        </x:is>
      </x:c>
      <x:c r="O185" s="110" t="n">
        <x:v>3</x:v>
      </x:c>
      <x:c r="P185" s="110" t="n">
        <x:v>4</x:v>
      </x:c>
      <x:c r="Q185" s="110" t="n">
        <x:v>3</x:v>
      </x:c>
      <x:c r="R185" s="110" t="n">
        <x:v>1</x:v>
      </x:c>
      <x:c r="S185" s="110" t="n">
        <x:v>2</x:v>
      </x:c>
      <x:c r="T185" s="110" t="n">
        <x:f>O185+P185+Q185+S185-R185</x:f>
        <x:v>11</x:v>
      </x:c>
      <x:c r="U185" s="110" t="inlineStr">
        <x:is>
          <x:t xml:space="preserve">Keep advice general unless verified by a qualified expert.</x:t>
        </x:is>
      </x:c>
      <x:c r="V185" s="110" t="inlineStr">
        <x:is>
          <x:t xml:space="preserve">Cut into a 15-sec hook, a Story poll and a carousel slide if it gets saves/comments.</x:t>
        </x:is>
      </x:c>
    </x:row>
    <x:row r="186" ht="58" customHeight="1">
      <x:c r="A186" s="117" t="n">
        <x:v>182</x:v>
      </x:c>
      <x:c r="B186" s="117" t="inlineStr">
        <x:is>
          <x:t xml:space="preserve">Kenyan Driving Reality</x:t>
        </x:is>
      </x:c>
      <x:c r="C186" s="117" t="inlineStr">
        <x:is>
          <x:t xml:space="preserve">Vehicle care</x:t>
        </x:is>
      </x:c>
      <x:c r="D186" s="117" t="inlineStr">
        <x:is>
          <x:t xml:space="preserve">Driver Confessions</x:t>
        </x:is>
      </x:c>
      <x:c r="E186" s="117" t="inlineStr">
        <x:is>
          <x:t xml:space="preserve">New driver</x:t>
        </x:is>
      </x:c>
      <x:c r="F186" s="117" t="inlineStr">
        <x:is>
          <x:t xml:space="preserve">Engagement</x:t>
        </x:is>
      </x:c>
      <x:c r="G186" s="117" t="inlineStr">
        <x:is>
          <x:t xml:space="preserve">Street Interview</x:t>
        </x:is>
      </x:c>
      <x:c r="H186" s="117" t="inlineStr">
        <x:is>
          <x:t xml:space="preserve">Confession time: what is the one driving mistake you learned from?</x:t>
        </x:is>
      </x:c>
      <x:c r="I186" s="117" t="inlineStr">
        <x:is>
          <x:t xml:space="preserve">Anonymous driver confession; dashboard warning light.</x:t>
        </x:is>
      </x:c>
      <x:c r="J186" s="117" t="inlineStr">
        <x:is>
          <x:t xml:space="preserve">Relatable vulnerability.</x:t>
        </x:is>
      </x:c>
      <x:c r="K186" s="117" t="inlineStr">
        <x:is>
          <x:t xml:space="preserve">Use the story to show minor car issues becoming expensive surprises and end with one practical takeaway.</x:t>
        </x:is>
      </x:c>
      <x:c r="L186" s="117" t="inlineStr">
        <x:is>
          <x:t xml:space="preserve">Use Msafiri to stay ahead of car-care surprises.</x:t>
        </x:is>
      </x:c>
      <x:c r="M186" s="117" t="inlineStr">
        <x:is>
          <x:t xml:space="preserve">dashboard warning light; captions; app screen-record; branded end card</x:t>
        </x:is>
      </x:c>
      <x:c r="N186" s="117" t="inlineStr">
        <x:is>
          <x:t xml:space="preserve">Medium</x:t>
        </x:is>
      </x:c>
      <x:c r="O186" s="117" t="n">
        <x:v>4</x:v>
      </x:c>
      <x:c r="P186" s="117" t="n">
        <x:v>4</x:v>
      </x:c>
      <x:c r="Q186" s="117" t="n">
        <x:v>3</x:v>
      </x:c>
      <x:c r="R186" s="117" t="n">
        <x:v>2</x:v>
      </x:c>
      <x:c r="S186" s="117" t="n">
        <x:v>2</x:v>
      </x:c>
      <x:c r="T186" s="117" t="n">
        <x:f>O186+P186+Q186+S186-R186</x:f>
        <x:v>11</x:v>
      </x:c>
      <x:c r="U186" s="117" t="inlineStr">
        <x:is>
          <x:t xml:space="preserve">Keep advice general unless verified by a qualified expert.</x:t>
        </x:is>
      </x:c>
      <x:c r="V186" s="117" t="inlineStr">
        <x:is>
          <x:t xml:space="preserve">Turn best responses into Comment-to-Video and add to next week’s road-check queue.</x:t>
        </x:is>
      </x:c>
    </x:row>
    <x:row r="187" ht="58" customHeight="1">
      <x:c r="A187" s="110" t="n">
        <x:v>183</x:v>
      </x:c>
      <x:c r="B187" s="110" t="inlineStr">
        <x:is>
          <x:t xml:space="preserve">Product / Feature Proof</x:t>
        </x:is>
      </x:c>
      <x:c r="C187" s="110" t="inlineStr">
        <x:is>
          <x:t xml:space="preserve">Vehicle care</x:t>
        </x:is>
      </x:c>
      <x:c r="D187" s="110" t="inlineStr">
        <x:is>
          <x:t xml:space="preserve">Before / After</x:t>
        </x:is>
      </x:c>
      <x:c r="E187" s="110" t="inlineStr">
        <x:is>
          <x:t xml:space="preserve">Family driver</x:t>
        </x:is>
      </x:c>
      <x:c r="F187" s="110" t="inlineStr">
        <x:is>
          <x:t xml:space="preserve">Conversion</x:t>
        </x:is>
      </x:c>
      <x:c r="G187" s="110" t="inlineStr">
        <x:is>
          <x:t xml:space="preserve">Short-form video</x:t>
        </x:is>
      </x:c>
      <x:c r="H187" s="110" t="inlineStr">
        <x:is>
          <x:t xml:space="preserve">Before Msafiri vs after Msafiri when minor car issues becoming expensive surprises.</x:t>
        </x:is>
      </x:c>
      <x:c r="I187" s="110" t="inlineStr">
        <x:is>
          <x:t xml:space="preserve">Two-act split screen; checklist overlay.</x:t>
        </x:is>
      </x:c>
      <x:c r="J187" s="110" t="inlineStr">
        <x:is>
          <x:t xml:space="preserve">A clear reason to try.</x:t>
        </x:is>
      </x:c>
      <x:c r="K187" s="110" t="inlineStr">
        <x:is>
          <x:t xml:space="preserve">Use the story to show minor car issues becoming expensive surprises and end with one practical takeaway.</x:t>
        </x:is>
      </x:c>
      <x:c r="L187" s="110" t="inlineStr">
        <x:is>
          <x:t xml:space="preserve">Use Msafiri to stay ahead of car-care surprises.</x:t>
        </x:is>
      </x:c>
      <x:c r="M187" s="110" t="inlineStr">
        <x:is>
          <x:t xml:space="preserve">checklist overlay; captions; app screen-record; branded end card</x:t>
        </x:is>
      </x:c>
      <x:c r="N187" s="110" t="inlineStr">
        <x:is>
          <x:t xml:space="preserve">High</x:t>
        </x:is>
      </x:c>
      <x:c r="O187" s="110" t="n">
        <x:v>3</x:v>
      </x:c>
      <x:c r="P187" s="110" t="n">
        <x:v>4</x:v>
      </x:c>
      <x:c r="Q187" s="110" t="n">
        <x:v>5</x:v>
      </x:c>
      <x:c r="R187" s="110" t="n">
        <x:v>3</x:v>
      </x:c>
      <x:c r="S187" s="110" t="n">
        <x:v>2</x:v>
      </x:c>
      <x:c r="T187" s="110" t="n">
        <x:f>O187+P187+Q187+S187-R187</x:f>
        <x:v>11</x:v>
      </x:c>
      <x:c r="U187" s="110" t="inlineStr">
        <x:is>
          <x:t xml:space="preserve">Keep advice general unless verified by a qualified expert.</x:t>
        </x:is>
      </x:c>
      <x:c r="V187" s="110" t="inlineStr">
        <x:is>
          <x:t xml:space="preserve">Cut into a 15-sec hook, a Story poll and a carousel slide if it gets saves/comments.</x:t>
        </x:is>
      </x:c>
    </x:row>
    <x:row r="188" ht="58" customHeight="1">
      <x:c r="A188" s="117" t="n">
        <x:v>184</x:v>
      </x:c>
      <x:c r="B188" s="117" t="inlineStr">
        <x:is>
          <x:t xml:space="preserve">Seasonal Campaign</x:t>
        </x:is>
      </x:c>
      <x:c r="C188" s="117" t="inlineStr">
        <x:is>
          <x:t xml:space="preserve">Vehicle care</x:t>
        </x:is>
      </x:c>
      <x:c r="D188" s="117" t="inlineStr">
        <x:is>
          <x:t xml:space="preserve">Holiday Road Prep</x:t>
        </x:is>
      </x:c>
      <x:c r="E188" s="117" t="inlineStr">
        <x:is>
          <x:t xml:space="preserve">Professional driver</x:t>
        </x:is>
      </x:c>
      <x:c r="F188" s="117" t="inlineStr">
        <x:is>
          <x:t xml:space="preserve">Awareness</x:t>
        </x:is>
      </x:c>
      <x:c r="G188" s="117" t="inlineStr">
        <x:is>
          <x:t xml:space="preserve">Checklist Reel</x:t>
        </x:is>
      </x:c>
      <x:c r="H188" s="117" t="inlineStr">
        <x:is>
          <x:t xml:space="preserve">Holiday drive coming up? Do not leave before checking this.</x:t>
        </x:is>
      </x:c>
      <x:c r="I188" s="117" t="inlineStr">
        <x:is>
          <x:t xml:space="preserve">Packing + car + phone mount; tyre check.</x:t>
        </x:is>
      </x:c>
      <x:c r="J188" s="117" t="inlineStr">
        <x:is>
          <x:t xml:space="preserve">Seasonal urgency.</x:t>
        </x:is>
      </x:c>
      <x:c r="K188" s="117" t="inlineStr">
        <x:is>
          <x:t xml:space="preserve">Use the story to show minor car issues becoming expensive surprises and end with one practical takeaway.</x:t>
        </x:is>
      </x:c>
      <x:c r="L188" s="117" t="inlineStr">
        <x:is>
          <x:t xml:space="preserve">Use Msafiri to stay ahead of car-care surprises.</x:t>
        </x:is>
      </x:c>
      <x:c r="M188" s="117" t="inlineStr">
        <x:is>
          <x:t xml:space="preserve">tyre check; captions; app screen-record; branded end card</x:t>
        </x:is>
      </x:c>
      <x:c r="N188" s="117" t="inlineStr">
        <x:is>
          <x:t xml:space="preserve">Low</x:t>
        </x:is>
      </x:c>
      <x:c r="O188" s="117" t="n">
        <x:v>4</x:v>
      </x:c>
      <x:c r="P188" s="117" t="n">
        <x:v>4</x:v>
      </x:c>
      <x:c r="Q188" s="117" t="n">
        <x:v>3</x:v>
      </x:c>
      <x:c r="R188" s="117" t="n">
        <x:v>1</x:v>
      </x:c>
      <x:c r="S188" s="117" t="n">
        <x:v>4</x:v>
      </x:c>
      <x:c r="T188" s="117" t="n">
        <x:f>O188+P188+Q188+S188-R188</x:f>
        <x:v>14</x:v>
      </x:c>
      <x:c r="U188" s="117" t="inlineStr">
        <x:is>
          <x:t xml:space="preserve">Keep advice general unless verified by a qualified expert.</x:t>
        </x:is>
      </x:c>
      <x:c r="V188" s="117" t="inlineStr">
        <x:is>
          <x:t xml:space="preserve">Cut into a 15-sec hook, a Story poll and a carousel slide if it gets saves/comments.</x:t>
        </x:is>
      </x:c>
    </x:row>
    <x:row r="189" ht="58" customHeight="1">
      <x:c r="A189" s="110" t="n">
        <x:v>185</x:v>
      </x:c>
      <x:c r="B189" s="110" t="inlineStr">
        <x:is>
          <x:t xml:space="preserve">Education / Safety</x:t>
        </x:is>
      </x:c>
      <x:c r="C189" s="110" t="inlineStr">
        <x:is>
          <x:t xml:space="preserve">Vehicle care</x:t>
        </x:is>
      </x:c>
      <x:c r="D189" s="110" t="inlineStr">
        <x:is>
          <x:t xml:space="preserve">Passenger POV</x:t>
        </x:is>
      </x:c>
      <x:c r="E189" s="110" t="inlineStr">
        <x:is>
          <x:t xml:space="preserve">Car owner</x:t>
        </x:is>
      </x:c>
      <x:c r="F189" s="110" t="inlineStr">
        <x:is>
          <x:t xml:space="preserve">Community</x:t>
        </x:is>
      </x:c>
      <x:c r="G189" s="110" t="inlineStr">
        <x:is>
          <x:t xml:space="preserve">Short-form video</x:t>
        </x:is>
      </x:c>
      <x:c r="H189" s="110" t="inlineStr">
        <x:is>
          <x:t xml:space="preserve">Passenger script: how to tell the driver to slow down without starting a fight.</x:t>
        </x:is>
      </x:c>
      <x:c r="I189" s="110" t="inlineStr">
        <x:is>
          <x:t xml:space="preserve">Passenger POV + text overlay; fluid check.</x:t>
        </x:is>
      </x:c>
      <x:c r="J189" s="110" t="inlineStr">
        <x:is>
          <x:t xml:space="preserve">Safety through social behavior.</x:t>
        </x:is>
      </x:c>
      <x:c r="K189" s="110" t="inlineStr">
        <x:is>
          <x:t xml:space="preserve">Use the story to show minor car issues becoming expensive surprises and end with one practical takeaway.</x:t>
        </x:is>
      </x:c>
      <x:c r="L189" s="110" t="inlineStr">
        <x:is>
          <x:t xml:space="preserve">Use Msafiri to stay ahead of car-care surprises.</x:t>
        </x:is>
      </x:c>
      <x:c r="M189" s="110" t="inlineStr">
        <x:is>
          <x:t xml:space="preserve">fluid check; captions; app screen-record; branded end card</x:t>
        </x:is>
      </x:c>
      <x:c r="N189" s="110" t="inlineStr">
        <x:is>
          <x:t xml:space="preserve">Medium</x:t>
        </x:is>
      </x:c>
      <x:c r="O189" s="110" t="n">
        <x:v>3</x:v>
      </x:c>
      <x:c r="P189" s="110" t="n">
        <x:v>5</x:v>
      </x:c>
      <x:c r="Q189" s="110" t="n">
        <x:v>3</x:v>
      </x:c>
      <x:c r="R189" s="110" t="n">
        <x:v>2</x:v>
      </x:c>
      <x:c r="S189" s="110" t="n">
        <x:v>2</x:v>
      </x:c>
      <x:c r="T189" s="110" t="n">
        <x:f>O189+P189+Q189+S189-R189</x:f>
        <x:v>11</x:v>
      </x:c>
      <x:c r="U189" s="110" t="inlineStr">
        <x:is>
          <x:t xml:space="preserve">Keep advice general unless verified by a qualified expert.</x:t>
        </x:is>
      </x:c>
      <x:c r="V189" s="110" t="inlineStr">
        <x:is>
          <x:t xml:space="preserve">Cut into a 15-sec hook, a Story poll and a carousel slide if it gets saves/comments.</x:t>
        </x:is>
      </x:c>
    </x:row>
    <x:row r="190" ht="58" customHeight="1">
      <x:c r="A190" s="117" t="n">
        <x:v>186</x:v>
      </x:c>
      <x:c r="B190" s="117" t="inlineStr">
        <x:is>
          <x:t xml:space="preserve">Product / Feature Proof</x:t>
        </x:is>
      </x:c>
      <x:c r="C190" s="117" t="inlineStr">
        <x:is>
          <x:t xml:space="preserve">Vehicle care</x:t>
        </x:is>
      </x:c>
      <x:c r="D190" s="117" t="inlineStr">
        <x:is>
          <x:t xml:space="preserve">Feature FAQ</x:t>
        </x:is>
      </x:c>
      <x:c r="E190" s="117" t="inlineStr">
        <x:is>
          <x:t xml:space="preserve">New driver</x:t>
        </x:is>
      </x:c>
      <x:c r="F190" s="117" t="inlineStr">
        <x:is>
          <x:t xml:space="preserve">Feature Discovery</x:t>
        </x:is>
      </x:c>
      <x:c r="G190" s="117" t="inlineStr">
        <x:is>
          <x:t xml:space="preserve">Carousel</x:t>
        </x:is>
      </x:c>
      <x:c r="H190" s="117" t="inlineStr">
        <x:is>
          <x:t xml:space="preserve">The question people ask about vehicle care, answered simply.</x:t>
        </x:is>
      </x:c>
      <x:c r="I190" s="117" t="inlineStr">
        <x:is>
          <x:t xml:space="preserve">Carousel with one answer per slide; garage B-roll.</x:t>
        </x:is>
      </x:c>
      <x:c r="J190" s="117" t="inlineStr">
        <x:is>
          <x:t xml:space="preserve">Reduce confusion.</x:t>
        </x:is>
      </x:c>
      <x:c r="K190" s="117" t="inlineStr">
        <x:is>
          <x:t xml:space="preserve">Use the story to show minor car issues becoming expensive surprises and end with one practical takeaway.</x:t>
        </x:is>
      </x:c>
      <x:c r="L190" s="117" t="inlineStr">
        <x:is>
          <x:t xml:space="preserve">Use Msafiri to stay ahead of car-care surprises.</x:t>
        </x:is>
      </x:c>
      <x:c r="M190" s="117" t="inlineStr">
        <x:is>
          <x:t xml:space="preserve">garage B-roll; captions; app screen-record; branded end card</x:t>
        </x:is>
      </x:c>
      <x:c r="N190" s="117" t="inlineStr">
        <x:is>
          <x:t xml:space="preserve">High</x:t>
        </x:is>
      </x:c>
      <x:c r="O190" s="117" t="n">
        <x:v>3</x:v>
      </x:c>
      <x:c r="P190" s="117" t="n">
        <x:v>4</x:v>
      </x:c>
      <x:c r="Q190" s="117" t="n">
        <x:v>5</x:v>
      </x:c>
      <x:c r="R190" s="117" t="n">
        <x:v>3</x:v>
      </x:c>
      <x:c r="S190" s="117" t="n">
        <x:v>2</x:v>
      </x:c>
      <x:c r="T190" s="117" t="n">
        <x:f>O190+P190+Q190+S190-R190</x:f>
        <x:v>11</x:v>
      </x:c>
      <x:c r="U190" s="117" t="inlineStr">
        <x:is>
          <x:t xml:space="preserve">Keep advice general unless verified by a qualified expert.</x:t>
        </x:is>
      </x:c>
      <x:c r="V190" s="117" t="inlineStr">
        <x:is>
          <x:t xml:space="preserve">Cut into a 15-sec hook, a Story poll and a carousel slide if it gets saves/comments.</x:t>
        </x:is>
      </x:c>
    </x:row>
    <x:row r="191" ht="58" customHeight="1">
      <x:c r="A191" s="110" t="n">
        <x:v>187</x:v>
      </x:c>
      <x:c r="B191" s="110" t="inlineStr">
        <x:is>
          <x:t xml:space="preserve">Debate / Mythbusters</x:t>
        </x:is>
      </x:c>
      <x:c r="C191" s="110" t="inlineStr">
        <x:is>
          <x:t xml:space="preserve">Vehicle care</x:t>
        </x:is>
      </x:c>
      <x:c r="D191" s="110" t="inlineStr">
        <x:is>
          <x:t xml:space="preserve">Road Mythbusters</x:t>
        </x:is>
      </x:c>
      <x:c r="E191" s="110" t="inlineStr">
        <x:is>
          <x:t xml:space="preserve">Family driver</x:t>
        </x:is>
      </x:c>
      <x:c r="F191" s="110" t="inlineStr">
        <x:is>
          <x:t xml:space="preserve">Engagement</x:t>
        </x:is>
      </x:c>
      <x:c r="G191" s="110" t="inlineStr">
        <x:is>
          <x:t xml:space="preserve">Story Poll</x:t>
        </x:is>
      </x:c>
      <x:c r="H191" s="110" t="inlineStr">
        <x:is>
          <x:t xml:space="preserve">Would you trust vehicle care on a normal weekday drive?</x:t>
        </x:is>
      </x:c>
      <x:c r="I191" s="110" t="inlineStr">
        <x:is>
          <x:t xml:space="preserve">Poll sticker + quick setup; dashboard warning light.</x:t>
        </x:is>
      </x:c>
      <x:c r="J191" s="110" t="inlineStr">
        <x:is>
          <x:t xml:space="preserve">Low-friction responses.</x:t>
        </x:is>
      </x:c>
      <x:c r="K191" s="110" t="inlineStr">
        <x:is>
          <x:t xml:space="preserve">Use the story to show minor car issues becoming expensive surprises and end with one practical takeaway.</x:t>
        </x:is>
      </x:c>
      <x:c r="L191" s="110" t="inlineStr">
        <x:is>
          <x:t xml:space="preserve">Use Msafiri to stay ahead of car-care surprises.</x:t>
        </x:is>
      </x:c>
      <x:c r="M191" s="110" t="inlineStr">
        <x:is>
          <x:t xml:space="preserve">dashboard warning light; captions; app screen-record; branded end card</x:t>
        </x:is>
      </x:c>
      <x:c r="N191" s="110" t="inlineStr">
        <x:is>
          <x:t xml:space="preserve">Low</x:t>
        </x:is>
      </x:c>
      <x:c r="O191" s="110" t="n">
        <x:v>4</x:v>
      </x:c>
      <x:c r="P191" s="110" t="n">
        <x:v>4</x:v>
      </x:c>
      <x:c r="Q191" s="110" t="n">
        <x:v>3</x:v>
      </x:c>
      <x:c r="R191" s="110" t="n">
        <x:v>1</x:v>
      </x:c>
      <x:c r="S191" s="110" t="n">
        <x:v>2</x:v>
      </x:c>
      <x:c r="T191" s="110" t="n">
        <x:f>O191+P191+Q191+S191-R191</x:f>
        <x:v>12</x:v>
      </x:c>
      <x:c r="U191" s="110" t="inlineStr">
        <x:is>
          <x:t xml:space="preserve">Keep advice general unless verified by a qualified expert.</x:t>
        </x:is>
      </x:c>
      <x:c r="V191" s="110" t="inlineStr">
        <x:is>
          <x:t xml:space="preserve">Turn best responses into Comment-to-Video and add to next week’s road-check queue.</x:t>
        </x:is>
      </x:c>
    </x:row>
    <x:row r="192" ht="58" customHeight="1">
      <x:c r="A192" s="117" t="n">
        <x:v>188</x:v>
      </x:c>
      <x:c r="B192" s="117" t="inlineStr">
        <x:is>
          <x:t xml:space="preserve">Road Intelligence</x:t>
        </x:is>
      </x:c>
      <x:c r="C192" s="117" t="inlineStr">
        <x:is>
          <x:t xml:space="preserve">Vehicle care</x:t>
        </x:is>
      </x:c>
      <x:c r="D192" s="117" t="inlineStr">
        <x:is>
          <x:t xml:space="preserve">Msafiri Explains</x:t>
        </x:is>
      </x:c>
      <x:c r="E192" s="117" t="inlineStr">
        <x:is>
          <x:t xml:space="preserve">Professional driver</x:t>
        </x:is>
      </x:c>
      <x:c r="F192" s="117" t="inlineStr">
        <x:is>
          <x:t xml:space="preserve">Trust</x:t>
        </x:is>
      </x:c>
      <x:c r="G192" s="117" t="inlineStr">
        <x:is>
          <x:t xml:space="preserve">Short-form video</x:t>
        </x:is>
      </x:c>
      <x:c r="H192" s="117" t="inlineStr">
        <x:is>
          <x:t xml:space="preserve">The road habit that makes minor car issues becoming expensive surprises worse.</x:t>
        </x:is>
      </x:c>
      <x:c r="I192" s="117" t="inlineStr">
        <x:is>
          <x:t xml:space="preserve">Explainer with road B-roll; checklist overlay.</x:t>
        </x:is>
      </x:c>
      <x:c r="J192" s="117" t="inlineStr">
        <x:is>
          <x:t xml:space="preserve">Teach without lecturing.</x:t>
        </x:is>
      </x:c>
      <x:c r="K192" s="117" t="inlineStr">
        <x:is>
          <x:t xml:space="preserve">Use the story to show minor car issues becoming expensive surprises and end with one practical takeaway.</x:t>
        </x:is>
      </x:c>
      <x:c r="L192" s="117" t="inlineStr">
        <x:is>
          <x:t xml:space="preserve">Use Msafiri to stay ahead of car-care surprises.</x:t>
        </x:is>
      </x:c>
      <x:c r="M192" s="117" t="inlineStr">
        <x:is>
          <x:t xml:space="preserve">checklist overlay; captions; app screen-record; branded end card</x:t>
        </x:is>
      </x:c>
      <x:c r="N192" s="117" t="inlineStr">
        <x:is>
          <x:t xml:space="preserve">Medium</x:t>
        </x:is>
      </x:c>
      <x:c r="O192" s="117" t="n">
        <x:v>3</x:v>
      </x:c>
      <x:c r="P192" s="117" t="n">
        <x:v>5</x:v>
      </x:c>
      <x:c r="Q192" s="117" t="n">
        <x:v>3</x:v>
      </x:c>
      <x:c r="R192" s="117" t="n">
        <x:v>2</x:v>
      </x:c>
      <x:c r="S192" s="117" t="n">
        <x:v>2</x:v>
      </x:c>
      <x:c r="T192" s="117" t="n">
        <x:f>O192+P192+Q192+S192-R192</x:f>
        <x:v>11</x:v>
      </x:c>
      <x:c r="U192" s="117" t="inlineStr">
        <x:is>
          <x:t xml:space="preserve">Keep advice general unless verified by a qualified expert.</x:t>
        </x:is>
      </x:c>
      <x:c r="V192" s="117" t="inlineStr">
        <x:is>
          <x:t xml:space="preserve">Cut into a 15-sec hook, a Story poll and a carousel slide if it gets saves/comments.</x:t>
        </x:is>
      </x:c>
    </x:row>
    <x:row r="193" ht="58" customHeight="1">
      <x:c r="A193" s="110" t="n">
        <x:v>189</x:v>
      </x:c>
      <x:c r="B193" s="110" t="inlineStr">
        <x:is>
          <x:t xml:space="preserve">Community / UGC</x:t>
        </x:is>
      </x:c>
      <x:c r="C193" s="110" t="inlineStr">
        <x:is>
          <x:t xml:space="preserve">Vehicle care</x:t>
        </x:is>
      </x:c>
      <x:c r="D193" s="110" t="inlineStr">
        <x:is>
          <x:t xml:space="preserve">Ask a Kenyan Driver</x:t>
        </x:is>
      </x:c>
      <x:c r="E193" s="110" t="inlineStr">
        <x:is>
          <x:t xml:space="preserve">Car owner</x:t>
        </x:is>
      </x:c>
      <x:c r="F193" s="110" t="inlineStr">
        <x:is>
          <x:t xml:space="preserve">Community</x:t>
        </x:is>
      </x:c>
      <x:c r="G193" s="110" t="inlineStr">
        <x:is>
          <x:t xml:space="preserve">Story Poll</x:t>
        </x:is>
      </x:c>
      <x:c r="H193" s="110" t="inlineStr">
        <x:is>
          <x:t xml:space="preserve">Choose our next test: vehicle care on a commute or a road trip?</x:t>
        </x:is>
      </x:c>
      <x:c r="I193" s="110" t="inlineStr">
        <x:is>
          <x:t xml:space="preserve">Two-option story poll; tyre check.</x:t>
        </x:is>
      </x:c>
      <x:c r="J193" s="110" t="inlineStr">
        <x:is>
          <x:t xml:space="preserve">Audience participation.</x:t>
        </x:is>
      </x:c>
      <x:c r="K193" s="110" t="inlineStr">
        <x:is>
          <x:t xml:space="preserve">Use the story to show minor car issues becoming expensive surprises and end with one practical takeaway.</x:t>
        </x:is>
      </x:c>
      <x:c r="L193" s="110" t="inlineStr">
        <x:is>
          <x:t xml:space="preserve">Use Msafiri to stay ahead of car-care surprises.</x:t>
        </x:is>
      </x:c>
      <x:c r="M193" s="110" t="inlineStr">
        <x:is>
          <x:t xml:space="preserve">tyre check; captions; app screen-record; branded end card</x:t>
        </x:is>
      </x:c>
      <x:c r="N193" s="110" t="inlineStr">
        <x:is>
          <x:t xml:space="preserve">High</x:t>
        </x:is>
      </x:c>
      <x:c r="O193" s="110" t="n">
        <x:v>3</x:v>
      </x:c>
      <x:c r="P193" s="110" t="n">
        <x:v>4</x:v>
      </x:c>
      <x:c r="Q193" s="110" t="n">
        <x:v>3</x:v>
      </x:c>
      <x:c r="R193" s="110" t="n">
        <x:v>3</x:v>
      </x:c>
      <x:c r="S193" s="110" t="n">
        <x:v>2</x:v>
      </x:c>
      <x:c r="T193" s="110" t="n">
        <x:f>O193+P193+Q193+S193-R193</x:f>
        <x:v>9</x:v>
      </x:c>
      <x:c r="U193" s="110" t="inlineStr">
        <x:is>
          <x:t xml:space="preserve">Keep advice general unless verified by a qualified expert.</x:t>
        </x:is>
      </x:c>
      <x:c r="V193" s="110" t="inlineStr">
        <x:is>
          <x:t xml:space="preserve">Turn best responses into Comment-to-Video and add to next week’s road-check queue.</x:t>
        </x:is>
      </x:c>
    </x:row>
    <x:row r="194" ht="58" customHeight="1">
      <x:c r="A194" s="117" t="n">
        <x:v>190</x:v>
      </x:c>
      <x:c r="B194" s="117" t="inlineStr">
        <x:is>
          <x:t xml:space="preserve">Product / Feature Proof</x:t>
        </x:is>
      </x:c>
      <x:c r="C194" s="117" t="inlineStr">
        <x:is>
          <x:t xml:space="preserve">Vehicle care</x:t>
        </x:is>
      </x:c>
      <x:c r="D194" s="117" t="inlineStr">
        <x:is>
          <x:t xml:space="preserve">Feature Combo</x:t>
        </x:is>
      </x:c>
      <x:c r="E194" s="117" t="inlineStr">
        <x:is>
          <x:t xml:space="preserve">New driver</x:t>
        </x:is>
      </x:c>
      <x:c r="F194" s="117" t="inlineStr">
        <x:is>
          <x:t xml:space="preserve">Conversion</x:t>
        </x:is>
      </x:c>
      <x:c r="G194" s="117" t="inlineStr">
        <x:is>
          <x:t xml:space="preserve">Short-form video</x:t>
        </x:is>
      </x:c>
      <x:c r="H194" s="117" t="inlineStr">
        <x:is>
          <x:t xml:space="preserve">Two Msafiri features that work better together when minor car issues becoming expensive surprises.</x:t>
        </x:is>
      </x:c>
      <x:c r="I194" s="117" t="inlineStr">
        <x:is>
          <x:t xml:space="preserve">UI + real drive + end card; fluid check.</x:t>
        </x:is>
      </x:c>
      <x:c r="J194" s="117" t="inlineStr">
        <x:is>
          <x:t xml:space="preserve">Feature bundling.</x:t>
        </x:is>
      </x:c>
      <x:c r="K194" s="117" t="inlineStr">
        <x:is>
          <x:t xml:space="preserve">Use the story to show minor car issues becoming expensive surprises and end with one practical takeaway.</x:t>
        </x:is>
      </x:c>
      <x:c r="L194" s="117" t="inlineStr">
        <x:is>
          <x:t xml:space="preserve">Use Msafiri to stay ahead of car-care surprises.</x:t>
        </x:is>
      </x:c>
      <x:c r="M194" s="117" t="inlineStr">
        <x:is>
          <x:t xml:space="preserve">fluid check; captions; app screen-record; branded end card</x:t>
        </x:is>
      </x:c>
      <x:c r="N194" s="117" t="inlineStr">
        <x:is>
          <x:t xml:space="preserve">Low</x:t>
        </x:is>
      </x:c>
      <x:c r="O194" s="117" t="n">
        <x:v>3</x:v>
      </x:c>
      <x:c r="P194" s="117" t="n">
        <x:v>4</x:v>
      </x:c>
      <x:c r="Q194" s="117" t="n">
        <x:v>5</x:v>
      </x:c>
      <x:c r="R194" s="117" t="n">
        <x:v>1</x:v>
      </x:c>
      <x:c r="S194" s="117" t="n">
        <x:v>2</x:v>
      </x:c>
      <x:c r="T194" s="117" t="n">
        <x:f>O194+P194+Q194+S194-R194</x:f>
        <x:v>13</x:v>
      </x:c>
      <x:c r="U194" s="117" t="inlineStr">
        <x:is>
          <x:t xml:space="preserve">Keep advice general unless verified by a qualified expert.</x:t>
        </x:is>
      </x:c>
      <x:c r="V194" s="117" t="inlineStr">
        <x:is>
          <x:t xml:space="preserve">Cut into a 15-sec hook, a Story poll and a carousel slide if it gets saves/comments.</x:t>
        </x:is>
      </x:c>
    </x:row>
    <x:row r="195" ht="58" customHeight="1">
      <x:c r="A195" s="110" t="n">
        <x:v>191</x:v>
      </x:c>
      <x:c r="B195" s="110" t="inlineStr">
        <x:is>
          <x:t xml:space="preserve">Education / Safety</x:t>
        </x:is>
      </x:c>
      <x:c r="C195" s="110" t="inlineStr">
        <x:is>
          <x:t xml:space="preserve">Vehicle care</x:t>
        </x:is>
      </x:c>
      <x:c r="D195" s="110" t="inlineStr">
        <x:is>
          <x:t xml:space="preserve">What Not To Do</x:t>
        </x:is>
      </x:c>
      <x:c r="E195" s="110" t="inlineStr">
        <x:is>
          <x:t xml:space="preserve">Family driver</x:t>
        </x:is>
      </x:c>
      <x:c r="F195" s="110" t="inlineStr">
        <x:is>
          <x:t xml:space="preserve">Retention</x:t>
        </x:is>
      </x:c>
      <x:c r="G195" s="110" t="inlineStr">
        <x:is>
          <x:t xml:space="preserve">Short-form video</x:t>
        </x:is>
      </x:c>
      <x:c r="H195" s="110" t="inlineStr">
        <x:is>
          <x:t xml:space="preserve">Do not make this mistake when minor car issues becoming expensive surprises.</x:t>
        </x:is>
      </x:c>
      <x:c r="I195" s="110" t="inlineStr">
        <x:is>
          <x:t xml:space="preserve">Wrong vs right mini demo; garage B-roll.</x:t>
        </x:is>
      </x:c>
      <x:c r="J195" s="110" t="inlineStr">
        <x:is>
          <x:t xml:space="preserve">Memorable caution.</x:t>
        </x:is>
      </x:c>
      <x:c r="K195" s="110" t="inlineStr">
        <x:is>
          <x:t xml:space="preserve">Use the story to show minor car issues becoming expensive surprises and end with one practical takeaway.</x:t>
        </x:is>
      </x:c>
      <x:c r="L195" s="110" t="inlineStr">
        <x:is>
          <x:t xml:space="preserve">Use Msafiri to stay ahead of car-care surprises.</x:t>
        </x:is>
      </x:c>
      <x:c r="M195" s="110" t="inlineStr">
        <x:is>
          <x:t xml:space="preserve">garage B-roll; captions; app screen-record; branded end card</x:t>
        </x:is>
      </x:c>
      <x:c r="N195" s="110" t="inlineStr">
        <x:is>
          <x:t xml:space="preserve">Medium</x:t>
        </x:is>
      </x:c>
      <x:c r="O195" s="110" t="n">
        <x:v>3</x:v>
      </x:c>
      <x:c r="P195" s="110" t="n">
        <x:v>5</x:v>
      </x:c>
      <x:c r="Q195" s="110" t="n">
        <x:v>3</x:v>
      </x:c>
      <x:c r="R195" s="110" t="n">
        <x:v>2</x:v>
      </x:c>
      <x:c r="S195" s="110" t="n">
        <x:v>2</x:v>
      </x:c>
      <x:c r="T195" s="110" t="n">
        <x:f>O195+P195+Q195+S195-R195</x:f>
        <x:v>11</x:v>
      </x:c>
      <x:c r="U195" s="110" t="inlineStr">
        <x:is>
          <x:t xml:space="preserve">Keep advice general unless verified by a qualified expert.</x:t>
        </x:is>
      </x:c>
      <x:c r="V195" s="110" t="inlineStr">
        <x:is>
          <x:t xml:space="preserve">Cut into a 15-sec hook, a Story poll and a carousel slide if it gets saves/comments.</x:t>
        </x:is>
      </x:c>
    </x:row>
    <x:row r="196" ht="58" customHeight="1">
      <x:c r="A196" s="117" t="n">
        <x:v>192</x:v>
      </x:c>
      <x:c r="B196" s="117" t="inlineStr">
        <x:is>
          <x:t xml:space="preserve">Founder / BTS</x:t>
        </x:is>
      </x:c>
      <x:c r="C196" s="117" t="inlineStr">
        <x:is>
          <x:t xml:space="preserve">Vehicle care</x:t>
        </x:is>
      </x:c>
      <x:c r="D196" s="117" t="inlineStr">
        <x:is>
          <x:t xml:space="preserve">Founder Files</x:t>
        </x:is>
      </x:c>
      <x:c r="E196" s="117" t="inlineStr">
        <x:is>
          <x:t xml:space="preserve">Professional driver</x:t>
        </x:is>
      </x:c>
      <x:c r="F196" s="117" t="inlineStr">
        <x:is>
          <x:t xml:space="preserve">Trust</x:t>
        </x:is>
      </x:c>
      <x:c r="G196" s="117" t="inlineStr">
        <x:is>
          <x:t xml:space="preserve">Founder-to-camera</x:t>
        </x:is>
      </x:c>
      <x:c r="H196" s="117" t="inlineStr">
        <x:is>
          <x:t xml:space="preserve">The most uncomfortable truth about building vehicle care.</x:t>
        </x:is>
      </x:c>
      <x:c r="I196" s="117" t="inlineStr">
        <x:is>
          <x:t xml:space="preserve">Founder honest reflection; dashboard warning light.</x:t>
        </x:is>
      </x:c>
      <x:c r="J196" s="117" t="inlineStr">
        <x:is>
          <x:t xml:space="preserve">Trust through honesty.</x:t>
        </x:is>
      </x:c>
      <x:c r="K196" s="117" t="inlineStr">
        <x:is>
          <x:t xml:space="preserve">Use the story to show minor car issues becoming expensive surprises and end with one practical takeaway.</x:t>
        </x:is>
      </x:c>
      <x:c r="L196" s="117" t="inlineStr">
        <x:is>
          <x:t xml:space="preserve">Use Msafiri to stay ahead of car-care surprises.</x:t>
        </x:is>
      </x:c>
      <x:c r="M196" s="117" t="inlineStr">
        <x:is>
          <x:t xml:space="preserve">dashboard warning light; captions; app screen-record; branded end card</x:t>
        </x:is>
      </x:c>
      <x:c r="N196" s="117" t="inlineStr">
        <x:is>
          <x:t xml:space="preserve">High</x:t>
        </x:is>
      </x:c>
      <x:c r="O196" s="117" t="n">
        <x:v>3</x:v>
      </x:c>
      <x:c r="P196" s="117" t="n">
        <x:v>4</x:v>
      </x:c>
      <x:c r="Q196" s="117" t="n">
        <x:v>3</x:v>
      </x:c>
      <x:c r="R196" s="117" t="n">
        <x:v>3</x:v>
      </x:c>
      <x:c r="S196" s="117" t="n">
        <x:v>2</x:v>
      </x:c>
      <x:c r="T196" s="117" t="n">
        <x:f>O196+P196+Q196+S196-R196</x:f>
        <x:v>9</x:v>
      </x:c>
      <x:c r="U196" s="117" t="inlineStr">
        <x:is>
          <x:t xml:space="preserve">Keep advice general unless verified by a qualified expert.</x:t>
        </x:is>
      </x:c>
      <x:c r="V196" s="117" t="inlineStr">
        <x:is>
          <x:t xml:space="preserve">Cut into a 15-sec hook, a Story poll and a carousel slide if it gets saves/comments.</x:t>
        </x:is>
      </x:c>
    </x:row>
    <x:row r="197" ht="58" customHeight="1">
      <x:c r="A197" s="110" t="n">
        <x:v>193</x:v>
      </x:c>
      <x:c r="B197" s="110" t="inlineStr">
        <x:is>
          <x:t xml:space="preserve">Road Intelligence</x:t>
        </x:is>
      </x:c>
      <x:c r="C197" s="110" t="inlineStr">
        <x:is>
          <x:t xml:space="preserve">Vehicle care</x:t>
        </x:is>
      </x:c>
      <x:c r="D197" s="110" t="inlineStr">
        <x:is>
          <x:t xml:space="preserve">Map vs Reality</x:t>
        </x:is>
      </x:c>
      <x:c r="E197" s="110" t="inlineStr">
        <x:is>
          <x:t xml:space="preserve">Car owner</x:t>
        </x:is>
      </x:c>
      <x:c r="F197" s="110" t="inlineStr">
        <x:is>
          <x:t xml:space="preserve">Awareness</x:t>
        </x:is>
      </x:c>
      <x:c r="G197" s="110" t="inlineStr">
        <x:is>
          <x:t xml:space="preserve">POV Drive</x:t>
        </x:is>
      </x:c>
      <x:c r="H197" s="110" t="inlineStr">
        <x:is>
          <x:t xml:space="preserve">The map says one thing; the road says another.</x:t>
        </x:is>
      </x:c>
      <x:c r="I197" s="110" t="inlineStr">
        <x:is>
          <x:t xml:space="preserve">Map overlay + road footage; checklist overlay.</x:t>
        </x:is>
      </x:c>
      <x:c r="J197" s="110" t="inlineStr">
        <x:is>
          <x:t xml:space="preserve">Road-intelligence authority.</x:t>
        </x:is>
      </x:c>
      <x:c r="K197" s="110" t="inlineStr">
        <x:is>
          <x:t xml:space="preserve">Use the story to show minor car issues becoming expensive surprises and end with one practical takeaway.</x:t>
        </x:is>
      </x:c>
      <x:c r="L197" s="110" t="inlineStr">
        <x:is>
          <x:t xml:space="preserve">Use Msafiri to stay ahead of car-care surprises.</x:t>
        </x:is>
      </x:c>
      <x:c r="M197" s="110" t="inlineStr">
        <x:is>
          <x:t xml:space="preserve">checklist overlay; captions; app screen-record; branded end card</x:t>
        </x:is>
      </x:c>
      <x:c r="N197" s="110" t="inlineStr">
        <x:is>
          <x:t xml:space="preserve">Low</x:t>
        </x:is>
      </x:c>
      <x:c r="O197" s="110" t="n">
        <x:v>3</x:v>
      </x:c>
      <x:c r="P197" s="110" t="n">
        <x:v>5</x:v>
      </x:c>
      <x:c r="Q197" s="110" t="n">
        <x:v>3</x:v>
      </x:c>
      <x:c r="R197" s="110" t="n">
        <x:v>1</x:v>
      </x:c>
      <x:c r="S197" s="110" t="n">
        <x:v>2</x:v>
      </x:c>
      <x:c r="T197" s="110" t="n">
        <x:f>O197+P197+Q197+S197-R197</x:f>
        <x:v>12</x:v>
      </x:c>
      <x:c r="U197" s="110" t="inlineStr">
        <x:is>
          <x:t xml:space="preserve">Keep advice general unless verified by a qualified expert.</x:t>
        </x:is>
      </x:c>
      <x:c r="V197" s="110" t="inlineStr">
        <x:is>
          <x:t xml:space="preserve">Cut into a 15-sec hook, a Story poll and a carousel slide if it gets saves/comments.</x:t>
        </x:is>
      </x:c>
    </x:row>
    <x:row r="198" ht="58" customHeight="1">
      <x:c r="A198" s="117" t="n">
        <x:v>194</x:v>
      </x:c>
      <x:c r="B198" s="117" t="inlineStr">
        <x:is>
          <x:t xml:space="preserve">Product / Feature Proof</x:t>
        </x:is>
      </x:c>
      <x:c r="C198" s="117" t="inlineStr">
        <x:is>
          <x:t xml:space="preserve">Vehicle care</x:t>
        </x:is>
      </x:c>
      <x:c r="D198" s="117" t="inlineStr">
        <x:is>
          <x:t xml:space="preserve">One-Tap Test</x:t>
        </x:is>
      </x:c>
      <x:c r="E198" s="117" t="inlineStr">
        <x:is>
          <x:t xml:space="preserve">New driver</x:t>
        </x:is>
      </x:c>
      <x:c r="F198" s="117" t="inlineStr">
        <x:is>
          <x:t xml:space="preserve">Feature Discovery</x:t>
        </x:is>
      </x:c>
      <x:c r="G198" s="117" t="inlineStr">
        <x:is>
          <x:t xml:space="preserve">Screen-record Demo</x:t>
        </x:is>
      </x:c>
      <x:c r="H198" s="117" t="inlineStr">
        <x:is>
          <x:t xml:space="preserve">How fast can you set up vehicle care before leaving?</x:t>
        </x:is>
      </x:c>
      <x:c r="I198" s="117" t="inlineStr">
        <x:is>
          <x:t xml:space="preserve">Timer + UI taps; tyre check.</x:t>
        </x:is>
      </x:c>
      <x:c r="J198" s="117" t="inlineStr">
        <x:is>
          <x:t xml:space="preserve">Lower adoption friction.</x:t>
        </x:is>
      </x:c>
      <x:c r="K198" s="117" t="inlineStr">
        <x:is>
          <x:t xml:space="preserve">Use the story to show minor car issues becoming expensive surprises and end with one practical takeaway.</x:t>
        </x:is>
      </x:c>
      <x:c r="L198" s="117" t="inlineStr">
        <x:is>
          <x:t xml:space="preserve">Use Msafiri to stay ahead of car-care surprises.</x:t>
        </x:is>
      </x:c>
      <x:c r="M198" s="117" t="inlineStr">
        <x:is>
          <x:t xml:space="preserve">tyre check; captions; app screen-record; branded end card</x:t>
        </x:is>
      </x:c>
      <x:c r="N198" s="117" t="inlineStr">
        <x:is>
          <x:t xml:space="preserve">Medium</x:t>
        </x:is>
      </x:c>
      <x:c r="O198" s="117" t="n">
        <x:v>3</x:v>
      </x:c>
      <x:c r="P198" s="117" t="n">
        <x:v>4</x:v>
      </x:c>
      <x:c r="Q198" s="117" t="n">
        <x:v>5</x:v>
      </x:c>
      <x:c r="R198" s="117" t="n">
        <x:v>2</x:v>
      </x:c>
      <x:c r="S198" s="117" t="n">
        <x:v>2</x:v>
      </x:c>
      <x:c r="T198" s="117" t="n">
        <x:f>O198+P198+Q198+S198-R198</x:f>
        <x:v>12</x:v>
      </x:c>
      <x:c r="U198" s="117" t="inlineStr">
        <x:is>
          <x:t xml:space="preserve">Keep advice general unless verified by a qualified expert.</x:t>
        </x:is>
      </x:c>
      <x:c r="V198" s="117" t="inlineStr">
        <x:is>
          <x:t xml:space="preserve">Cut into a 15-sec hook, a Story poll and a carousel slide if it gets saves/comments.</x:t>
        </x:is>
      </x:c>
    </x:row>
    <x:row r="199" ht="58" customHeight="1">
      <x:c r="A199" s="110" t="n">
        <x:v>195</x:v>
      </x:c>
      <x:c r="B199" s="110" t="inlineStr">
        <x:is>
          <x:t xml:space="preserve">Community / UGC</x:t>
        </x:is>
      </x:c>
      <x:c r="C199" s="110" t="inlineStr">
        <x:is>
          <x:t xml:space="preserve">Vehicle care</x:t>
        </x:is>
      </x:c>
      <x:c r="D199" s="110" t="inlineStr">
        <x:is>
          <x:t xml:space="preserve">UGC Prompt</x:t>
        </x:is>
      </x:c>
      <x:c r="E199" s="110" t="inlineStr">
        <x:is>
          <x:t xml:space="preserve">Family driver</x:t>
        </x:is>
      </x:c>
      <x:c r="F199" s="110" t="inlineStr">
        <x:is>
          <x:t xml:space="preserve">Community</x:t>
        </x:is>
      </x:c>
      <x:c r="G199" s="110" t="inlineStr">
        <x:is>
          <x:t xml:space="preserve">Static Graphic</x:t>
        </x:is>
      </x:c>
      <x:c r="H199" s="110" t="inlineStr">
        <x:is>
          <x:t xml:space="preserve">Tell us your vehicle care story and we may feature it.</x:t>
        </x:is>
      </x:c>
      <x:c r="I199" s="110" t="inlineStr">
        <x:is>
          <x:t xml:space="preserve">Branded prompt graphic; fluid check.</x:t>
        </x:is>
      </x:c>
      <x:c r="J199" s="110" t="inlineStr">
        <x:is>
          <x:t xml:space="preserve">User-generated content pipeline.</x:t>
        </x:is>
      </x:c>
      <x:c r="K199" s="110" t="inlineStr">
        <x:is>
          <x:t xml:space="preserve">Use the story to show minor car issues becoming expensive surprises and end with one practical takeaway.</x:t>
        </x:is>
      </x:c>
      <x:c r="L199" s="110" t="inlineStr">
        <x:is>
          <x:t xml:space="preserve">Use Msafiri to stay ahead of car-care surprises.</x:t>
        </x:is>
      </x:c>
      <x:c r="M199" s="110" t="inlineStr">
        <x:is>
          <x:t xml:space="preserve">fluid check; captions; app screen-record; branded end card</x:t>
        </x:is>
      </x:c>
      <x:c r="N199" s="110" t="inlineStr">
        <x:is>
          <x:t xml:space="preserve">High</x:t>
        </x:is>
      </x:c>
      <x:c r="O199" s="110" t="n">
        <x:v>3</x:v>
      </x:c>
      <x:c r="P199" s="110" t="n">
        <x:v>4</x:v>
      </x:c>
      <x:c r="Q199" s="110" t="n">
        <x:v>3</x:v>
      </x:c>
      <x:c r="R199" s="110" t="n">
        <x:v>3</x:v>
      </x:c>
      <x:c r="S199" s="110" t="n">
        <x:v>2</x:v>
      </x:c>
      <x:c r="T199" s="110" t="n">
        <x:f>O199+P199+Q199+S199-R199</x:f>
        <x:v>9</x:v>
      </x:c>
      <x:c r="U199" s="110" t="inlineStr">
        <x:is>
          <x:t xml:space="preserve">Keep advice general unless verified by a qualified expert.</x:t>
        </x:is>
      </x:c>
      <x:c r="V199" s="110" t="inlineStr">
        <x:is>
          <x:t xml:space="preserve">Turn best responses into Comment-to-Video and add to next week’s road-check queue.</x:t>
        </x:is>
      </x:c>
    </x:row>
    <x:row r="200" ht="58" customHeight="1">
      <x:c r="A200" s="117" t="n">
        <x:v>196</x:v>
      </x:c>
      <x:c r="B200" s="117" t="inlineStr">
        <x:is>
          <x:t xml:space="preserve">Seasonal Campaign</x:t>
        </x:is>
      </x:c>
      <x:c r="C200" s="117" t="inlineStr">
        <x:is>
          <x:t xml:space="preserve">Vehicle care</x:t>
        </x:is>
      </x:c>
      <x:c r="D200" s="117" t="inlineStr">
        <x:is>
          <x:t xml:space="preserve">End-Year Road Prep</x:t>
        </x:is>
      </x:c>
      <x:c r="E200" s="117" t="inlineStr">
        <x:is>
          <x:t xml:space="preserve">Professional driver</x:t>
        </x:is>
      </x:c>
      <x:c r="F200" s="117" t="inlineStr">
        <x:is>
          <x:t xml:space="preserve">Conversion</x:t>
        </x:is>
      </x:c>
      <x:c r="G200" s="117" t="inlineStr">
        <x:is>
          <x:t xml:space="preserve">Hero / Reel</x:t>
        </x:is>
      </x:c>
      <x:c r="H200" s="117" t="inlineStr">
        <x:is>
          <x:t xml:space="preserve">Before the December drive, open Msafiri and check this.</x:t>
        </x:is>
      </x:c>
      <x:c r="I200" s="117" t="inlineStr">
        <x:is>
          <x:t xml:space="preserve">December packing + app + road POV; garage B-roll.</x:t>
        </x:is>
      </x:c>
      <x:c r="J200" s="117" t="inlineStr">
        <x:is>
          <x:t xml:space="preserve">Seasonal conversion.</x:t>
        </x:is>
      </x:c>
      <x:c r="K200" s="117" t="inlineStr">
        <x:is>
          <x:t xml:space="preserve">Use the story to show minor car issues becoming expensive surprises and end with one practical takeaway.</x:t>
        </x:is>
      </x:c>
      <x:c r="L200" s="117" t="inlineStr">
        <x:is>
          <x:t xml:space="preserve">Use Msafiri to stay ahead of car-care surprises.</x:t>
        </x:is>
      </x:c>
      <x:c r="M200" s="117" t="inlineStr">
        <x:is>
          <x:t xml:space="preserve">garage B-roll; captions; app screen-record; branded end card</x:t>
        </x:is>
      </x:c>
      <x:c r="N200" s="117" t="inlineStr">
        <x:is>
          <x:t xml:space="preserve">Low</x:t>
        </x:is>
      </x:c>
      <x:c r="O200" s="117" t="n">
        <x:v>4</x:v>
      </x:c>
      <x:c r="P200" s="117" t="n">
        <x:v>4</x:v>
      </x:c>
      <x:c r="Q200" s="117" t="n">
        <x:v>5</x:v>
      </x:c>
      <x:c r="R200" s="117" t="n">
        <x:v>1</x:v>
      </x:c>
      <x:c r="S200" s="117" t="n">
        <x:v>4</x:v>
      </x:c>
      <x:c r="T200" s="117" t="n">
        <x:f>O200+P200+Q200+S200-R200</x:f>
        <x:v>16</x:v>
      </x:c>
      <x:c r="U200" s="117" t="inlineStr">
        <x:is>
          <x:t xml:space="preserve">Keep advice general unless verified by a qualified expert.</x:t>
        </x:is>
      </x:c>
      <x:c r="V200" s="117" t="inlineStr">
        <x:is>
          <x:t xml:space="preserve">Cut into a 15-sec hook, a Story poll and a carousel slide if it gets saves/comments.</x:t>
        </x:is>
      </x:c>
    </x:row>
    <x:row r="201" ht="58" customHeight="1">
      <x:c r="A201" s="110" t="n">
        <x:v>197</x:v>
      </x:c>
      <x:c r="B201" s="110" t="inlineStr">
        <x:is>
          <x:t xml:space="preserve">Road Intelligence</x:t>
        </x:is>
      </x:c>
      <x:c r="C201" s="110" t="inlineStr">
        <x:is>
          <x:t xml:space="preserve">Trips / trip sharing</x:t>
        </x:is>
      </x:c>
      <x:c r="D201" s="110" t="inlineStr">
        <x:is>
          <x:t xml:space="preserve">Msafiri Road Check</x:t>
        </x:is>
      </x:c>
      <x:c r="E201" s="110" t="inlineStr">
        <x:is>
          <x:t xml:space="preserve">Road-trip group</x:t>
        </x:is>
      </x:c>
      <x:c r="F201" s="110" t="inlineStr">
        <x:is>
          <x:t xml:space="preserve">Awareness</x:t>
        </x:is>
      </x:c>
      <x:c r="G201" s="110" t="inlineStr">
        <x:is>
          <x:t xml:space="preserve">POV Drive</x:t>
        </x:is>
      </x:c>
      <x:c r="H201" s="110" t="inlineStr">
        <x:is>
          <x:t xml:space="preserve">We drove a weekday commute to see where trips / trip sharing actually helps.</x:t>
        </x:is>
      </x:c>
      <x:c r="I201" s="110" t="inlineStr">
        <x:is>
          <x:t xml:space="preserve">Road POV with 3 marked moments; group chat skit.</x:t>
        </x:is>
      </x:c>
      <x:c r="J201" s="110" t="inlineStr">
        <x:is>
          <x:t xml:space="preserve">A practical route lesson people can save.</x:t>
        </x:is>
      </x:c>
      <x:c r="K201" s="110" t="inlineStr">
        <x:is>
          <x:t xml:space="preserve">Use the story to show group travel confusion and repeated calls and end with one practical takeaway.</x:t>
        </x:is>
      </x:c>
      <x:c r="L201" s="110" t="inlineStr">
        <x:is>
          <x:t xml:space="preserve">Plan and share your next trip with Msafiri.</x:t>
        </x:is>
      </x:c>
      <x:c r="M201" s="110" t="inlineStr">
        <x:is>
          <x:t xml:space="preserve">group chat skit; captions; app screen-record; branded end card</x:t>
        </x:is>
      </x:c>
      <x:c r="N201" s="110" t="inlineStr">
        <x:is>
          <x:t xml:space="preserve">Low</x:t>
        </x:is>
      </x:c>
      <x:c r="O201" s="110" t="n">
        <x:v>3</x:v>
      </x:c>
      <x:c r="P201" s="110" t="n">
        <x:v>5</x:v>
      </x:c>
      <x:c r="Q201" s="110" t="n">
        <x:v>3</x:v>
      </x:c>
      <x:c r="R201" s="110" t="n">
        <x:v>1</x:v>
      </x:c>
      <x:c r="S201" s="110" t="n">
        <x:v>2</x:v>
      </x:c>
      <x:c r="T201" s="110" t="n">
        <x:f>O201+P201+Q201+S201-R201</x:f>
        <x:v>12</x:v>
      </x:c>
      <x:c r="U201" s="110" t="inlineStr">
        <x:is>
          <x:t xml:space="preserve">Do not imply live tracking if not supported; be precise.</x:t>
        </x:is>
      </x:c>
      <x:c r="V201" s="110" t="inlineStr">
        <x:is>
          <x:t xml:space="preserve">Cut into a 15-sec hook, a Story poll and a carousel slide if it gets saves/comments.</x:t>
        </x:is>
      </x:c>
    </x:row>
    <x:row r="202" ht="58" customHeight="1">
      <x:c r="A202" s="117" t="n">
        <x:v>198</x:v>
      </x:c>
      <x:c r="B202" s="117" t="inlineStr">
        <x:is>
          <x:t xml:space="preserve">Product / Feature Proof</x:t>
        </x:is>
      </x:c>
      <x:c r="C202" s="117" t="inlineStr">
        <x:is>
          <x:t xml:space="preserve">Trips / trip sharing</x:t>
        </x:is>
      </x:c>
      <x:c r="D202" s="117" t="inlineStr">
        <x:is>
          <x:t xml:space="preserve">Feature in the Wild</x:t>
        </x:is>
      </x:c>
      <x:c r="E202" s="117" t="inlineStr">
        <x:is>
          <x:t xml:space="preserve">Family driver</x:t>
        </x:is>
      </x:c>
      <x:c r="F202" s="117" t="inlineStr">
        <x:is>
          <x:t xml:space="preserve">Feature Discovery</x:t>
        </x:is>
      </x:c>
      <x:c r="G202" s="117" t="inlineStr">
        <x:is>
          <x:t xml:space="preserve">Screen-record Demo</x:t>
        </x:is>
      </x:c>
      <x:c r="H202" s="117" t="inlineStr">
        <x:is>
          <x:t xml:space="preserve">Trips / trip sharing in 30 seconds: here is the moment it becomes useful.</x:t>
        </x:is>
      </x:c>
      <x:c r="I202" s="117" t="inlineStr">
        <x:is>
          <x:t xml:space="preserve">Phone screen + real-world cutaway; trip preview screen.</x:t>
        </x:is>
      </x:c>
      <x:c r="J202" s="117" t="inlineStr">
        <x:is>
          <x:t xml:space="preserve">Feature clarity without a hard sell.</x:t>
        </x:is>
      </x:c>
      <x:c r="K202" s="117" t="inlineStr">
        <x:is>
          <x:t xml:space="preserve">Use the story to show group travel confusion and repeated calls and end with one practical takeaway.</x:t>
        </x:is>
      </x:c>
      <x:c r="L202" s="117" t="inlineStr">
        <x:is>
          <x:t xml:space="preserve">Plan and share your next trip with Msafiri.</x:t>
        </x:is>
      </x:c>
      <x:c r="M202" s="117" t="inlineStr">
        <x:is>
          <x:t xml:space="preserve">trip preview screen; captions; app screen-record; branded end card</x:t>
        </x:is>
      </x:c>
      <x:c r="N202" s="117" t="inlineStr">
        <x:is>
          <x:t xml:space="preserve">Medium</x:t>
        </x:is>
      </x:c>
      <x:c r="O202" s="117" t="n">
        <x:v>3</x:v>
      </x:c>
      <x:c r="P202" s="117" t="n">
        <x:v>4</x:v>
      </x:c>
      <x:c r="Q202" s="117" t="n">
        <x:v>5</x:v>
      </x:c>
      <x:c r="R202" s="117" t="n">
        <x:v>2</x:v>
      </x:c>
      <x:c r="S202" s="117" t="n">
        <x:v>2</x:v>
      </x:c>
      <x:c r="T202" s="117" t="n">
        <x:f>O202+P202+Q202+S202-R202</x:f>
        <x:v>12</x:v>
      </x:c>
      <x:c r="U202" s="117" t="inlineStr">
        <x:is>
          <x:t xml:space="preserve">Do not imply live tracking if not supported; be precise.</x:t>
        </x:is>
      </x:c>
      <x:c r="V202" s="117" t="inlineStr">
        <x:is>
          <x:t xml:space="preserve">Cut into a 15-sec hook, a Story poll and a carousel slide if it gets saves/comments.</x:t>
        </x:is>
      </x:c>
    </x:row>
    <x:row r="203" ht="58" customHeight="1">
      <x:c r="A203" s="110" t="n">
        <x:v>199</x:v>
      </x:c>
      <x:c r="B203" s="110" t="inlineStr">
        <x:is>
          <x:t xml:space="preserve">Kenyan Driving Reality</x:t>
        </x:is>
      </x:c>
      <x:c r="C203" s="110" t="inlineStr">
        <x:is>
          <x:t xml:space="preserve">Trips / trip sharing</x:t>
        </x:is>
      </x:c>
      <x:c r="D203" s="110" t="inlineStr">
        <x:is>
          <x:t xml:space="preserve">Kenyan Driver Problems</x:t>
        </x:is>
      </x:c>
      <x:c r="E203" s="110" t="inlineStr">
        <x:is>
          <x:t xml:space="preserve">Long-distance driver</x:t>
        </x:is>
      </x:c>
      <x:c r="F203" s="110" t="inlineStr">
        <x:is>
          <x:t xml:space="preserve">Engagement</x:t>
        </x:is>
      </x:c>
      <x:c r="G203" s="110" t="inlineStr">
        <x:is>
          <x:t xml:space="preserve">Skit</x:t>
        </x:is>
      </x:c>
      <x:c r="H203" s="110" t="inlineStr">
        <x:is>
          <x:t xml:space="preserve">POV: group travel confusion and repeated calls and everyone in the car has an opinion.</x:t>
        </x:is>
      </x:c>
      <x:c r="I203" s="110" t="inlineStr">
        <x:is>
          <x:t xml:space="preserve">Fast skit with driver/passenger tension; convoy B-roll.</x:t>
        </x:is>
      </x:c>
      <x:c r="J203" s="110" t="inlineStr">
        <x:is>
          <x:t xml:space="preserve">Relatability and shares.</x:t>
        </x:is>
      </x:c>
      <x:c r="K203" s="110" t="inlineStr">
        <x:is>
          <x:t xml:space="preserve">Use the story to show group travel confusion and repeated calls and end with one practical takeaway.</x:t>
        </x:is>
      </x:c>
      <x:c r="L203" s="110" t="inlineStr">
        <x:is>
          <x:t xml:space="preserve">Plan and share your next trip with Msafiri.</x:t>
        </x:is>
      </x:c>
      <x:c r="M203" s="110" t="inlineStr">
        <x:is>
          <x:t xml:space="preserve">convoy B-roll; captions; app screen-record; branded end card</x:t>
        </x:is>
      </x:c>
      <x:c r="N203" s="110" t="inlineStr">
        <x:is>
          <x:t xml:space="preserve">High</x:t>
        </x:is>
      </x:c>
      <x:c r="O203" s="110" t="n">
        <x:v>4</x:v>
      </x:c>
      <x:c r="P203" s="110" t="n">
        <x:v>4</x:v>
      </x:c>
      <x:c r="Q203" s="110" t="n">
        <x:v>3</x:v>
      </x:c>
      <x:c r="R203" s="110" t="n">
        <x:v>3</x:v>
      </x:c>
      <x:c r="S203" s="110" t="n">
        <x:v>2</x:v>
      </x:c>
      <x:c r="T203" s="110" t="n">
        <x:f>O203+P203+Q203+S203-R203</x:f>
        <x:v>10</x:v>
      </x:c>
      <x:c r="U203" s="110" t="inlineStr">
        <x:is>
          <x:t xml:space="preserve">Do not imply live tracking if not supported; be precise.</x:t>
        </x:is>
      </x:c>
      <x:c r="V203" s="110" t="inlineStr">
        <x:is>
          <x:t xml:space="preserve">Cut into a 15-sec hook, a Story poll and a carousel slide if it gets saves/comments.</x:t>
        </x:is>
      </x:c>
    </x:row>
    <x:row r="204" ht="58" customHeight="1">
      <x:c r="A204" s="117" t="n">
        <x:v>200</x:v>
      </x:c>
      <x:c r="B204" s="117" t="inlineStr">
        <x:is>
          <x:t xml:space="preserve">Education / Safety</x:t>
        </x:is>
      </x:c>
      <x:c r="C204" s="117" t="inlineStr">
        <x:is>
          <x:t xml:space="preserve">Trips / trip sharing</x:t>
        </x:is>
      </x:c>
      <x:c r="D204" s="117" t="inlineStr">
        <x:is>
          <x:t xml:space="preserve">Before You Drive</x:t>
        </x:is>
      </x:c>
      <x:c r="E204" s="117" t="inlineStr">
        <x:is>
          <x:t xml:space="preserve">Safety-conscious passenger</x:t>
        </x:is>
      </x:c>
      <x:c r="F204" s="117" t="inlineStr">
        <x:is>
          <x:t xml:space="preserve">Retention</x:t>
        </x:is>
      </x:c>
      <x:c r="G204" s="117" t="inlineStr">
        <x:is>
          <x:t xml:space="preserve">Checklist Reel</x:t>
        </x:is>
      </x:c>
      <x:c r="H204" s="117" t="inlineStr">
        <x:is>
          <x:t xml:space="preserve">Save this before a parking-lot incident: 3 things to check.</x:t>
        </x:is>
      </x:c>
      <x:c r="I204" s="117" t="inlineStr">
        <x:is>
          <x:t xml:space="preserve">Checklist overlay with hands-on shots; packing car.</x:t>
        </x:is>
      </x:c>
      <x:c r="J204" s="117" t="inlineStr">
        <x:is>
          <x:t xml:space="preserve">A saveable pre-drive behavior.</x:t>
        </x:is>
      </x:c>
      <x:c r="K204" s="117" t="inlineStr">
        <x:is>
          <x:t xml:space="preserve">Use the story to show group travel confusion and repeated calls and end with one practical takeaway.</x:t>
        </x:is>
      </x:c>
      <x:c r="L204" s="117" t="inlineStr">
        <x:is>
          <x:t xml:space="preserve">Plan and share your next trip with Msafiri.</x:t>
        </x:is>
      </x:c>
      <x:c r="M204" s="117" t="inlineStr">
        <x:is>
          <x:t xml:space="preserve">packing car; captions; app screen-record; branded end card</x:t>
        </x:is>
      </x:c>
      <x:c r="N204" s="117" t="inlineStr">
        <x:is>
          <x:t xml:space="preserve">Low</x:t>
        </x:is>
      </x:c>
      <x:c r="O204" s="117" t="n">
        <x:v>3</x:v>
      </x:c>
      <x:c r="P204" s="117" t="n">
        <x:v>5</x:v>
      </x:c>
      <x:c r="Q204" s="117" t="n">
        <x:v>3</x:v>
      </x:c>
      <x:c r="R204" s="117" t="n">
        <x:v>1</x:v>
      </x:c>
      <x:c r="S204" s="117" t="n">
        <x:v>2</x:v>
      </x:c>
      <x:c r="T204" s="117" t="n">
        <x:f>O204+P204+Q204+S204-R204</x:f>
        <x:v>12</x:v>
      </x:c>
      <x:c r="U204" s="117" t="inlineStr">
        <x:is>
          <x:t xml:space="preserve">Do not imply live tracking if not supported; be precise.</x:t>
        </x:is>
      </x:c>
      <x:c r="V204" s="117" t="inlineStr">
        <x:is>
          <x:t xml:space="preserve">Cut into a 15-sec hook, a Story poll and a carousel slide if it gets saves/comments.</x:t>
        </x:is>
      </x:c>
    </x:row>
    <x:row r="205" ht="58" customHeight="1">
      <x:c r="A205" s="110" t="n">
        <x:v>201</x:v>
      </x:c>
      <x:c r="B205" s="110" t="inlineStr">
        <x:is>
          <x:t xml:space="preserve">Founder / BTS</x:t>
        </x:is>
      </x:c>
      <x:c r="C205" s="110" t="inlineStr">
        <x:is>
          <x:t xml:space="preserve">Trips / trip sharing</x:t>
        </x:is>
      </x:c>
      <x:c r="D205" s="110" t="inlineStr">
        <x:is>
          <x:t xml:space="preserve">Founder Files</x:t>
        </x:is>
      </x:c>
      <x:c r="E205" s="110" t="inlineStr">
        <x:is>
          <x:t xml:space="preserve">Road-trip group</x:t>
        </x:is>
      </x:c>
      <x:c r="F205" s="110" t="inlineStr">
        <x:is>
          <x:t xml:space="preserve">Trust</x:t>
        </x:is>
      </x:c>
      <x:c r="G205" s="110" t="inlineStr">
        <x:is>
          <x:t xml:space="preserve">Founder-to-camera</x:t>
        </x:is>
      </x:c>
      <x:c r="H205" s="110" t="inlineStr">
        <x:is>
          <x:t xml:space="preserve">Peter explains why trips / trip sharing belongs in a Kenyan driving app.</x:t>
        </x:is>
      </x:c>
      <x:c r="I205" s="110" t="inlineStr">
        <x:is>
          <x:t xml:space="preserve">Peter in car + product cutaway; route handoff.</x:t>
        </x:is>
      </x:c>
      <x:c r="J205" s="110" t="inlineStr">
        <x:is>
          <x:t xml:space="preserve">Founder trust and mission clarity.</x:t>
        </x:is>
      </x:c>
      <x:c r="K205" s="110" t="inlineStr">
        <x:is>
          <x:t xml:space="preserve">Use the story to show group travel confusion and repeated calls and end with one practical takeaway.</x:t>
        </x:is>
      </x:c>
      <x:c r="L205" s="110" t="inlineStr">
        <x:is>
          <x:t xml:space="preserve">Plan and share your next trip with Msafiri.</x:t>
        </x:is>
      </x:c>
      <x:c r="M205" s="110" t="inlineStr">
        <x:is>
          <x:t xml:space="preserve">route handoff; captions; app screen-record; branded end card</x:t>
        </x:is>
      </x:c>
      <x:c r="N205" s="110" t="inlineStr">
        <x:is>
          <x:t xml:space="preserve">Medium</x:t>
        </x:is>
      </x:c>
      <x:c r="O205" s="110" t="n">
        <x:v>3</x:v>
      </x:c>
      <x:c r="P205" s="110" t="n">
        <x:v>4</x:v>
      </x:c>
      <x:c r="Q205" s="110" t="n">
        <x:v>3</x:v>
      </x:c>
      <x:c r="R205" s="110" t="n">
        <x:v>2</x:v>
      </x:c>
      <x:c r="S205" s="110" t="n">
        <x:v>2</x:v>
      </x:c>
      <x:c r="T205" s="110" t="n">
        <x:f>O205+P205+Q205+S205-R205</x:f>
        <x:v>10</x:v>
      </x:c>
      <x:c r="U205" s="110" t="inlineStr">
        <x:is>
          <x:t xml:space="preserve">Do not imply live tracking if not supported; be precise.</x:t>
        </x:is>
      </x:c>
      <x:c r="V205" s="110" t="inlineStr">
        <x:is>
          <x:t xml:space="preserve">Cut into a 15-sec hook, a Story poll and a carousel slide if it gets saves/comments.</x:t>
        </x:is>
      </x:c>
    </x:row>
    <x:row r="206" ht="58" customHeight="1">
      <x:c r="A206" s="117" t="n">
        <x:v>202</x:v>
      </x:c>
      <x:c r="B206" s="117" t="inlineStr">
        <x:is>
          <x:t xml:space="preserve">Debate / Mythbusters</x:t>
        </x:is>
      </x:c>
      <x:c r="C206" s="117" t="inlineStr">
        <x:is>
          <x:t xml:space="preserve">Trips / trip sharing</x:t>
        </x:is>
      </x:c>
      <x:c r="D206" s="117" t="inlineStr">
        <x:is>
          <x:t xml:space="preserve">Road Mythbusters</x:t>
        </x:is>
      </x:c>
      <x:c r="E206" s="117" t="inlineStr">
        <x:is>
          <x:t xml:space="preserve">Family driver</x:t>
        </x:is>
      </x:c>
      <x:c r="F206" s="117" t="inlineStr">
        <x:is>
          <x:t xml:space="preserve">Engagement</x:t>
        </x:is>
      </x:c>
      <x:c r="G206" s="117" t="inlineStr">
        <x:is>
          <x:t xml:space="preserve">Short-form video</x:t>
        </x:is>
      </x:c>
      <x:c r="H206" s="117" t="inlineStr">
        <x:is>
          <x:t xml:space="preserve">Hot take: a good trip plan prevents half the group-chat drama..</x:t>
        </x:is>
      </x:c>
      <x:c r="I206" s="117" t="inlineStr">
        <x:is>
          <x:t xml:space="preserve">Claim vs reality split screen; group chat skit.</x:t>
        </x:is>
      </x:c>
      <x:c r="J206" s="117" t="inlineStr">
        <x:is>
          <x:t xml:space="preserve">Controlled comments and debate.</x:t>
        </x:is>
      </x:c>
      <x:c r="K206" s="117" t="inlineStr">
        <x:is>
          <x:t xml:space="preserve">Use the story to show group travel confusion and repeated calls and end with one practical takeaway.</x:t>
        </x:is>
      </x:c>
      <x:c r="L206" s="117" t="inlineStr">
        <x:is>
          <x:t xml:space="preserve">Plan and share your next trip with Msafiri.</x:t>
        </x:is>
      </x:c>
      <x:c r="M206" s="117" t="inlineStr">
        <x:is>
          <x:t xml:space="preserve">group chat skit; captions; app screen-record; branded end card</x:t>
        </x:is>
      </x:c>
      <x:c r="N206" s="117" t="inlineStr">
        <x:is>
          <x:t xml:space="preserve">High</x:t>
        </x:is>
      </x:c>
      <x:c r="O206" s="117" t="n">
        <x:v>4</x:v>
      </x:c>
      <x:c r="P206" s="117" t="n">
        <x:v>4</x:v>
      </x:c>
      <x:c r="Q206" s="117" t="n">
        <x:v>3</x:v>
      </x:c>
      <x:c r="R206" s="117" t="n">
        <x:v>3</x:v>
      </x:c>
      <x:c r="S206" s="117" t="n">
        <x:v>2</x:v>
      </x:c>
      <x:c r="T206" s="117" t="n">
        <x:f>O206+P206+Q206+S206-R206</x:f>
        <x:v>10</x:v>
      </x:c>
      <x:c r="U206" s="117" t="inlineStr">
        <x:is>
          <x:t xml:space="preserve">Do not imply live tracking if not supported; be precise.</x:t>
        </x:is>
      </x:c>
      <x:c r="V206" s="117" t="inlineStr">
        <x:is>
          <x:t xml:space="preserve">Cut into a 15-sec hook, a Story poll and a carousel slide if it gets saves/comments.</x:t>
        </x:is>
      </x:c>
    </x:row>
    <x:row r="207" ht="58" customHeight="1">
      <x:c r="A207" s="110" t="n">
        <x:v>203</x:v>
      </x:c>
      <x:c r="B207" s="110" t="inlineStr">
        <x:is>
          <x:t xml:space="preserve">Community / UGC</x:t>
        </x:is>
      </x:c>
      <x:c r="C207" s="110" t="inlineStr">
        <x:is>
          <x:t xml:space="preserve">Trips / trip sharing</x:t>
        </x:is>
      </x:c>
      <x:c r="D207" s="110" t="inlineStr">
        <x:is>
          <x:t xml:space="preserve">Ask a Kenyan Driver</x:t>
        </x:is>
      </x:c>
      <x:c r="E207" s="110" t="inlineStr">
        <x:is>
          <x:t xml:space="preserve">Long-distance driver</x:t>
        </x:is>
      </x:c>
      <x:c r="F207" s="110" t="inlineStr">
        <x:is>
          <x:t xml:space="preserve">Community</x:t>
        </x:is>
      </x:c>
      <x:c r="G207" s="110" t="inlineStr">
        <x:is>
          <x:t xml:space="preserve">Street Interview</x:t>
        </x:is>
      </x:c>
      <x:c r="H207" s="110" t="inlineStr">
        <x:is>
          <x:t xml:space="preserve">We asked drivers: who in your group always asks for the route twice?</x:t>
        </x:is>
      </x:c>
      <x:c r="I207" s="110" t="inlineStr">
        <x:is>
          <x:t xml:space="preserve">Street answers + subtitle template; trip preview screen.</x:t>
        </x:is>
      </x:c>
      <x:c r="J207" s="110" t="inlineStr">
        <x:is>
          <x:t xml:space="preserve">Community stories and future ideas.</x:t>
        </x:is>
      </x:c>
      <x:c r="K207" s="110" t="inlineStr">
        <x:is>
          <x:t xml:space="preserve">Use the story to show group travel confusion and repeated calls and end with one practical takeaway.</x:t>
        </x:is>
      </x:c>
      <x:c r="L207" s="110" t="inlineStr">
        <x:is>
          <x:t xml:space="preserve">Plan and share your next trip with Msafiri.</x:t>
        </x:is>
      </x:c>
      <x:c r="M207" s="110" t="inlineStr">
        <x:is>
          <x:t xml:space="preserve">trip preview screen; captions; app screen-record; branded end card</x:t>
        </x:is>
      </x:c>
      <x:c r="N207" s="110" t="inlineStr">
        <x:is>
          <x:t xml:space="preserve">Low</x:t>
        </x:is>
      </x:c>
      <x:c r="O207" s="110" t="n">
        <x:v>3</x:v>
      </x:c>
      <x:c r="P207" s="110" t="n">
        <x:v>4</x:v>
      </x:c>
      <x:c r="Q207" s="110" t="n">
        <x:v>3</x:v>
      </x:c>
      <x:c r="R207" s="110" t="n">
        <x:v>1</x:v>
      </x:c>
      <x:c r="S207" s="110" t="n">
        <x:v>2</x:v>
      </x:c>
      <x:c r="T207" s="110" t="n">
        <x:f>O207+P207+Q207+S207-R207</x:f>
        <x:v>11</x:v>
      </x:c>
      <x:c r="U207" s="110" t="inlineStr">
        <x:is>
          <x:t xml:space="preserve">Do not imply live tracking if not supported; be precise.</x:t>
        </x:is>
      </x:c>
      <x:c r="V207" s="110" t="inlineStr">
        <x:is>
          <x:t xml:space="preserve">Turn best responses into Comment-to-Video and add to next week’s road-check queue.</x:t>
        </x:is>
      </x:c>
    </x:row>
    <x:row r="208" ht="58" customHeight="1">
      <x:c r="A208" s="117" t="n">
        <x:v>204</x:v>
      </x:c>
      <x:c r="B208" s="117" t="inlineStr">
        <x:is>
          <x:t xml:space="preserve">Accident Readiness</x:t>
        </x:is>
      </x:c>
      <x:c r="C208" s="117" t="inlineStr">
        <x:is>
          <x:t xml:space="preserve">Trips / trip sharing</x:t>
        </x:is>
      </x:c>
      <x:c r="D208" s="117" t="inlineStr">
        <x:is>
          <x:t xml:space="preserve">Would You Know What To Do?</x:t>
        </x:is>
      </x:c>
      <x:c r="E208" s="117" t="inlineStr">
        <x:is>
          <x:t xml:space="preserve">Safety-conscious passenger</x:t>
        </x:is>
      </x:c>
      <x:c r="F208" s="117" t="inlineStr">
        <x:is>
          <x:t xml:space="preserve">Trust</x:t>
        </x:is>
      </x:c>
      <x:c r="G208" s="117" t="inlineStr">
        <x:is>
          <x:t xml:space="preserve">Short-form video</x:t>
        </x:is>
      </x:c>
      <x:c r="H208" s="117" t="inlineStr">
        <x:is>
          <x:t xml:space="preserve">If this happened today, would you know what to do first?</x:t>
        </x:is>
      </x:c>
      <x:c r="I208" s="117" t="inlineStr">
        <x:is>
          <x:t xml:space="preserve">Scenario roleplay + checklist; convoy B-roll.</x:t>
        </x:is>
      </x:c>
      <x:c r="J208" s="117" t="inlineStr">
        <x:is>
          <x:t xml:space="preserve">Preparedness without fear.</x:t>
        </x:is>
      </x:c>
      <x:c r="K208" s="117" t="inlineStr">
        <x:is>
          <x:t xml:space="preserve">Use the story to show group travel confusion and repeated calls and end with one practical takeaway.</x:t>
        </x:is>
      </x:c>
      <x:c r="L208" s="117" t="inlineStr">
        <x:is>
          <x:t xml:space="preserve">Plan and share your next trip with Msafiri.</x:t>
        </x:is>
      </x:c>
      <x:c r="M208" s="117" t="inlineStr">
        <x:is>
          <x:t xml:space="preserve">convoy B-roll; captions; app screen-record; branded end card</x:t>
        </x:is>
      </x:c>
      <x:c r="N208" s="117" t="inlineStr">
        <x:is>
          <x:t xml:space="preserve">Medium</x:t>
        </x:is>
      </x:c>
      <x:c r="O208" s="117" t="n">
        <x:v>3</x:v>
      </x:c>
      <x:c r="P208" s="117" t="n">
        <x:v>5</x:v>
      </x:c>
      <x:c r="Q208" s="117" t="n">
        <x:v>3</x:v>
      </x:c>
      <x:c r="R208" s="117" t="n">
        <x:v>2</x:v>
      </x:c>
      <x:c r="S208" s="117" t="n">
        <x:v>2</x:v>
      </x:c>
      <x:c r="T208" s="117" t="n">
        <x:f>O208+P208+Q208+S208-R208</x:f>
        <x:v>11</x:v>
      </x:c>
      <x:c r="U208" s="117" t="inlineStr">
        <x:is>
          <x:t xml:space="preserve">Do not imply live tracking if not supported; be precise.</x:t>
        </x:is>
      </x:c>
      <x:c r="V208" s="117" t="inlineStr">
        <x:is>
          <x:t xml:space="preserve">Cut into a 15-sec hook, a Story poll and a carousel slide if it gets saves/comments.</x:t>
        </x:is>
      </x:c>
    </x:row>
    <x:row r="209" ht="58" customHeight="1">
      <x:c r="A209" s="110" t="n">
        <x:v>205</x:v>
      </x:c>
      <x:c r="B209" s="110" t="inlineStr">
        <x:is>
          <x:t xml:space="preserve">Product / Feature Proof</x:t>
        </x:is>
      </x:c>
      <x:c r="C209" s="110" t="inlineStr">
        <x:is>
          <x:t xml:space="preserve">Trips / trip sharing</x:t>
        </x:is>
      </x:c>
      <x:c r="D209" s="110" t="inlineStr">
        <x:is>
          <x:t xml:space="preserve">Can Msafiri Do This?</x:t>
        </x:is>
      </x:c>
      <x:c r="E209" s="110" t="inlineStr">
        <x:is>
          <x:t xml:space="preserve">Road-trip group</x:t>
        </x:is>
      </x:c>
      <x:c r="F209" s="110" t="inlineStr">
        <x:is>
          <x:t xml:space="preserve">Feature Discovery</x:t>
        </x:is>
      </x:c>
      <x:c r="G209" s="110" t="inlineStr">
        <x:is>
          <x:t xml:space="preserve">Short-form video</x:t>
        </x:is>
      </x:c>
      <x:c r="H209" s="110" t="inlineStr">
        <x:is>
          <x:t xml:space="preserve">Can Msafiri help when group travel confusion and repeated calls? Let’s test it.</x:t>
        </x:is>
      </x:c>
      <x:c r="I209" s="110" t="inlineStr">
        <x:is>
          <x:t xml:space="preserve">Live test with timer; packing car.</x:t>
        </x:is>
      </x:c>
      <x:c r="J209" s="110" t="inlineStr">
        <x:is>
          <x:t xml:space="preserve">Proof through demonstration.</x:t>
        </x:is>
      </x:c>
      <x:c r="K209" s="110" t="inlineStr">
        <x:is>
          <x:t xml:space="preserve">Use the story to show group travel confusion and repeated calls and end with one practical takeaway.</x:t>
        </x:is>
      </x:c>
      <x:c r="L209" s="110" t="inlineStr">
        <x:is>
          <x:t xml:space="preserve">Plan and share your next trip with Msafiri.</x:t>
        </x:is>
      </x:c>
      <x:c r="M209" s="110" t="inlineStr">
        <x:is>
          <x:t xml:space="preserve">packing car; captions; app screen-record; branded end card</x:t>
        </x:is>
      </x:c>
      <x:c r="N209" s="110" t="inlineStr">
        <x:is>
          <x:t xml:space="preserve">High</x:t>
        </x:is>
      </x:c>
      <x:c r="O209" s="110" t="n">
        <x:v>3</x:v>
      </x:c>
      <x:c r="P209" s="110" t="n">
        <x:v>4</x:v>
      </x:c>
      <x:c r="Q209" s="110" t="n">
        <x:v>5</x:v>
      </x:c>
      <x:c r="R209" s="110" t="n">
        <x:v>3</x:v>
      </x:c>
      <x:c r="S209" s="110" t="n">
        <x:v>2</x:v>
      </x:c>
      <x:c r="T209" s="110" t="n">
        <x:f>O209+P209+Q209+S209-R209</x:f>
        <x:v>11</x:v>
      </x:c>
      <x:c r="U209" s="110" t="inlineStr">
        <x:is>
          <x:t xml:space="preserve">Do not imply live tracking if not supported; be precise.</x:t>
        </x:is>
      </x:c>
      <x:c r="V209" s="110" t="inlineStr">
        <x:is>
          <x:t xml:space="preserve">Cut into a 15-sec hook, a Story poll and a carousel slide if it gets saves/comments.</x:t>
        </x:is>
      </x:c>
    </x:row>
    <x:row r="210" ht="58" customHeight="1">
      <x:c r="A210" s="117" t="n">
        <x:v>206</x:v>
      </x:c>
      <x:c r="B210" s="117" t="inlineStr">
        <x:is>
          <x:t xml:space="preserve">Road Intelligence</x:t>
        </x:is>
      </x:c>
      <x:c r="C210" s="117" t="inlineStr">
        <x:is>
          <x:t xml:space="preserve">Trips / trip sharing</x:t>
        </x:is>
      </x:c>
      <x:c r="D210" s="117" t="inlineStr">
        <x:is>
          <x:t xml:space="preserve">Road Trip POV</x:t>
        </x:is>
      </x:c>
      <x:c r="E210" s="117" t="inlineStr">
        <x:is>
          <x:t xml:space="preserve">Family driver</x:t>
        </x:is>
      </x:c>
      <x:c r="F210" s="117" t="inlineStr">
        <x:is>
          <x:t xml:space="preserve">Awareness</x:t>
        </x:is>
      </x:c>
      <x:c r="G210" s="117" t="inlineStr">
        <x:is>
          <x:t xml:space="preserve">Hero / Reel</x:t>
        </x:is>
      </x:c>
      <x:c r="H210" s="117" t="inlineStr">
        <x:is>
          <x:t xml:space="preserve">A calm drive is not luck — watch how we planned a garage visit.</x:t>
        </x:is>
      </x:c>
      <x:c r="I210" s="117" t="inlineStr">
        <x:is>
          <x:t xml:space="preserve">Cinematic POV + UI moments; route handoff.</x:t>
        </x:is>
      </x:c>
      <x:c r="J210" s="117" t="inlineStr">
        <x:is>
          <x:t xml:space="preserve">Aspirational practical brand feel.</x:t>
        </x:is>
      </x:c>
      <x:c r="K210" s="117" t="inlineStr">
        <x:is>
          <x:t xml:space="preserve">Use the story to show group travel confusion and repeated calls and end with one practical takeaway.</x:t>
        </x:is>
      </x:c>
      <x:c r="L210" s="117" t="inlineStr">
        <x:is>
          <x:t xml:space="preserve">Plan and share your next trip with Msafiri.</x:t>
        </x:is>
      </x:c>
      <x:c r="M210" s="117" t="inlineStr">
        <x:is>
          <x:t xml:space="preserve">route handoff; captions; app screen-record; branded end card</x:t>
        </x:is>
      </x:c>
      <x:c r="N210" s="117" t="inlineStr">
        <x:is>
          <x:t xml:space="preserve">Low</x:t>
        </x:is>
      </x:c>
      <x:c r="O210" s="117" t="n">
        <x:v>3</x:v>
      </x:c>
      <x:c r="P210" s="117" t="n">
        <x:v>5</x:v>
      </x:c>
      <x:c r="Q210" s="117" t="n">
        <x:v>3</x:v>
      </x:c>
      <x:c r="R210" s="117" t="n">
        <x:v>1</x:v>
      </x:c>
      <x:c r="S210" s="117" t="n">
        <x:v>3</x:v>
      </x:c>
      <x:c r="T210" s="117" t="n">
        <x:f>O210+P210+Q210+S210-R210</x:f>
        <x:v>13</x:v>
      </x:c>
      <x:c r="U210" s="117" t="inlineStr">
        <x:is>
          <x:t xml:space="preserve">Do not imply live tracking if not supported; be precise.</x:t>
        </x:is>
      </x:c>
      <x:c r="V210" s="117" t="inlineStr">
        <x:is>
          <x:t xml:space="preserve">Cut into a 15-sec hook, a Story poll and a carousel slide if it gets saves/comments.</x:t>
        </x:is>
      </x:c>
    </x:row>
    <x:row r="211" ht="58" customHeight="1">
      <x:c r="A211" s="110" t="n">
        <x:v>207</x:v>
      </x:c>
      <x:c r="B211" s="110" t="inlineStr">
        <x:is>
          <x:t xml:space="preserve">Education / Safety</x:t>
        </x:is>
      </x:c>
      <x:c r="C211" s="110" t="inlineStr">
        <x:is>
          <x:t xml:space="preserve">Trips / trip sharing</x:t>
        </x:is>
      </x:c>
      <x:c r="D211" s="110" t="inlineStr">
        <x:is>
          <x:t xml:space="preserve">One Minute Road Safety</x:t>
        </x:is>
      </x:c>
      <x:c r="E211" s="110" t="inlineStr">
        <x:is>
          <x:t xml:space="preserve">Long-distance driver</x:t>
        </x:is>
      </x:c>
      <x:c r="F211" s="110" t="inlineStr">
        <x:is>
          <x:t xml:space="preserve">Retention</x:t>
        </x:is>
      </x:c>
      <x:c r="G211" s="110" t="inlineStr">
        <x:is>
          <x:t xml:space="preserve">Checklist Reel</x:t>
        </x:is>
      </x:c>
      <x:c r="H211" s="110" t="inlineStr">
        <x:is>
          <x:t xml:space="preserve">One minute road safety: trips / trip sharing edition.</x:t>
        </x:is>
      </x:c>
      <x:c r="I211" s="110" t="inlineStr">
        <x:is>
          <x:t xml:space="preserve">One tip per beat; group chat skit.</x:t>
        </x:is>
      </x:c>
      <x:c r="J211" s="110" t="inlineStr">
        <x:is>
          <x:t xml:space="preserve">Quick knowledge people can use.</x:t>
        </x:is>
      </x:c>
      <x:c r="K211" s="110" t="inlineStr">
        <x:is>
          <x:t xml:space="preserve">Use the story to show group travel confusion and repeated calls and end with one practical takeaway.</x:t>
        </x:is>
      </x:c>
      <x:c r="L211" s="110" t="inlineStr">
        <x:is>
          <x:t xml:space="preserve">Plan and share your next trip with Msafiri.</x:t>
        </x:is>
      </x:c>
      <x:c r="M211" s="110" t="inlineStr">
        <x:is>
          <x:t xml:space="preserve">group chat skit; captions; app screen-record; branded end card</x:t>
        </x:is>
      </x:c>
      <x:c r="N211" s="110" t="inlineStr">
        <x:is>
          <x:t xml:space="preserve">Medium</x:t>
        </x:is>
      </x:c>
      <x:c r="O211" s="110" t="n">
        <x:v>3</x:v>
      </x:c>
      <x:c r="P211" s="110" t="n">
        <x:v>5</x:v>
      </x:c>
      <x:c r="Q211" s="110" t="n">
        <x:v>3</x:v>
      </x:c>
      <x:c r="R211" s="110" t="n">
        <x:v>2</x:v>
      </x:c>
      <x:c r="S211" s="110" t="n">
        <x:v>2</x:v>
      </x:c>
      <x:c r="T211" s="110" t="n">
        <x:f>O211+P211+Q211+S211-R211</x:f>
        <x:v>11</x:v>
      </x:c>
      <x:c r="U211" s="110" t="inlineStr">
        <x:is>
          <x:t xml:space="preserve">Do not imply live tracking if not supported; be precise.</x:t>
        </x:is>
      </x:c>
      <x:c r="V211" s="110" t="inlineStr">
        <x:is>
          <x:t xml:space="preserve">Cut into a 15-sec hook, a Story poll and a carousel slide if it gets saves/comments.</x:t>
        </x:is>
      </x:c>
    </x:row>
    <x:row r="212" ht="58" customHeight="1">
      <x:c r="A212" s="117" t="n">
        <x:v>208</x:v>
      </x:c>
      <x:c r="B212" s="117" t="inlineStr">
        <x:is>
          <x:t xml:space="preserve">Founder / BTS</x:t>
        </x:is>
      </x:c>
      <x:c r="C212" s="117" t="inlineStr">
        <x:is>
          <x:t xml:space="preserve">Trips / trip sharing</x:t>
        </x:is>
      </x:c>
      <x:c r="D212" s="117" t="inlineStr">
        <x:is>
          <x:t xml:space="preserve">Build With Peter</x:t>
        </x:is>
      </x:c>
      <x:c r="E212" s="117" t="inlineStr">
        <x:is>
          <x:t xml:space="preserve">Safety-conscious passenger</x:t>
        </x:is>
      </x:c>
      <x:c r="F212" s="117" t="inlineStr">
        <x:is>
          <x:t xml:space="preserve">Trust</x:t>
        </x:is>
      </x:c>
      <x:c r="G212" s="117" t="inlineStr">
        <x:is>
          <x:t xml:space="preserve">Founder-to-camera</x:t>
        </x:is>
      </x:c>
      <x:c r="H212" s="117" t="inlineStr">
        <x:is>
          <x:t xml:space="preserve">The product decision we almost got wrong with trips / trip sharing.</x:t>
        </x:is>
      </x:c>
      <x:c r="I212" s="117" t="inlineStr">
        <x:is>
          <x:t xml:space="preserve">Peter + notes + app prototype; trip preview screen.</x:t>
        </x:is>
      </x:c>
      <x:c r="J212" s="117" t="inlineStr">
        <x:is>
          <x:t xml:space="preserve">Humanizing the build process.</x:t>
        </x:is>
      </x:c>
      <x:c r="K212" s="117" t="inlineStr">
        <x:is>
          <x:t xml:space="preserve">Use the story to show group travel confusion and repeated calls and end with one practical takeaway.</x:t>
        </x:is>
      </x:c>
      <x:c r="L212" s="117" t="inlineStr">
        <x:is>
          <x:t xml:space="preserve">Plan and share your next trip with Msafiri.</x:t>
        </x:is>
      </x:c>
      <x:c r="M212" s="117" t="inlineStr">
        <x:is>
          <x:t xml:space="preserve">trip preview screen; captions; app screen-record; branded end card</x:t>
        </x:is>
      </x:c>
      <x:c r="N212" s="117" t="inlineStr">
        <x:is>
          <x:t xml:space="preserve">High</x:t>
        </x:is>
      </x:c>
      <x:c r="O212" s="117" t="n">
        <x:v>3</x:v>
      </x:c>
      <x:c r="P212" s="117" t="n">
        <x:v>4</x:v>
      </x:c>
      <x:c r="Q212" s="117" t="n">
        <x:v>3</x:v>
      </x:c>
      <x:c r="R212" s="117" t="n">
        <x:v>3</x:v>
      </x:c>
      <x:c r="S212" s="117" t="n">
        <x:v>2</x:v>
      </x:c>
      <x:c r="T212" s="117" t="n">
        <x:f>O212+P212+Q212+S212-R212</x:f>
        <x:v>9</x:v>
      </x:c>
      <x:c r="U212" s="117" t="inlineStr">
        <x:is>
          <x:t xml:space="preserve">Do not imply live tracking if not supported; be precise.</x:t>
        </x:is>
      </x:c>
      <x:c r="V212" s="117" t="inlineStr">
        <x:is>
          <x:t xml:space="preserve">Cut into a 15-sec hook, a Story poll and a carousel slide if it gets saves/comments.</x:t>
        </x:is>
      </x:c>
    </x:row>
    <x:row r="213" ht="58" customHeight="1">
      <x:c r="A213" s="110" t="n">
        <x:v>209</x:v>
      </x:c>
      <x:c r="B213" s="110" t="inlineStr">
        <x:is>
          <x:t xml:space="preserve">Community / UGC</x:t>
        </x:is>
      </x:c>
      <x:c r="C213" s="110" t="inlineStr">
        <x:is>
          <x:t xml:space="preserve">Trips / trip sharing</x:t>
        </x:is>
      </x:c>
      <x:c r="D213" s="110" t="inlineStr">
        <x:is>
          <x:t xml:space="preserve">Comment-to-Video</x:t>
        </x:is>
      </x:c>
      <x:c r="E213" s="110" t="inlineStr">
        <x:is>
          <x:t xml:space="preserve">Road-trip group</x:t>
        </x:is>
      </x:c>
      <x:c r="F213" s="110" t="inlineStr">
        <x:is>
          <x:t xml:space="preserve">Community</x:t>
        </x:is>
      </x:c>
      <x:c r="G213" s="110" t="inlineStr">
        <x:is>
          <x:t xml:space="preserve">Community Reply</x:t>
        </x:is>
      </x:c>
      <x:c r="H213" s="110" t="inlineStr">
        <x:is>
          <x:t xml:space="preserve">A follower asked about group travel confusion and repeated calls; here is the practical answer.</x:t>
        </x:is>
      </x:c>
      <x:c r="I213" s="110" t="inlineStr">
        <x:is>
          <x:t xml:space="preserve">Comment sticker + direct answer; convoy B-roll.</x:t>
        </x:is>
      </x:c>
      <x:c r="J213" s="110" t="inlineStr">
        <x:is>
          <x:t xml:space="preserve">Reward comments and build trust.</x:t>
        </x:is>
      </x:c>
      <x:c r="K213" s="110" t="inlineStr">
        <x:is>
          <x:t xml:space="preserve">Use the story to show group travel confusion and repeated calls and end with one practical takeaway.</x:t>
        </x:is>
      </x:c>
      <x:c r="L213" s="110" t="inlineStr">
        <x:is>
          <x:t xml:space="preserve">Plan and share your next trip with Msafiri.</x:t>
        </x:is>
      </x:c>
      <x:c r="M213" s="110" t="inlineStr">
        <x:is>
          <x:t xml:space="preserve">convoy B-roll; captions; app screen-record; branded end card</x:t>
        </x:is>
      </x:c>
      <x:c r="N213" s="110" t="inlineStr">
        <x:is>
          <x:t xml:space="preserve">Low</x:t>
        </x:is>
      </x:c>
      <x:c r="O213" s="110" t="n">
        <x:v>3</x:v>
      </x:c>
      <x:c r="P213" s="110" t="n">
        <x:v>4</x:v>
      </x:c>
      <x:c r="Q213" s="110" t="n">
        <x:v>3</x:v>
      </x:c>
      <x:c r="R213" s="110" t="n">
        <x:v>1</x:v>
      </x:c>
      <x:c r="S213" s="110" t="n">
        <x:v>2</x:v>
      </x:c>
      <x:c r="T213" s="110" t="n">
        <x:f>O213+P213+Q213+S213-R213</x:f>
        <x:v>11</x:v>
      </x:c>
      <x:c r="U213" s="110" t="inlineStr">
        <x:is>
          <x:t xml:space="preserve">Do not imply live tracking if not supported; be precise.</x:t>
        </x:is>
      </x:c>
      <x:c r="V213" s="110" t="inlineStr">
        <x:is>
          <x:t xml:space="preserve">Cut into a 15-sec hook, a Story poll and a carousel slide if it gets saves/comments.</x:t>
        </x:is>
      </x:c>
    </x:row>
    <x:row r="214" ht="58" customHeight="1">
      <x:c r="A214" s="117" t="n">
        <x:v>210</x:v>
      </x:c>
      <x:c r="B214" s="117" t="inlineStr">
        <x:is>
          <x:t xml:space="preserve">Kenyan Driving Reality</x:t>
        </x:is>
      </x:c>
      <x:c r="C214" s="117" t="inlineStr">
        <x:is>
          <x:t xml:space="preserve">Trips / trip sharing</x:t>
        </x:is>
      </x:c>
      <x:c r="D214" s="117" t="inlineStr">
        <x:is>
          <x:t xml:space="preserve">Driver Confessions</x:t>
        </x:is>
      </x:c>
      <x:c r="E214" s="117" t="inlineStr">
        <x:is>
          <x:t xml:space="preserve">Family driver</x:t>
        </x:is>
      </x:c>
      <x:c r="F214" s="117" t="inlineStr">
        <x:is>
          <x:t xml:space="preserve">Engagement</x:t>
        </x:is>
      </x:c>
      <x:c r="G214" s="117" t="inlineStr">
        <x:is>
          <x:t xml:space="preserve">Street Interview</x:t>
        </x:is>
      </x:c>
      <x:c r="H214" s="117" t="inlineStr">
        <x:is>
          <x:t xml:space="preserve">Confession time: what is the one driving mistake you learned from?</x:t>
        </x:is>
      </x:c>
      <x:c r="I214" s="117" t="inlineStr">
        <x:is>
          <x:t xml:space="preserve">Anonymous driver confession; packing car.</x:t>
        </x:is>
      </x:c>
      <x:c r="J214" s="117" t="inlineStr">
        <x:is>
          <x:t xml:space="preserve">Relatable vulnerability.</x:t>
        </x:is>
      </x:c>
      <x:c r="K214" s="117" t="inlineStr">
        <x:is>
          <x:t xml:space="preserve">Use the story to show group travel confusion and repeated calls and end with one practical takeaway.</x:t>
        </x:is>
      </x:c>
      <x:c r="L214" s="117" t="inlineStr">
        <x:is>
          <x:t xml:space="preserve">Plan and share your next trip with Msafiri.</x:t>
        </x:is>
      </x:c>
      <x:c r="M214" s="117" t="inlineStr">
        <x:is>
          <x:t xml:space="preserve">packing car; captions; app screen-record; branded end card</x:t>
        </x:is>
      </x:c>
      <x:c r="N214" s="117" t="inlineStr">
        <x:is>
          <x:t xml:space="preserve">Medium</x:t>
        </x:is>
      </x:c>
      <x:c r="O214" s="117" t="n">
        <x:v>4</x:v>
      </x:c>
      <x:c r="P214" s="117" t="n">
        <x:v>4</x:v>
      </x:c>
      <x:c r="Q214" s="117" t="n">
        <x:v>3</x:v>
      </x:c>
      <x:c r="R214" s="117" t="n">
        <x:v>2</x:v>
      </x:c>
      <x:c r="S214" s="117" t="n">
        <x:v>2</x:v>
      </x:c>
      <x:c r="T214" s="117" t="n">
        <x:f>O214+P214+Q214+S214-R214</x:f>
        <x:v>11</x:v>
      </x:c>
      <x:c r="U214" s="117" t="inlineStr">
        <x:is>
          <x:t xml:space="preserve">Do not imply live tracking if not supported; be precise.</x:t>
        </x:is>
      </x:c>
      <x:c r="V214" s="117" t="inlineStr">
        <x:is>
          <x:t xml:space="preserve">Turn best responses into Comment-to-Video and add to next week’s road-check queue.</x:t>
        </x:is>
      </x:c>
    </x:row>
    <x:row r="215" ht="58" customHeight="1">
      <x:c r="A215" s="110" t="n">
        <x:v>211</x:v>
      </x:c>
      <x:c r="B215" s="110" t="inlineStr">
        <x:is>
          <x:t xml:space="preserve">Product / Feature Proof</x:t>
        </x:is>
      </x:c>
      <x:c r="C215" s="110" t="inlineStr">
        <x:is>
          <x:t xml:space="preserve">Trips / trip sharing</x:t>
        </x:is>
      </x:c>
      <x:c r="D215" s="110" t="inlineStr">
        <x:is>
          <x:t xml:space="preserve">Before / After</x:t>
        </x:is>
      </x:c>
      <x:c r="E215" s="110" t="inlineStr">
        <x:is>
          <x:t xml:space="preserve">Long-distance driver</x:t>
        </x:is>
      </x:c>
      <x:c r="F215" s="110" t="inlineStr">
        <x:is>
          <x:t xml:space="preserve">Conversion</x:t>
        </x:is>
      </x:c>
      <x:c r="G215" s="110" t="inlineStr">
        <x:is>
          <x:t xml:space="preserve">Short-form video</x:t>
        </x:is>
      </x:c>
      <x:c r="H215" s="110" t="inlineStr">
        <x:is>
          <x:t xml:space="preserve">Before Msafiri vs after Msafiri when group travel confusion and repeated calls.</x:t>
        </x:is>
      </x:c>
      <x:c r="I215" s="110" t="inlineStr">
        <x:is>
          <x:t xml:space="preserve">Two-act split screen; route handoff.</x:t>
        </x:is>
      </x:c>
      <x:c r="J215" s="110" t="inlineStr">
        <x:is>
          <x:t xml:space="preserve">A clear reason to try.</x:t>
        </x:is>
      </x:c>
      <x:c r="K215" s="110" t="inlineStr">
        <x:is>
          <x:t xml:space="preserve">Use the story to show group travel confusion and repeated calls and end with one practical takeaway.</x:t>
        </x:is>
      </x:c>
      <x:c r="L215" s="110" t="inlineStr">
        <x:is>
          <x:t xml:space="preserve">Plan and share your next trip with Msafiri.</x:t>
        </x:is>
      </x:c>
      <x:c r="M215" s="110" t="inlineStr">
        <x:is>
          <x:t xml:space="preserve">route handoff; captions; app screen-record; branded end card</x:t>
        </x:is>
      </x:c>
      <x:c r="N215" s="110" t="inlineStr">
        <x:is>
          <x:t xml:space="preserve">High</x:t>
        </x:is>
      </x:c>
      <x:c r="O215" s="110" t="n">
        <x:v>3</x:v>
      </x:c>
      <x:c r="P215" s="110" t="n">
        <x:v>4</x:v>
      </x:c>
      <x:c r="Q215" s="110" t="n">
        <x:v>5</x:v>
      </x:c>
      <x:c r="R215" s="110" t="n">
        <x:v>3</x:v>
      </x:c>
      <x:c r="S215" s="110" t="n">
        <x:v>2</x:v>
      </x:c>
      <x:c r="T215" s="110" t="n">
        <x:f>O215+P215+Q215+S215-R215</x:f>
        <x:v>11</x:v>
      </x:c>
      <x:c r="U215" s="110" t="inlineStr">
        <x:is>
          <x:t xml:space="preserve">Do not imply live tracking if not supported; be precise.</x:t>
        </x:is>
      </x:c>
      <x:c r="V215" s="110" t="inlineStr">
        <x:is>
          <x:t xml:space="preserve">Cut into a 15-sec hook, a Story poll and a carousel slide if it gets saves/comments.</x:t>
        </x:is>
      </x:c>
    </x:row>
    <x:row r="216" ht="58" customHeight="1">
      <x:c r="A216" s="117" t="n">
        <x:v>212</x:v>
      </x:c>
      <x:c r="B216" s="117" t="inlineStr">
        <x:is>
          <x:t xml:space="preserve">Seasonal Campaign</x:t>
        </x:is>
      </x:c>
      <x:c r="C216" s="117" t="inlineStr">
        <x:is>
          <x:t xml:space="preserve">Trips / trip sharing</x:t>
        </x:is>
      </x:c>
      <x:c r="D216" s="117" t="inlineStr">
        <x:is>
          <x:t xml:space="preserve">Holiday Road Prep</x:t>
        </x:is>
      </x:c>
      <x:c r="E216" s="117" t="inlineStr">
        <x:is>
          <x:t xml:space="preserve">Safety-conscious passenger</x:t>
        </x:is>
      </x:c>
      <x:c r="F216" s="117" t="inlineStr">
        <x:is>
          <x:t xml:space="preserve">Awareness</x:t>
        </x:is>
      </x:c>
      <x:c r="G216" s="117" t="inlineStr">
        <x:is>
          <x:t xml:space="preserve">Checklist Reel</x:t>
        </x:is>
      </x:c>
      <x:c r="H216" s="117" t="inlineStr">
        <x:is>
          <x:t xml:space="preserve">Holiday drive coming up? Do not leave before checking this.</x:t>
        </x:is>
      </x:c>
      <x:c r="I216" s="117" t="inlineStr">
        <x:is>
          <x:t xml:space="preserve">Packing + car + phone mount; group chat skit.</x:t>
        </x:is>
      </x:c>
      <x:c r="J216" s="117" t="inlineStr">
        <x:is>
          <x:t xml:space="preserve">Seasonal urgency.</x:t>
        </x:is>
      </x:c>
      <x:c r="K216" s="117" t="inlineStr">
        <x:is>
          <x:t xml:space="preserve">Use the story to show group travel confusion and repeated calls and end with one practical takeaway.</x:t>
        </x:is>
      </x:c>
      <x:c r="L216" s="117" t="inlineStr">
        <x:is>
          <x:t xml:space="preserve">Plan and share your next trip with Msafiri.</x:t>
        </x:is>
      </x:c>
      <x:c r="M216" s="117" t="inlineStr">
        <x:is>
          <x:t xml:space="preserve">group chat skit; captions; app screen-record; branded end card</x:t>
        </x:is>
      </x:c>
      <x:c r="N216" s="117" t="inlineStr">
        <x:is>
          <x:t xml:space="preserve">Low</x:t>
        </x:is>
      </x:c>
      <x:c r="O216" s="117" t="n">
        <x:v>4</x:v>
      </x:c>
      <x:c r="P216" s="117" t="n">
        <x:v>4</x:v>
      </x:c>
      <x:c r="Q216" s="117" t="n">
        <x:v>3</x:v>
      </x:c>
      <x:c r="R216" s="117" t="n">
        <x:v>1</x:v>
      </x:c>
      <x:c r="S216" s="117" t="n">
        <x:v>4</x:v>
      </x:c>
      <x:c r="T216" s="117" t="n">
        <x:f>O216+P216+Q216+S216-R216</x:f>
        <x:v>14</x:v>
      </x:c>
      <x:c r="U216" s="117" t="inlineStr">
        <x:is>
          <x:t xml:space="preserve">Do not imply live tracking if not supported; be precise.</x:t>
        </x:is>
      </x:c>
      <x:c r="V216" s="117" t="inlineStr">
        <x:is>
          <x:t xml:space="preserve">Cut into a 15-sec hook, a Story poll and a carousel slide if it gets saves/comments.</x:t>
        </x:is>
      </x:c>
    </x:row>
    <x:row r="217" ht="58" customHeight="1">
      <x:c r="A217" s="110" t="n">
        <x:v>213</x:v>
      </x:c>
      <x:c r="B217" s="110" t="inlineStr">
        <x:is>
          <x:t xml:space="preserve">Education / Safety</x:t>
        </x:is>
      </x:c>
      <x:c r="C217" s="110" t="inlineStr">
        <x:is>
          <x:t xml:space="preserve">Trips / trip sharing</x:t>
        </x:is>
      </x:c>
      <x:c r="D217" s="110" t="inlineStr">
        <x:is>
          <x:t xml:space="preserve">Passenger POV</x:t>
        </x:is>
      </x:c>
      <x:c r="E217" s="110" t="inlineStr">
        <x:is>
          <x:t xml:space="preserve">Road-trip group</x:t>
        </x:is>
      </x:c>
      <x:c r="F217" s="110" t="inlineStr">
        <x:is>
          <x:t xml:space="preserve">Community</x:t>
        </x:is>
      </x:c>
      <x:c r="G217" s="110" t="inlineStr">
        <x:is>
          <x:t xml:space="preserve">Short-form video</x:t>
        </x:is>
      </x:c>
      <x:c r="H217" s="110" t="inlineStr">
        <x:is>
          <x:t xml:space="preserve">Passenger script: how to tell the driver to slow down without starting a fight.</x:t>
        </x:is>
      </x:c>
      <x:c r="I217" s="110" t="inlineStr">
        <x:is>
          <x:t xml:space="preserve">Passenger POV + text overlay; trip preview screen.</x:t>
        </x:is>
      </x:c>
      <x:c r="J217" s="110" t="inlineStr">
        <x:is>
          <x:t xml:space="preserve">Safety through social behavior.</x:t>
        </x:is>
      </x:c>
      <x:c r="K217" s="110" t="inlineStr">
        <x:is>
          <x:t xml:space="preserve">Use the story to show group travel confusion and repeated calls and end with one practical takeaway.</x:t>
        </x:is>
      </x:c>
      <x:c r="L217" s="110" t="inlineStr">
        <x:is>
          <x:t xml:space="preserve">Plan and share your next trip with Msafiri.</x:t>
        </x:is>
      </x:c>
      <x:c r="M217" s="110" t="inlineStr">
        <x:is>
          <x:t xml:space="preserve">trip preview screen; captions; app screen-record; branded end card</x:t>
        </x:is>
      </x:c>
      <x:c r="N217" s="110" t="inlineStr">
        <x:is>
          <x:t xml:space="preserve">Medium</x:t>
        </x:is>
      </x:c>
      <x:c r="O217" s="110" t="n">
        <x:v>3</x:v>
      </x:c>
      <x:c r="P217" s="110" t="n">
        <x:v>5</x:v>
      </x:c>
      <x:c r="Q217" s="110" t="n">
        <x:v>3</x:v>
      </x:c>
      <x:c r="R217" s="110" t="n">
        <x:v>2</x:v>
      </x:c>
      <x:c r="S217" s="110" t="n">
        <x:v>2</x:v>
      </x:c>
      <x:c r="T217" s="110" t="n">
        <x:f>O217+P217+Q217+S217-R217</x:f>
        <x:v>11</x:v>
      </x:c>
      <x:c r="U217" s="110" t="inlineStr">
        <x:is>
          <x:t xml:space="preserve">Do not imply live tracking if not supported; be precise.</x:t>
        </x:is>
      </x:c>
      <x:c r="V217" s="110" t="inlineStr">
        <x:is>
          <x:t xml:space="preserve">Cut into a 15-sec hook, a Story poll and a carousel slide if it gets saves/comments.</x:t>
        </x:is>
      </x:c>
    </x:row>
    <x:row r="218" ht="58" customHeight="1">
      <x:c r="A218" s="117" t="n">
        <x:v>214</x:v>
      </x:c>
      <x:c r="B218" s="117" t="inlineStr">
        <x:is>
          <x:t xml:space="preserve">Product / Feature Proof</x:t>
        </x:is>
      </x:c>
      <x:c r="C218" s="117" t="inlineStr">
        <x:is>
          <x:t xml:space="preserve">Trips / trip sharing</x:t>
        </x:is>
      </x:c>
      <x:c r="D218" s="117" t="inlineStr">
        <x:is>
          <x:t xml:space="preserve">Feature FAQ</x:t>
        </x:is>
      </x:c>
      <x:c r="E218" s="117" t="inlineStr">
        <x:is>
          <x:t xml:space="preserve">Family driver</x:t>
        </x:is>
      </x:c>
      <x:c r="F218" s="117" t="inlineStr">
        <x:is>
          <x:t xml:space="preserve">Feature Discovery</x:t>
        </x:is>
      </x:c>
      <x:c r="G218" s="117" t="inlineStr">
        <x:is>
          <x:t xml:space="preserve">Carousel</x:t>
        </x:is>
      </x:c>
      <x:c r="H218" s="117" t="inlineStr">
        <x:is>
          <x:t xml:space="preserve">The question people ask about trips / trip sharing, answered simply.</x:t>
        </x:is>
      </x:c>
      <x:c r="I218" s="117" t="inlineStr">
        <x:is>
          <x:t xml:space="preserve">Carousel with one answer per slide; convoy B-roll.</x:t>
        </x:is>
      </x:c>
      <x:c r="J218" s="117" t="inlineStr">
        <x:is>
          <x:t xml:space="preserve">Reduce confusion.</x:t>
        </x:is>
      </x:c>
      <x:c r="K218" s="117" t="inlineStr">
        <x:is>
          <x:t xml:space="preserve">Use the story to show group travel confusion and repeated calls and end with one practical takeaway.</x:t>
        </x:is>
      </x:c>
      <x:c r="L218" s="117" t="inlineStr">
        <x:is>
          <x:t xml:space="preserve">Plan and share your next trip with Msafiri.</x:t>
        </x:is>
      </x:c>
      <x:c r="M218" s="117" t="inlineStr">
        <x:is>
          <x:t xml:space="preserve">convoy B-roll; captions; app screen-record; branded end card</x:t>
        </x:is>
      </x:c>
      <x:c r="N218" s="117" t="inlineStr">
        <x:is>
          <x:t xml:space="preserve">High</x:t>
        </x:is>
      </x:c>
      <x:c r="O218" s="117" t="n">
        <x:v>3</x:v>
      </x:c>
      <x:c r="P218" s="117" t="n">
        <x:v>4</x:v>
      </x:c>
      <x:c r="Q218" s="117" t="n">
        <x:v>5</x:v>
      </x:c>
      <x:c r="R218" s="117" t="n">
        <x:v>3</x:v>
      </x:c>
      <x:c r="S218" s="117" t="n">
        <x:v>2</x:v>
      </x:c>
      <x:c r="T218" s="117" t="n">
        <x:f>O218+P218+Q218+S218-R218</x:f>
        <x:v>11</x:v>
      </x:c>
      <x:c r="U218" s="117" t="inlineStr">
        <x:is>
          <x:t xml:space="preserve">Do not imply live tracking if not supported; be precise.</x:t>
        </x:is>
      </x:c>
      <x:c r="V218" s="117" t="inlineStr">
        <x:is>
          <x:t xml:space="preserve">Cut into a 15-sec hook, a Story poll and a carousel slide if it gets saves/comments.</x:t>
        </x:is>
      </x:c>
    </x:row>
    <x:row r="219" ht="58" customHeight="1">
      <x:c r="A219" s="110" t="n">
        <x:v>215</x:v>
      </x:c>
      <x:c r="B219" s="110" t="inlineStr">
        <x:is>
          <x:t xml:space="preserve">Debate / Mythbusters</x:t>
        </x:is>
      </x:c>
      <x:c r="C219" s="110" t="inlineStr">
        <x:is>
          <x:t xml:space="preserve">Trips / trip sharing</x:t>
        </x:is>
      </x:c>
      <x:c r="D219" s="110" t="inlineStr">
        <x:is>
          <x:t xml:space="preserve">Road Mythbusters</x:t>
        </x:is>
      </x:c>
      <x:c r="E219" s="110" t="inlineStr">
        <x:is>
          <x:t xml:space="preserve">Long-distance driver</x:t>
        </x:is>
      </x:c>
      <x:c r="F219" s="110" t="inlineStr">
        <x:is>
          <x:t xml:space="preserve">Engagement</x:t>
        </x:is>
      </x:c>
      <x:c r="G219" s="110" t="inlineStr">
        <x:is>
          <x:t xml:space="preserve">Story Poll</x:t>
        </x:is>
      </x:c>
      <x:c r="H219" s="110" t="inlineStr">
        <x:is>
          <x:t xml:space="preserve">Would you trust trips / trip sharing on a normal weekday drive?</x:t>
        </x:is>
      </x:c>
      <x:c r="I219" s="110" t="inlineStr">
        <x:is>
          <x:t xml:space="preserve">Poll sticker + quick setup; packing car.</x:t>
        </x:is>
      </x:c>
      <x:c r="J219" s="110" t="inlineStr">
        <x:is>
          <x:t xml:space="preserve">Low-friction responses.</x:t>
        </x:is>
      </x:c>
      <x:c r="K219" s="110" t="inlineStr">
        <x:is>
          <x:t xml:space="preserve">Use the story to show group travel confusion and repeated calls and end with one practical takeaway.</x:t>
        </x:is>
      </x:c>
      <x:c r="L219" s="110" t="inlineStr">
        <x:is>
          <x:t xml:space="preserve">Plan and share your next trip with Msafiri.</x:t>
        </x:is>
      </x:c>
      <x:c r="M219" s="110" t="inlineStr">
        <x:is>
          <x:t xml:space="preserve">packing car; captions; app screen-record; branded end card</x:t>
        </x:is>
      </x:c>
      <x:c r="N219" s="110" t="inlineStr">
        <x:is>
          <x:t xml:space="preserve">Low</x:t>
        </x:is>
      </x:c>
      <x:c r="O219" s="110" t="n">
        <x:v>4</x:v>
      </x:c>
      <x:c r="P219" s="110" t="n">
        <x:v>4</x:v>
      </x:c>
      <x:c r="Q219" s="110" t="n">
        <x:v>3</x:v>
      </x:c>
      <x:c r="R219" s="110" t="n">
        <x:v>1</x:v>
      </x:c>
      <x:c r="S219" s="110" t="n">
        <x:v>2</x:v>
      </x:c>
      <x:c r="T219" s="110" t="n">
        <x:f>O219+P219+Q219+S219-R219</x:f>
        <x:v>12</x:v>
      </x:c>
      <x:c r="U219" s="110" t="inlineStr">
        <x:is>
          <x:t xml:space="preserve">Do not imply live tracking if not supported; be precise.</x:t>
        </x:is>
      </x:c>
      <x:c r="V219" s="110" t="inlineStr">
        <x:is>
          <x:t xml:space="preserve">Turn best responses into Comment-to-Video and add to next week’s road-check queue.</x:t>
        </x:is>
      </x:c>
    </x:row>
    <x:row r="220" ht="58" customHeight="1">
      <x:c r="A220" s="117" t="n">
        <x:v>216</x:v>
      </x:c>
      <x:c r="B220" s="117" t="inlineStr">
        <x:is>
          <x:t xml:space="preserve">Road Intelligence</x:t>
        </x:is>
      </x:c>
      <x:c r="C220" s="117" t="inlineStr">
        <x:is>
          <x:t xml:space="preserve">Trips / trip sharing</x:t>
        </x:is>
      </x:c>
      <x:c r="D220" s="117" t="inlineStr">
        <x:is>
          <x:t xml:space="preserve">Msafiri Explains</x:t>
        </x:is>
      </x:c>
      <x:c r="E220" s="117" t="inlineStr">
        <x:is>
          <x:t xml:space="preserve">Safety-conscious passenger</x:t>
        </x:is>
      </x:c>
      <x:c r="F220" s="117" t="inlineStr">
        <x:is>
          <x:t xml:space="preserve">Trust</x:t>
        </x:is>
      </x:c>
      <x:c r="G220" s="117" t="inlineStr">
        <x:is>
          <x:t xml:space="preserve">Short-form video</x:t>
        </x:is>
      </x:c>
      <x:c r="H220" s="117" t="inlineStr">
        <x:is>
          <x:t xml:space="preserve">The road habit that makes group travel confusion and repeated calls worse.</x:t>
        </x:is>
      </x:c>
      <x:c r="I220" s="117" t="inlineStr">
        <x:is>
          <x:t xml:space="preserve">Explainer with road B-roll; route handoff.</x:t>
        </x:is>
      </x:c>
      <x:c r="J220" s="117" t="inlineStr">
        <x:is>
          <x:t xml:space="preserve">Teach without lecturing.</x:t>
        </x:is>
      </x:c>
      <x:c r="K220" s="117" t="inlineStr">
        <x:is>
          <x:t xml:space="preserve">Use the story to show group travel confusion and repeated calls and end with one practical takeaway.</x:t>
        </x:is>
      </x:c>
      <x:c r="L220" s="117" t="inlineStr">
        <x:is>
          <x:t xml:space="preserve">Plan and share your next trip with Msafiri.</x:t>
        </x:is>
      </x:c>
      <x:c r="M220" s="117" t="inlineStr">
        <x:is>
          <x:t xml:space="preserve">route handoff; captions; app screen-record; branded end card</x:t>
        </x:is>
      </x:c>
      <x:c r="N220" s="117" t="inlineStr">
        <x:is>
          <x:t xml:space="preserve">Medium</x:t>
        </x:is>
      </x:c>
      <x:c r="O220" s="117" t="n">
        <x:v>3</x:v>
      </x:c>
      <x:c r="P220" s="117" t="n">
        <x:v>5</x:v>
      </x:c>
      <x:c r="Q220" s="117" t="n">
        <x:v>3</x:v>
      </x:c>
      <x:c r="R220" s="117" t="n">
        <x:v>2</x:v>
      </x:c>
      <x:c r="S220" s="117" t="n">
        <x:v>2</x:v>
      </x:c>
      <x:c r="T220" s="117" t="n">
        <x:f>O220+P220+Q220+S220-R220</x:f>
        <x:v>11</x:v>
      </x:c>
      <x:c r="U220" s="117" t="inlineStr">
        <x:is>
          <x:t xml:space="preserve">Do not imply live tracking if not supported; be precise.</x:t>
        </x:is>
      </x:c>
      <x:c r="V220" s="117" t="inlineStr">
        <x:is>
          <x:t xml:space="preserve">Cut into a 15-sec hook, a Story poll and a carousel slide if it gets saves/comments.</x:t>
        </x:is>
      </x:c>
    </x:row>
    <x:row r="221" ht="58" customHeight="1">
      <x:c r="A221" s="110" t="n">
        <x:v>217</x:v>
      </x:c>
      <x:c r="B221" s="110" t="inlineStr">
        <x:is>
          <x:t xml:space="preserve">Community / UGC</x:t>
        </x:is>
      </x:c>
      <x:c r="C221" s="110" t="inlineStr">
        <x:is>
          <x:t xml:space="preserve">Trips / trip sharing</x:t>
        </x:is>
      </x:c>
      <x:c r="D221" s="110" t="inlineStr">
        <x:is>
          <x:t xml:space="preserve">Ask a Kenyan Driver</x:t>
        </x:is>
      </x:c>
      <x:c r="E221" s="110" t="inlineStr">
        <x:is>
          <x:t xml:space="preserve">Road-trip group</x:t>
        </x:is>
      </x:c>
      <x:c r="F221" s="110" t="inlineStr">
        <x:is>
          <x:t xml:space="preserve">Community</x:t>
        </x:is>
      </x:c>
      <x:c r="G221" s="110" t="inlineStr">
        <x:is>
          <x:t xml:space="preserve">Story Poll</x:t>
        </x:is>
      </x:c>
      <x:c r="H221" s="110" t="inlineStr">
        <x:is>
          <x:t xml:space="preserve">Choose our next test: trips / trip sharing on a commute or a road trip?</x:t>
        </x:is>
      </x:c>
      <x:c r="I221" s="110" t="inlineStr">
        <x:is>
          <x:t xml:space="preserve">Two-option story poll; group chat skit.</x:t>
        </x:is>
      </x:c>
      <x:c r="J221" s="110" t="inlineStr">
        <x:is>
          <x:t xml:space="preserve">Audience participation.</x:t>
        </x:is>
      </x:c>
      <x:c r="K221" s="110" t="inlineStr">
        <x:is>
          <x:t xml:space="preserve">Use the story to show group travel confusion and repeated calls and end with one practical takeaway.</x:t>
        </x:is>
      </x:c>
      <x:c r="L221" s="110" t="inlineStr">
        <x:is>
          <x:t xml:space="preserve">Plan and share your next trip with Msafiri.</x:t>
        </x:is>
      </x:c>
      <x:c r="M221" s="110" t="inlineStr">
        <x:is>
          <x:t xml:space="preserve">group chat skit; captions; app screen-record; branded end card</x:t>
        </x:is>
      </x:c>
      <x:c r="N221" s="110" t="inlineStr">
        <x:is>
          <x:t xml:space="preserve">High</x:t>
        </x:is>
      </x:c>
      <x:c r="O221" s="110" t="n">
        <x:v>3</x:v>
      </x:c>
      <x:c r="P221" s="110" t="n">
        <x:v>4</x:v>
      </x:c>
      <x:c r="Q221" s="110" t="n">
        <x:v>3</x:v>
      </x:c>
      <x:c r="R221" s="110" t="n">
        <x:v>3</x:v>
      </x:c>
      <x:c r="S221" s="110" t="n">
        <x:v>2</x:v>
      </x:c>
      <x:c r="T221" s="110" t="n">
        <x:f>O221+P221+Q221+S221-R221</x:f>
        <x:v>9</x:v>
      </x:c>
      <x:c r="U221" s="110" t="inlineStr">
        <x:is>
          <x:t xml:space="preserve">Do not imply live tracking if not supported; be precise.</x:t>
        </x:is>
      </x:c>
      <x:c r="V221" s="110" t="inlineStr">
        <x:is>
          <x:t xml:space="preserve">Turn best responses into Comment-to-Video and add to next week’s road-check queue.</x:t>
        </x:is>
      </x:c>
    </x:row>
    <x:row r="222" ht="58" customHeight="1">
      <x:c r="A222" s="117" t="n">
        <x:v>218</x:v>
      </x:c>
      <x:c r="B222" s="117" t="inlineStr">
        <x:is>
          <x:t xml:space="preserve">Product / Feature Proof</x:t>
        </x:is>
      </x:c>
      <x:c r="C222" s="117" t="inlineStr">
        <x:is>
          <x:t xml:space="preserve">Trips / trip sharing</x:t>
        </x:is>
      </x:c>
      <x:c r="D222" s="117" t="inlineStr">
        <x:is>
          <x:t xml:space="preserve">Feature Combo</x:t>
        </x:is>
      </x:c>
      <x:c r="E222" s="117" t="inlineStr">
        <x:is>
          <x:t xml:space="preserve">Family driver</x:t>
        </x:is>
      </x:c>
      <x:c r="F222" s="117" t="inlineStr">
        <x:is>
          <x:t xml:space="preserve">Conversion</x:t>
        </x:is>
      </x:c>
      <x:c r="G222" s="117" t="inlineStr">
        <x:is>
          <x:t xml:space="preserve">Short-form video</x:t>
        </x:is>
      </x:c>
      <x:c r="H222" s="117" t="inlineStr">
        <x:is>
          <x:t xml:space="preserve">Two Msafiri features that work better together when group travel confusion and repeated calls.</x:t>
        </x:is>
      </x:c>
      <x:c r="I222" s="117" t="inlineStr">
        <x:is>
          <x:t xml:space="preserve">UI + real drive + end card; trip preview screen.</x:t>
        </x:is>
      </x:c>
      <x:c r="J222" s="117" t="inlineStr">
        <x:is>
          <x:t xml:space="preserve">Feature bundling.</x:t>
        </x:is>
      </x:c>
      <x:c r="K222" s="117" t="inlineStr">
        <x:is>
          <x:t xml:space="preserve">Use the story to show group travel confusion and repeated calls and end with one practical takeaway.</x:t>
        </x:is>
      </x:c>
      <x:c r="L222" s="117" t="inlineStr">
        <x:is>
          <x:t xml:space="preserve">Plan and share your next trip with Msafiri.</x:t>
        </x:is>
      </x:c>
      <x:c r="M222" s="117" t="inlineStr">
        <x:is>
          <x:t xml:space="preserve">trip preview screen; captions; app screen-record; branded end card</x:t>
        </x:is>
      </x:c>
      <x:c r="N222" s="117" t="inlineStr">
        <x:is>
          <x:t xml:space="preserve">Low</x:t>
        </x:is>
      </x:c>
      <x:c r="O222" s="117" t="n">
        <x:v>3</x:v>
      </x:c>
      <x:c r="P222" s="117" t="n">
        <x:v>4</x:v>
      </x:c>
      <x:c r="Q222" s="117" t="n">
        <x:v>5</x:v>
      </x:c>
      <x:c r="R222" s="117" t="n">
        <x:v>1</x:v>
      </x:c>
      <x:c r="S222" s="117" t="n">
        <x:v>2</x:v>
      </x:c>
      <x:c r="T222" s="117" t="n">
        <x:f>O222+P222+Q222+S222-R222</x:f>
        <x:v>13</x:v>
      </x:c>
      <x:c r="U222" s="117" t="inlineStr">
        <x:is>
          <x:t xml:space="preserve">Do not imply live tracking if not supported; be precise.</x:t>
        </x:is>
      </x:c>
      <x:c r="V222" s="117" t="inlineStr">
        <x:is>
          <x:t xml:space="preserve">Cut into a 15-sec hook, a Story poll and a carousel slide if it gets saves/comments.</x:t>
        </x:is>
      </x:c>
    </x:row>
    <x:row r="223" ht="58" customHeight="1">
      <x:c r="A223" s="110" t="n">
        <x:v>219</x:v>
      </x:c>
      <x:c r="B223" s="110" t="inlineStr">
        <x:is>
          <x:t xml:space="preserve">Education / Safety</x:t>
        </x:is>
      </x:c>
      <x:c r="C223" s="110" t="inlineStr">
        <x:is>
          <x:t xml:space="preserve">Trips / trip sharing</x:t>
        </x:is>
      </x:c>
      <x:c r="D223" s="110" t="inlineStr">
        <x:is>
          <x:t xml:space="preserve">What Not To Do</x:t>
        </x:is>
      </x:c>
      <x:c r="E223" s="110" t="inlineStr">
        <x:is>
          <x:t xml:space="preserve">Long-distance driver</x:t>
        </x:is>
      </x:c>
      <x:c r="F223" s="110" t="inlineStr">
        <x:is>
          <x:t xml:space="preserve">Retention</x:t>
        </x:is>
      </x:c>
      <x:c r="G223" s="110" t="inlineStr">
        <x:is>
          <x:t xml:space="preserve">Short-form video</x:t>
        </x:is>
      </x:c>
      <x:c r="H223" s="110" t="inlineStr">
        <x:is>
          <x:t xml:space="preserve">Do not make this mistake when group travel confusion and repeated calls.</x:t>
        </x:is>
      </x:c>
      <x:c r="I223" s="110" t="inlineStr">
        <x:is>
          <x:t xml:space="preserve">Wrong vs right mini demo; convoy B-roll.</x:t>
        </x:is>
      </x:c>
      <x:c r="J223" s="110" t="inlineStr">
        <x:is>
          <x:t xml:space="preserve">Memorable caution.</x:t>
        </x:is>
      </x:c>
      <x:c r="K223" s="110" t="inlineStr">
        <x:is>
          <x:t xml:space="preserve">Use the story to show group travel confusion and repeated calls and end with one practical takeaway.</x:t>
        </x:is>
      </x:c>
      <x:c r="L223" s="110" t="inlineStr">
        <x:is>
          <x:t xml:space="preserve">Plan and share your next trip with Msafiri.</x:t>
        </x:is>
      </x:c>
      <x:c r="M223" s="110" t="inlineStr">
        <x:is>
          <x:t xml:space="preserve">convoy B-roll; captions; app screen-record; branded end card</x:t>
        </x:is>
      </x:c>
      <x:c r="N223" s="110" t="inlineStr">
        <x:is>
          <x:t xml:space="preserve">Medium</x:t>
        </x:is>
      </x:c>
      <x:c r="O223" s="110" t="n">
        <x:v>3</x:v>
      </x:c>
      <x:c r="P223" s="110" t="n">
        <x:v>5</x:v>
      </x:c>
      <x:c r="Q223" s="110" t="n">
        <x:v>3</x:v>
      </x:c>
      <x:c r="R223" s="110" t="n">
        <x:v>2</x:v>
      </x:c>
      <x:c r="S223" s="110" t="n">
        <x:v>2</x:v>
      </x:c>
      <x:c r="T223" s="110" t="n">
        <x:f>O223+P223+Q223+S223-R223</x:f>
        <x:v>11</x:v>
      </x:c>
      <x:c r="U223" s="110" t="inlineStr">
        <x:is>
          <x:t xml:space="preserve">Do not imply live tracking if not supported; be precise.</x:t>
        </x:is>
      </x:c>
      <x:c r="V223" s="110" t="inlineStr">
        <x:is>
          <x:t xml:space="preserve">Cut into a 15-sec hook, a Story poll and a carousel slide if it gets saves/comments.</x:t>
        </x:is>
      </x:c>
    </x:row>
    <x:row r="224" ht="58" customHeight="1">
      <x:c r="A224" s="117" t="n">
        <x:v>220</x:v>
      </x:c>
      <x:c r="B224" s="117" t="inlineStr">
        <x:is>
          <x:t xml:space="preserve">Founder / BTS</x:t>
        </x:is>
      </x:c>
      <x:c r="C224" s="117" t="inlineStr">
        <x:is>
          <x:t xml:space="preserve">Trips / trip sharing</x:t>
        </x:is>
      </x:c>
      <x:c r="D224" s="117" t="inlineStr">
        <x:is>
          <x:t xml:space="preserve">Founder Files</x:t>
        </x:is>
      </x:c>
      <x:c r="E224" s="117" t="inlineStr">
        <x:is>
          <x:t xml:space="preserve">Safety-conscious passenger</x:t>
        </x:is>
      </x:c>
      <x:c r="F224" s="117" t="inlineStr">
        <x:is>
          <x:t xml:space="preserve">Trust</x:t>
        </x:is>
      </x:c>
      <x:c r="G224" s="117" t="inlineStr">
        <x:is>
          <x:t xml:space="preserve">Founder-to-camera</x:t>
        </x:is>
      </x:c>
      <x:c r="H224" s="117" t="inlineStr">
        <x:is>
          <x:t xml:space="preserve">The most uncomfortable truth about building trips / trip sharing.</x:t>
        </x:is>
      </x:c>
      <x:c r="I224" s="117" t="inlineStr">
        <x:is>
          <x:t xml:space="preserve">Founder honest reflection; packing car.</x:t>
        </x:is>
      </x:c>
      <x:c r="J224" s="117" t="inlineStr">
        <x:is>
          <x:t xml:space="preserve">Trust through honesty.</x:t>
        </x:is>
      </x:c>
      <x:c r="K224" s="117" t="inlineStr">
        <x:is>
          <x:t xml:space="preserve">Use the story to show group travel confusion and repeated calls and end with one practical takeaway.</x:t>
        </x:is>
      </x:c>
      <x:c r="L224" s="117" t="inlineStr">
        <x:is>
          <x:t xml:space="preserve">Plan and share your next trip with Msafiri.</x:t>
        </x:is>
      </x:c>
      <x:c r="M224" s="117" t="inlineStr">
        <x:is>
          <x:t xml:space="preserve">packing car; captions; app screen-record; branded end card</x:t>
        </x:is>
      </x:c>
      <x:c r="N224" s="117" t="inlineStr">
        <x:is>
          <x:t xml:space="preserve">High</x:t>
        </x:is>
      </x:c>
      <x:c r="O224" s="117" t="n">
        <x:v>3</x:v>
      </x:c>
      <x:c r="P224" s="117" t="n">
        <x:v>4</x:v>
      </x:c>
      <x:c r="Q224" s="117" t="n">
        <x:v>3</x:v>
      </x:c>
      <x:c r="R224" s="117" t="n">
        <x:v>3</x:v>
      </x:c>
      <x:c r="S224" s="117" t="n">
        <x:v>2</x:v>
      </x:c>
      <x:c r="T224" s="117" t="n">
        <x:f>O224+P224+Q224+S224-R224</x:f>
        <x:v>9</x:v>
      </x:c>
      <x:c r="U224" s="117" t="inlineStr">
        <x:is>
          <x:t xml:space="preserve">Do not imply live tracking if not supported; be precise.</x:t>
        </x:is>
      </x:c>
      <x:c r="V224" s="117" t="inlineStr">
        <x:is>
          <x:t xml:space="preserve">Cut into a 15-sec hook, a Story poll and a carousel slide if it gets saves/comments.</x:t>
        </x:is>
      </x:c>
    </x:row>
    <x:row r="225" ht="58" customHeight="1">
      <x:c r="A225" s="110" t="n">
        <x:v>221</x:v>
      </x:c>
      <x:c r="B225" s="110" t="inlineStr">
        <x:is>
          <x:t xml:space="preserve">Road Intelligence</x:t>
        </x:is>
      </x:c>
      <x:c r="C225" s="110" t="inlineStr">
        <x:is>
          <x:t xml:space="preserve">Trips / trip sharing</x:t>
        </x:is>
      </x:c>
      <x:c r="D225" s="110" t="inlineStr">
        <x:is>
          <x:t xml:space="preserve">Map vs Reality</x:t>
        </x:is>
      </x:c>
      <x:c r="E225" s="110" t="inlineStr">
        <x:is>
          <x:t xml:space="preserve">Road-trip group</x:t>
        </x:is>
      </x:c>
      <x:c r="F225" s="110" t="inlineStr">
        <x:is>
          <x:t xml:space="preserve">Awareness</x:t>
        </x:is>
      </x:c>
      <x:c r="G225" s="110" t="inlineStr">
        <x:is>
          <x:t xml:space="preserve">POV Drive</x:t>
        </x:is>
      </x:c>
      <x:c r="H225" s="110" t="inlineStr">
        <x:is>
          <x:t xml:space="preserve">The map says one thing; the road says another.</x:t>
        </x:is>
      </x:c>
      <x:c r="I225" s="110" t="inlineStr">
        <x:is>
          <x:t xml:space="preserve">Map overlay + road footage; route handoff.</x:t>
        </x:is>
      </x:c>
      <x:c r="J225" s="110" t="inlineStr">
        <x:is>
          <x:t xml:space="preserve">Road-intelligence authority.</x:t>
        </x:is>
      </x:c>
      <x:c r="K225" s="110" t="inlineStr">
        <x:is>
          <x:t xml:space="preserve">Use the story to show group travel confusion and repeated calls and end with one practical takeaway.</x:t>
        </x:is>
      </x:c>
      <x:c r="L225" s="110" t="inlineStr">
        <x:is>
          <x:t xml:space="preserve">Plan and share your next trip with Msafiri.</x:t>
        </x:is>
      </x:c>
      <x:c r="M225" s="110" t="inlineStr">
        <x:is>
          <x:t xml:space="preserve">route handoff; captions; app screen-record; branded end card</x:t>
        </x:is>
      </x:c>
      <x:c r="N225" s="110" t="inlineStr">
        <x:is>
          <x:t xml:space="preserve">Low</x:t>
        </x:is>
      </x:c>
      <x:c r="O225" s="110" t="n">
        <x:v>3</x:v>
      </x:c>
      <x:c r="P225" s="110" t="n">
        <x:v>5</x:v>
      </x:c>
      <x:c r="Q225" s="110" t="n">
        <x:v>3</x:v>
      </x:c>
      <x:c r="R225" s="110" t="n">
        <x:v>1</x:v>
      </x:c>
      <x:c r="S225" s="110" t="n">
        <x:v>2</x:v>
      </x:c>
      <x:c r="T225" s="110" t="n">
        <x:f>O225+P225+Q225+S225-R225</x:f>
        <x:v>12</x:v>
      </x:c>
      <x:c r="U225" s="110" t="inlineStr">
        <x:is>
          <x:t xml:space="preserve">Do not imply live tracking if not supported; be precise.</x:t>
        </x:is>
      </x:c>
      <x:c r="V225" s="110" t="inlineStr">
        <x:is>
          <x:t xml:space="preserve">Cut into a 15-sec hook, a Story poll and a carousel slide if it gets saves/comments.</x:t>
        </x:is>
      </x:c>
    </x:row>
    <x:row r="226" ht="58" customHeight="1">
      <x:c r="A226" s="117" t="n">
        <x:v>222</x:v>
      </x:c>
      <x:c r="B226" s="117" t="inlineStr">
        <x:is>
          <x:t xml:space="preserve">Product / Feature Proof</x:t>
        </x:is>
      </x:c>
      <x:c r="C226" s="117" t="inlineStr">
        <x:is>
          <x:t xml:space="preserve">Trips / trip sharing</x:t>
        </x:is>
      </x:c>
      <x:c r="D226" s="117" t="inlineStr">
        <x:is>
          <x:t xml:space="preserve">One-Tap Test</x:t>
        </x:is>
      </x:c>
      <x:c r="E226" s="117" t="inlineStr">
        <x:is>
          <x:t xml:space="preserve">Family driver</x:t>
        </x:is>
      </x:c>
      <x:c r="F226" s="117" t="inlineStr">
        <x:is>
          <x:t xml:space="preserve">Feature Discovery</x:t>
        </x:is>
      </x:c>
      <x:c r="G226" s="117" t="inlineStr">
        <x:is>
          <x:t xml:space="preserve">Screen-record Demo</x:t>
        </x:is>
      </x:c>
      <x:c r="H226" s="117" t="inlineStr">
        <x:is>
          <x:t xml:space="preserve">How fast can you set up trips / trip sharing before leaving?</x:t>
        </x:is>
      </x:c>
      <x:c r="I226" s="117" t="inlineStr">
        <x:is>
          <x:t xml:space="preserve">Timer + UI taps; group chat skit.</x:t>
        </x:is>
      </x:c>
      <x:c r="J226" s="117" t="inlineStr">
        <x:is>
          <x:t xml:space="preserve">Lower adoption friction.</x:t>
        </x:is>
      </x:c>
      <x:c r="K226" s="117" t="inlineStr">
        <x:is>
          <x:t xml:space="preserve">Use the story to show group travel confusion and repeated calls and end with one practical takeaway.</x:t>
        </x:is>
      </x:c>
      <x:c r="L226" s="117" t="inlineStr">
        <x:is>
          <x:t xml:space="preserve">Plan and share your next trip with Msafiri.</x:t>
        </x:is>
      </x:c>
      <x:c r="M226" s="117" t="inlineStr">
        <x:is>
          <x:t xml:space="preserve">group chat skit; captions; app screen-record; branded end card</x:t>
        </x:is>
      </x:c>
      <x:c r="N226" s="117" t="inlineStr">
        <x:is>
          <x:t xml:space="preserve">Medium</x:t>
        </x:is>
      </x:c>
      <x:c r="O226" s="117" t="n">
        <x:v>3</x:v>
      </x:c>
      <x:c r="P226" s="117" t="n">
        <x:v>4</x:v>
      </x:c>
      <x:c r="Q226" s="117" t="n">
        <x:v>5</x:v>
      </x:c>
      <x:c r="R226" s="117" t="n">
        <x:v>2</x:v>
      </x:c>
      <x:c r="S226" s="117" t="n">
        <x:v>2</x:v>
      </x:c>
      <x:c r="T226" s="117" t="n">
        <x:f>O226+P226+Q226+S226-R226</x:f>
        <x:v>12</x:v>
      </x:c>
      <x:c r="U226" s="117" t="inlineStr">
        <x:is>
          <x:t xml:space="preserve">Do not imply live tracking if not supported; be precise.</x:t>
        </x:is>
      </x:c>
      <x:c r="V226" s="117" t="inlineStr">
        <x:is>
          <x:t xml:space="preserve">Cut into a 15-sec hook, a Story poll and a carousel slide if it gets saves/comments.</x:t>
        </x:is>
      </x:c>
    </x:row>
    <x:row r="227" ht="58" customHeight="1">
      <x:c r="A227" s="110" t="n">
        <x:v>223</x:v>
      </x:c>
      <x:c r="B227" s="110" t="inlineStr">
        <x:is>
          <x:t xml:space="preserve">Community / UGC</x:t>
        </x:is>
      </x:c>
      <x:c r="C227" s="110" t="inlineStr">
        <x:is>
          <x:t xml:space="preserve">Trips / trip sharing</x:t>
        </x:is>
      </x:c>
      <x:c r="D227" s="110" t="inlineStr">
        <x:is>
          <x:t xml:space="preserve">UGC Prompt</x:t>
        </x:is>
      </x:c>
      <x:c r="E227" s="110" t="inlineStr">
        <x:is>
          <x:t xml:space="preserve">Long-distance driver</x:t>
        </x:is>
      </x:c>
      <x:c r="F227" s="110" t="inlineStr">
        <x:is>
          <x:t xml:space="preserve">Community</x:t>
        </x:is>
      </x:c>
      <x:c r="G227" s="110" t="inlineStr">
        <x:is>
          <x:t xml:space="preserve">Static Graphic</x:t>
        </x:is>
      </x:c>
      <x:c r="H227" s="110" t="inlineStr">
        <x:is>
          <x:t xml:space="preserve">Tell us your trips / trip sharing story and we may feature it.</x:t>
        </x:is>
      </x:c>
      <x:c r="I227" s="110" t="inlineStr">
        <x:is>
          <x:t xml:space="preserve">Branded prompt graphic; trip preview screen.</x:t>
        </x:is>
      </x:c>
      <x:c r="J227" s="110" t="inlineStr">
        <x:is>
          <x:t xml:space="preserve">User-generated content pipeline.</x:t>
        </x:is>
      </x:c>
      <x:c r="K227" s="110" t="inlineStr">
        <x:is>
          <x:t xml:space="preserve">Use the story to show group travel confusion and repeated calls and end with one practical takeaway.</x:t>
        </x:is>
      </x:c>
      <x:c r="L227" s="110" t="inlineStr">
        <x:is>
          <x:t xml:space="preserve">Plan and share your next trip with Msafiri.</x:t>
        </x:is>
      </x:c>
      <x:c r="M227" s="110" t="inlineStr">
        <x:is>
          <x:t xml:space="preserve">trip preview screen; captions; app screen-record; branded end card</x:t>
        </x:is>
      </x:c>
      <x:c r="N227" s="110" t="inlineStr">
        <x:is>
          <x:t xml:space="preserve">High</x:t>
        </x:is>
      </x:c>
      <x:c r="O227" s="110" t="n">
        <x:v>3</x:v>
      </x:c>
      <x:c r="P227" s="110" t="n">
        <x:v>4</x:v>
      </x:c>
      <x:c r="Q227" s="110" t="n">
        <x:v>3</x:v>
      </x:c>
      <x:c r="R227" s="110" t="n">
        <x:v>3</x:v>
      </x:c>
      <x:c r="S227" s="110" t="n">
        <x:v>2</x:v>
      </x:c>
      <x:c r="T227" s="110" t="n">
        <x:f>O227+P227+Q227+S227-R227</x:f>
        <x:v>9</x:v>
      </x:c>
      <x:c r="U227" s="110" t="inlineStr">
        <x:is>
          <x:t xml:space="preserve">Do not imply live tracking if not supported; be precise.</x:t>
        </x:is>
      </x:c>
      <x:c r="V227" s="110" t="inlineStr">
        <x:is>
          <x:t xml:space="preserve">Turn best responses into Comment-to-Video and add to next week’s road-check queue.</x:t>
        </x:is>
      </x:c>
    </x:row>
    <x:row r="228" ht="58" customHeight="1">
      <x:c r="A228" s="117" t="n">
        <x:v>224</x:v>
      </x:c>
      <x:c r="B228" s="117" t="inlineStr">
        <x:is>
          <x:t xml:space="preserve">Seasonal Campaign</x:t>
        </x:is>
      </x:c>
      <x:c r="C228" s="117" t="inlineStr">
        <x:is>
          <x:t xml:space="preserve">Trips / trip sharing</x:t>
        </x:is>
      </x:c>
      <x:c r="D228" s="117" t="inlineStr">
        <x:is>
          <x:t xml:space="preserve">End-Year Road Prep</x:t>
        </x:is>
      </x:c>
      <x:c r="E228" s="117" t="inlineStr">
        <x:is>
          <x:t xml:space="preserve">Safety-conscious passenger</x:t>
        </x:is>
      </x:c>
      <x:c r="F228" s="117" t="inlineStr">
        <x:is>
          <x:t xml:space="preserve">Conversion</x:t>
        </x:is>
      </x:c>
      <x:c r="G228" s="117" t="inlineStr">
        <x:is>
          <x:t xml:space="preserve">Hero / Reel</x:t>
        </x:is>
      </x:c>
      <x:c r="H228" s="117" t="inlineStr">
        <x:is>
          <x:t xml:space="preserve">Before the December drive, open Msafiri and check this.</x:t>
        </x:is>
      </x:c>
      <x:c r="I228" s="117" t="inlineStr">
        <x:is>
          <x:t xml:space="preserve">December packing + app + road POV; convoy B-roll.</x:t>
        </x:is>
      </x:c>
      <x:c r="J228" s="117" t="inlineStr">
        <x:is>
          <x:t xml:space="preserve">Seasonal conversion.</x:t>
        </x:is>
      </x:c>
      <x:c r="K228" s="117" t="inlineStr">
        <x:is>
          <x:t xml:space="preserve">Use the story to show group travel confusion and repeated calls and end with one practical takeaway.</x:t>
        </x:is>
      </x:c>
      <x:c r="L228" s="117" t="inlineStr">
        <x:is>
          <x:t xml:space="preserve">Plan and share your next trip with Msafiri.</x:t>
        </x:is>
      </x:c>
      <x:c r="M228" s="117" t="inlineStr">
        <x:is>
          <x:t xml:space="preserve">convoy B-roll; captions; app screen-record; branded end card</x:t>
        </x:is>
      </x:c>
      <x:c r="N228" s="117" t="inlineStr">
        <x:is>
          <x:t xml:space="preserve">Low</x:t>
        </x:is>
      </x:c>
      <x:c r="O228" s="117" t="n">
        <x:v>4</x:v>
      </x:c>
      <x:c r="P228" s="117" t="n">
        <x:v>4</x:v>
      </x:c>
      <x:c r="Q228" s="117" t="n">
        <x:v>5</x:v>
      </x:c>
      <x:c r="R228" s="117" t="n">
        <x:v>1</x:v>
      </x:c>
      <x:c r="S228" s="117" t="n">
        <x:v>4</x:v>
      </x:c>
      <x:c r="T228" s="117" t="n">
        <x:f>O228+P228+Q228+S228-R228</x:f>
        <x:v>16</x:v>
      </x:c>
      <x:c r="U228" s="117" t="inlineStr">
        <x:is>
          <x:t xml:space="preserve">Do not imply live tracking if not supported; be precise.</x:t>
        </x:is>
      </x:c>
      <x:c r="V228" s="117" t="inlineStr">
        <x:is>
          <x:t xml:space="preserve">Cut into a 15-sec hook, a Story poll and a carousel slide if it gets saves/comments.</x:t>
        </x:is>
      </x:c>
    </x:row>
    <x:row r="229" ht="58" customHeight="1">
      <x:c r="A229" s="110" t="n">
        <x:v>225</x:v>
      </x:c>
      <x:c r="B229" s="110" t="inlineStr">
        <x:is>
          <x:t xml:space="preserve">Road Intelligence</x:t>
        </x:is>
      </x:c>
      <x:c r="C229" s="110" t="inlineStr">
        <x:is>
          <x:t xml:space="preserve">Find Nearby</x:t>
        </x:is>
      </x:c>
      <x:c r="D229" s="110" t="inlineStr">
        <x:is>
          <x:t xml:space="preserve">Msafiri Road Check</x:t>
        </x:is>
      </x:c>
      <x:c r="E229" s="110" t="inlineStr">
        <x:is>
          <x:t xml:space="preserve">Road-trip group</x:t>
        </x:is>
      </x:c>
      <x:c r="F229" s="110" t="inlineStr">
        <x:is>
          <x:t xml:space="preserve">Awareness</x:t>
        </x:is>
      </x:c>
      <x:c r="G229" s="110" t="inlineStr">
        <x:is>
          <x:t xml:space="preserve">POV Drive</x:t>
        </x:is>
      </x:c>
      <x:c r="H229" s="110" t="inlineStr">
        <x:is>
          <x:t xml:space="preserve">We drove a family errand to see where find nearby actually helps.</x:t>
        </x:is>
      </x:c>
      <x:c r="I229" s="110" t="inlineStr">
        <x:is>
          <x:t xml:space="preserve">Road POV with 3 marked moments; search nearby screen.</x:t>
        </x:is>
      </x:c>
      <x:c r="J229" s="110" t="inlineStr">
        <x:is>
          <x:t xml:space="preserve">A practical route lesson people can save.</x:t>
        </x:is>
      </x:c>
      <x:c r="K229" s="110" t="inlineStr">
        <x:is>
          <x:t xml:space="preserve">Use the story to show needing safe useful stops when plans change and end with one practical takeaway.</x:t>
        </x:is>
      </x:c>
      <x:c r="L229" s="110" t="inlineStr">
        <x:is>
          <x:t xml:space="preserve">Try Find Nearby when the plan changes.</x:t>
        </x:is>
      </x:c>
      <x:c r="M229" s="110" t="inlineStr">
        <x:is>
          <x:t xml:space="preserve">search nearby screen; captions; app screen-record; branded end card</x:t>
        </x:is>
      </x:c>
      <x:c r="N229" s="110" t="inlineStr">
        <x:is>
          <x:t xml:space="preserve">Low</x:t>
        </x:is>
      </x:c>
      <x:c r="O229" s="110" t="n">
        <x:v>3</x:v>
      </x:c>
      <x:c r="P229" s="110" t="n">
        <x:v>5</x:v>
      </x:c>
      <x:c r="Q229" s="110" t="n">
        <x:v>3</x:v>
      </x:c>
      <x:c r="R229" s="110" t="n">
        <x:v>1</x:v>
      </x:c>
      <x:c r="S229" s="110" t="n">
        <x:v>2</x:v>
      </x:c>
      <x:c r="T229" s="110" t="n">
        <x:f>O229+P229+Q229+S229-R229</x:f>
        <x:v>12</x:v>
      </x:c>
      <x:c r="U229" s="110" t="inlineStr">
        <x:is>
          <x:t xml:space="preserve">Avoid naming unverified unsafe locations.</x:t>
        </x:is>
      </x:c>
      <x:c r="V229" s="110" t="inlineStr">
        <x:is>
          <x:t xml:space="preserve">Cut into a 15-sec hook, a Story poll and a carousel slide if it gets saves/comments.</x:t>
        </x:is>
      </x:c>
    </x:row>
    <x:row r="230" ht="58" customHeight="1">
      <x:c r="A230" s="117" t="n">
        <x:v>226</x:v>
      </x:c>
      <x:c r="B230" s="117" t="inlineStr">
        <x:is>
          <x:t xml:space="preserve">Product / Feature Proof</x:t>
        </x:is>
      </x:c>
      <x:c r="C230" s="117" t="inlineStr">
        <x:is>
          <x:t xml:space="preserve">Find Nearby</x:t>
        </x:is>
      </x:c>
      <x:c r="D230" s="117" t="inlineStr">
        <x:is>
          <x:t xml:space="preserve">Feature in the Wild</x:t>
        </x:is>
      </x:c>
      <x:c r="E230" s="117" t="inlineStr">
        <x:is>
          <x:t xml:space="preserve">Long-distance driver</x:t>
        </x:is>
      </x:c>
      <x:c r="F230" s="117" t="inlineStr">
        <x:is>
          <x:t xml:space="preserve">Feature Discovery</x:t>
        </x:is>
      </x:c>
      <x:c r="G230" s="117" t="inlineStr">
        <x:is>
          <x:t xml:space="preserve">Screen-record Demo</x:t>
        </x:is>
      </x:c>
      <x:c r="H230" s="117" t="inlineStr">
        <x:is>
          <x:t xml:space="preserve">Find Nearby in 30 seconds: here is the moment it becomes useful.</x:t>
        </x:is>
      </x:c>
      <x:c r="I230" s="117" t="inlineStr">
        <x:is>
          <x:t xml:space="preserve">Phone screen + real-world cutaway; fuel/food/rest stop B-roll.</x:t>
        </x:is>
      </x:c>
      <x:c r="J230" s="117" t="inlineStr">
        <x:is>
          <x:t xml:space="preserve">Feature clarity without a hard sell.</x:t>
        </x:is>
      </x:c>
      <x:c r="K230" s="117" t="inlineStr">
        <x:is>
          <x:t xml:space="preserve">Use the story to show needing safe useful stops when plans change and end with one practical takeaway.</x:t>
        </x:is>
      </x:c>
      <x:c r="L230" s="117" t="inlineStr">
        <x:is>
          <x:t xml:space="preserve">Try Find Nearby when the plan changes.</x:t>
        </x:is>
      </x:c>
      <x:c r="M230" s="117" t="inlineStr">
        <x:is>
          <x:t xml:space="preserve">fuel/food/rest stop B-roll; captions; app screen-record; branded end card</x:t>
        </x:is>
      </x:c>
      <x:c r="N230" s="117" t="inlineStr">
        <x:is>
          <x:t xml:space="preserve">Medium</x:t>
        </x:is>
      </x:c>
      <x:c r="O230" s="117" t="n">
        <x:v>3</x:v>
      </x:c>
      <x:c r="P230" s="117" t="n">
        <x:v>4</x:v>
      </x:c>
      <x:c r="Q230" s="117" t="n">
        <x:v>5</x:v>
      </x:c>
      <x:c r="R230" s="117" t="n">
        <x:v>2</x:v>
      </x:c>
      <x:c r="S230" s="117" t="n">
        <x:v>2</x:v>
      </x:c>
      <x:c r="T230" s="117" t="n">
        <x:f>O230+P230+Q230+S230-R230</x:f>
        <x:v>12</x:v>
      </x:c>
      <x:c r="U230" s="117" t="inlineStr">
        <x:is>
          <x:t xml:space="preserve">Avoid naming unverified unsafe locations.</x:t>
        </x:is>
      </x:c>
      <x:c r="V230" s="117" t="inlineStr">
        <x:is>
          <x:t xml:space="preserve">Cut into a 15-sec hook, a Story poll and a carousel slide if it gets saves/comments.</x:t>
        </x:is>
      </x:c>
    </x:row>
    <x:row r="231" ht="58" customHeight="1">
      <x:c r="A231" s="110" t="n">
        <x:v>227</x:v>
      </x:c>
      <x:c r="B231" s="110" t="inlineStr">
        <x:is>
          <x:t xml:space="preserve">Kenyan Driving Reality</x:t>
        </x:is>
      </x:c>
      <x:c r="C231" s="110" t="inlineStr">
        <x:is>
          <x:t xml:space="preserve">Find Nearby</x:t>
        </x:is>
      </x:c>
      <x:c r="D231" s="110" t="inlineStr">
        <x:is>
          <x:t xml:space="preserve">Kenyan Driver Problems</x:t>
        </x:is>
      </x:c>
      <x:c r="E231" s="110" t="inlineStr">
        <x:is>
          <x:t xml:space="preserve">Daily Nairobi commuter</x:t>
        </x:is>
      </x:c>
      <x:c r="F231" s="110" t="inlineStr">
        <x:is>
          <x:t xml:space="preserve">Engagement</x:t>
        </x:is>
      </x:c>
      <x:c r="G231" s="110" t="inlineStr">
        <x:is>
          <x:t xml:space="preserve">Skit</x:t>
        </x:is>
      </x:c>
      <x:c r="H231" s="110" t="inlineStr">
        <x:is>
          <x:t xml:space="preserve">POV: needing safe useful stops when plans change and everyone in the car has an opinion.</x:t>
        </x:is>
      </x:c>
      <x:c r="I231" s="110" t="inlineStr">
        <x:is>
          <x:t xml:space="preserve">Fast skit with driver/passenger tension; passenger request skit.</x:t>
        </x:is>
      </x:c>
      <x:c r="J231" s="110" t="inlineStr">
        <x:is>
          <x:t xml:space="preserve">Relatability and shares.</x:t>
        </x:is>
      </x:c>
      <x:c r="K231" s="110" t="inlineStr">
        <x:is>
          <x:t xml:space="preserve">Use the story to show needing safe useful stops when plans change and end with one practical takeaway.</x:t>
        </x:is>
      </x:c>
      <x:c r="L231" s="110" t="inlineStr">
        <x:is>
          <x:t xml:space="preserve">Try Find Nearby when the plan changes.</x:t>
        </x:is>
      </x:c>
      <x:c r="M231" s="110" t="inlineStr">
        <x:is>
          <x:t xml:space="preserve">passenger request skit; captions; app screen-record; branded end card</x:t>
        </x:is>
      </x:c>
      <x:c r="N231" s="110" t="inlineStr">
        <x:is>
          <x:t xml:space="preserve">High</x:t>
        </x:is>
      </x:c>
      <x:c r="O231" s="110" t="n">
        <x:v>4</x:v>
      </x:c>
      <x:c r="P231" s="110" t="n">
        <x:v>4</x:v>
      </x:c>
      <x:c r="Q231" s="110" t="n">
        <x:v>3</x:v>
      </x:c>
      <x:c r="R231" s="110" t="n">
        <x:v>3</x:v>
      </x:c>
      <x:c r="S231" s="110" t="n">
        <x:v>2</x:v>
      </x:c>
      <x:c r="T231" s="110" t="n">
        <x:f>O231+P231+Q231+S231-R231</x:f>
        <x:v>10</x:v>
      </x:c>
      <x:c r="U231" s="110" t="inlineStr">
        <x:is>
          <x:t xml:space="preserve">Avoid naming unverified unsafe locations.</x:t>
        </x:is>
      </x:c>
      <x:c r="V231" s="110" t="inlineStr">
        <x:is>
          <x:t xml:space="preserve">Cut into a 15-sec hook, a Story poll and a carousel slide if it gets saves/comments.</x:t>
        </x:is>
      </x:c>
    </x:row>
    <x:row r="232" ht="58" customHeight="1">
      <x:c r="A232" s="117" t="n">
        <x:v>228</x:v>
      </x:c>
      <x:c r="B232" s="117" t="inlineStr">
        <x:is>
          <x:t xml:space="preserve">Education / Safety</x:t>
        </x:is>
      </x:c>
      <x:c r="C232" s="117" t="inlineStr">
        <x:is>
          <x:t xml:space="preserve">Find Nearby</x:t>
        </x:is>
      </x:c>
      <x:c r="D232" s="117" t="inlineStr">
        <x:is>
          <x:t xml:space="preserve">Before You Drive</x:t>
        </x:is>
      </x:c>
      <x:c r="E232" s="117" t="inlineStr">
        <x:is>
          <x:t xml:space="preserve">Family driver</x:t>
        </x:is>
      </x:c>
      <x:c r="F232" s="117" t="inlineStr">
        <x:is>
          <x:t xml:space="preserve">Retention</x:t>
        </x:is>
      </x:c>
      <x:c r="G232" s="117" t="inlineStr">
        <x:is>
          <x:t xml:space="preserve">Checklist Reel</x:t>
        </x:is>
      </x:c>
      <x:c r="H232" s="117" t="inlineStr">
        <x:is>
          <x:t xml:space="preserve">Save this before a weekend road trip: 3 things to check.</x:t>
        </x:is>
      </x:c>
      <x:c r="I232" s="117" t="inlineStr">
        <x:is>
          <x:t xml:space="preserve">Checklist overlay with hands-on shots; before/after plan.</x:t>
        </x:is>
      </x:c>
      <x:c r="J232" s="117" t="inlineStr">
        <x:is>
          <x:t xml:space="preserve">A saveable pre-drive behavior.</x:t>
        </x:is>
      </x:c>
      <x:c r="K232" s="117" t="inlineStr">
        <x:is>
          <x:t xml:space="preserve">Use the story to show needing safe useful stops when plans change and end with one practical takeaway.</x:t>
        </x:is>
      </x:c>
      <x:c r="L232" s="117" t="inlineStr">
        <x:is>
          <x:t xml:space="preserve">Try Find Nearby when the plan changes.</x:t>
        </x:is>
      </x:c>
      <x:c r="M232" s="117" t="inlineStr">
        <x:is>
          <x:t xml:space="preserve">before/after plan; captions; app screen-record; branded end card</x:t>
        </x:is>
      </x:c>
      <x:c r="N232" s="117" t="inlineStr">
        <x:is>
          <x:t xml:space="preserve">Low</x:t>
        </x:is>
      </x:c>
      <x:c r="O232" s="117" t="n">
        <x:v>3</x:v>
      </x:c>
      <x:c r="P232" s="117" t="n">
        <x:v>5</x:v>
      </x:c>
      <x:c r="Q232" s="117" t="n">
        <x:v>3</x:v>
      </x:c>
      <x:c r="R232" s="117" t="n">
        <x:v>1</x:v>
      </x:c>
      <x:c r="S232" s="117" t="n">
        <x:v>2</x:v>
      </x:c>
      <x:c r="T232" s="117" t="n">
        <x:f>O232+P232+Q232+S232-R232</x:f>
        <x:v>12</x:v>
      </x:c>
      <x:c r="U232" s="117" t="inlineStr">
        <x:is>
          <x:t xml:space="preserve">Avoid naming unverified unsafe locations.</x:t>
        </x:is>
      </x:c>
      <x:c r="V232" s="117" t="inlineStr">
        <x:is>
          <x:t xml:space="preserve">Cut into a 15-sec hook, a Story poll and a carousel slide if it gets saves/comments.</x:t>
        </x:is>
      </x:c>
    </x:row>
    <x:row r="233" ht="58" customHeight="1">
      <x:c r="A233" s="110" t="n">
        <x:v>229</x:v>
      </x:c>
      <x:c r="B233" s="110" t="inlineStr">
        <x:is>
          <x:t xml:space="preserve">Founder / BTS</x:t>
        </x:is>
      </x:c>
      <x:c r="C233" s="110" t="inlineStr">
        <x:is>
          <x:t xml:space="preserve">Find Nearby</x:t>
        </x:is>
      </x:c>
      <x:c r="D233" s="110" t="inlineStr">
        <x:is>
          <x:t xml:space="preserve">Founder Files</x:t>
        </x:is>
      </x:c>
      <x:c r="E233" s="110" t="inlineStr">
        <x:is>
          <x:t xml:space="preserve">Road-trip group</x:t>
        </x:is>
      </x:c>
      <x:c r="F233" s="110" t="inlineStr">
        <x:is>
          <x:t xml:space="preserve">Trust</x:t>
        </x:is>
      </x:c>
      <x:c r="G233" s="110" t="inlineStr">
        <x:is>
          <x:t xml:space="preserve">Founder-to-camera</x:t>
        </x:is>
      </x:c>
      <x:c r="H233" s="110" t="inlineStr">
        <x:is>
          <x:t xml:space="preserve">Peter explains why find nearby belongs in a Kenyan driving app.</x:t>
        </x:is>
      </x:c>
      <x:c r="I233" s="110" t="inlineStr">
        <x:is>
          <x:t xml:space="preserve">Peter in car + product cutaway; road-trip POV.</x:t>
        </x:is>
      </x:c>
      <x:c r="J233" s="110" t="inlineStr">
        <x:is>
          <x:t xml:space="preserve">Founder trust and mission clarity.</x:t>
        </x:is>
      </x:c>
      <x:c r="K233" s="110" t="inlineStr">
        <x:is>
          <x:t xml:space="preserve">Use the story to show needing safe useful stops when plans change and end with one practical takeaway.</x:t>
        </x:is>
      </x:c>
      <x:c r="L233" s="110" t="inlineStr">
        <x:is>
          <x:t xml:space="preserve">Try Find Nearby when the plan changes.</x:t>
        </x:is>
      </x:c>
      <x:c r="M233" s="110" t="inlineStr">
        <x:is>
          <x:t xml:space="preserve">road-trip POV; captions; app screen-record; branded end card</x:t>
        </x:is>
      </x:c>
      <x:c r="N233" s="110" t="inlineStr">
        <x:is>
          <x:t xml:space="preserve">Medium</x:t>
        </x:is>
      </x:c>
      <x:c r="O233" s="110" t="n">
        <x:v>3</x:v>
      </x:c>
      <x:c r="P233" s="110" t="n">
        <x:v>4</x:v>
      </x:c>
      <x:c r="Q233" s="110" t="n">
        <x:v>3</x:v>
      </x:c>
      <x:c r="R233" s="110" t="n">
        <x:v>2</x:v>
      </x:c>
      <x:c r="S233" s="110" t="n">
        <x:v>2</x:v>
      </x:c>
      <x:c r="T233" s="110" t="n">
        <x:f>O233+P233+Q233+S233-R233</x:f>
        <x:v>10</x:v>
      </x:c>
      <x:c r="U233" s="110" t="inlineStr">
        <x:is>
          <x:t xml:space="preserve">Avoid naming unverified unsafe locations.</x:t>
        </x:is>
      </x:c>
      <x:c r="V233" s="110" t="inlineStr">
        <x:is>
          <x:t xml:space="preserve">Cut into a 15-sec hook, a Story poll and a carousel slide if it gets saves/comments.</x:t>
        </x:is>
      </x:c>
    </x:row>
    <x:row r="234" ht="58" customHeight="1">
      <x:c r="A234" s="117" t="n">
        <x:v>230</x:v>
      </x:c>
      <x:c r="B234" s="117" t="inlineStr">
        <x:is>
          <x:t xml:space="preserve">Debate / Mythbusters</x:t>
        </x:is>
      </x:c>
      <x:c r="C234" s="117" t="inlineStr">
        <x:is>
          <x:t xml:space="preserve">Find Nearby</x:t>
        </x:is>
      </x:c>
      <x:c r="D234" s="117" t="inlineStr">
        <x:is>
          <x:t xml:space="preserve">Road Mythbusters</x:t>
        </x:is>
      </x:c>
      <x:c r="E234" s="117" t="inlineStr">
        <x:is>
          <x:t xml:space="preserve">Long-distance driver</x:t>
        </x:is>
      </x:c>
      <x:c r="F234" s="117" t="inlineStr">
        <x:is>
          <x:t xml:space="preserve">Engagement</x:t>
        </x:is>
      </x:c>
      <x:c r="G234" s="117" t="inlineStr">
        <x:is>
          <x:t xml:space="preserve">Short-form video</x:t>
        </x:is>
      </x:c>
      <x:c r="H234" s="117" t="inlineStr">
        <x:is>
          <x:t xml:space="preserve">Hot take: the best road-trip stop is the one you can find quickly and safely..</x:t>
        </x:is>
      </x:c>
      <x:c r="I234" s="117" t="inlineStr">
        <x:is>
          <x:t xml:space="preserve">Claim vs reality split screen; search nearby screen.</x:t>
        </x:is>
      </x:c>
      <x:c r="J234" s="117" t="inlineStr">
        <x:is>
          <x:t xml:space="preserve">Controlled comments and debate.</x:t>
        </x:is>
      </x:c>
      <x:c r="K234" s="117" t="inlineStr">
        <x:is>
          <x:t xml:space="preserve">Use the story to show needing safe useful stops when plans change and end with one practical takeaway.</x:t>
        </x:is>
      </x:c>
      <x:c r="L234" s="117" t="inlineStr">
        <x:is>
          <x:t xml:space="preserve">Try Find Nearby when the plan changes.</x:t>
        </x:is>
      </x:c>
      <x:c r="M234" s="117" t="inlineStr">
        <x:is>
          <x:t xml:space="preserve">search nearby screen; captions; app screen-record; branded end card</x:t>
        </x:is>
      </x:c>
      <x:c r="N234" s="117" t="inlineStr">
        <x:is>
          <x:t xml:space="preserve">High</x:t>
        </x:is>
      </x:c>
      <x:c r="O234" s="117" t="n">
        <x:v>4</x:v>
      </x:c>
      <x:c r="P234" s="117" t="n">
        <x:v>4</x:v>
      </x:c>
      <x:c r="Q234" s="117" t="n">
        <x:v>3</x:v>
      </x:c>
      <x:c r="R234" s="117" t="n">
        <x:v>3</x:v>
      </x:c>
      <x:c r="S234" s="117" t="n">
        <x:v>2</x:v>
      </x:c>
      <x:c r="T234" s="117" t="n">
        <x:f>O234+P234+Q234+S234-R234</x:f>
        <x:v>10</x:v>
      </x:c>
      <x:c r="U234" s="117" t="inlineStr">
        <x:is>
          <x:t xml:space="preserve">Avoid naming unverified unsafe locations.</x:t>
        </x:is>
      </x:c>
      <x:c r="V234" s="117" t="inlineStr">
        <x:is>
          <x:t xml:space="preserve">Cut into a 15-sec hook, a Story poll and a carousel slide if it gets saves/comments.</x:t>
        </x:is>
      </x:c>
    </x:row>
    <x:row r="235" ht="58" customHeight="1">
      <x:c r="A235" s="110" t="n">
        <x:v>231</x:v>
      </x:c>
      <x:c r="B235" s="110" t="inlineStr">
        <x:is>
          <x:t xml:space="preserve">Community / UGC</x:t>
        </x:is>
      </x:c>
      <x:c r="C235" s="110" t="inlineStr">
        <x:is>
          <x:t xml:space="preserve">Find Nearby</x:t>
        </x:is>
      </x:c>
      <x:c r="D235" s="110" t="inlineStr">
        <x:is>
          <x:t xml:space="preserve">Ask a Kenyan Driver</x:t>
        </x:is>
      </x:c>
      <x:c r="E235" s="110" t="inlineStr">
        <x:is>
          <x:t xml:space="preserve">Daily Nairobi commuter</x:t>
        </x:is>
      </x:c>
      <x:c r="F235" s="110" t="inlineStr">
        <x:is>
          <x:t xml:space="preserve">Community</x:t>
        </x:is>
      </x:c>
      <x:c r="G235" s="110" t="inlineStr">
        <x:is>
          <x:t xml:space="preserve">Street Interview</x:t>
        </x:is>
      </x:c>
      <x:c r="H235" s="110" t="inlineStr">
        <x:is>
          <x:t xml:space="preserve">We asked drivers: what do you usually need to find mid-trip?</x:t>
        </x:is>
      </x:c>
      <x:c r="I235" s="110" t="inlineStr">
        <x:is>
          <x:t xml:space="preserve">Street answers + subtitle template; fuel/food/rest stop B-roll.</x:t>
        </x:is>
      </x:c>
      <x:c r="J235" s="110" t="inlineStr">
        <x:is>
          <x:t xml:space="preserve">Community stories and future ideas.</x:t>
        </x:is>
      </x:c>
      <x:c r="K235" s="110" t="inlineStr">
        <x:is>
          <x:t xml:space="preserve">Use the story to show needing safe useful stops when plans change and end with one practical takeaway.</x:t>
        </x:is>
      </x:c>
      <x:c r="L235" s="110" t="inlineStr">
        <x:is>
          <x:t xml:space="preserve">Try Find Nearby when the plan changes.</x:t>
        </x:is>
      </x:c>
      <x:c r="M235" s="110" t="inlineStr">
        <x:is>
          <x:t xml:space="preserve">fuel/food/rest stop B-roll; captions; app screen-record; branded end card</x:t>
        </x:is>
      </x:c>
      <x:c r="N235" s="110" t="inlineStr">
        <x:is>
          <x:t xml:space="preserve">Low</x:t>
        </x:is>
      </x:c>
      <x:c r="O235" s="110" t="n">
        <x:v>3</x:v>
      </x:c>
      <x:c r="P235" s="110" t="n">
        <x:v>4</x:v>
      </x:c>
      <x:c r="Q235" s="110" t="n">
        <x:v>3</x:v>
      </x:c>
      <x:c r="R235" s="110" t="n">
        <x:v>1</x:v>
      </x:c>
      <x:c r="S235" s="110" t="n">
        <x:v>2</x:v>
      </x:c>
      <x:c r="T235" s="110" t="n">
        <x:f>O235+P235+Q235+S235-R235</x:f>
        <x:v>11</x:v>
      </x:c>
      <x:c r="U235" s="110" t="inlineStr">
        <x:is>
          <x:t xml:space="preserve">Avoid naming unverified unsafe locations.</x:t>
        </x:is>
      </x:c>
      <x:c r="V235" s="110" t="inlineStr">
        <x:is>
          <x:t xml:space="preserve">Turn best responses into Comment-to-Video and add to next week’s road-check queue.</x:t>
        </x:is>
      </x:c>
    </x:row>
    <x:row r="236" ht="58" customHeight="1">
      <x:c r="A236" s="117" t="n">
        <x:v>232</x:v>
      </x:c>
      <x:c r="B236" s="117" t="inlineStr">
        <x:is>
          <x:t xml:space="preserve">Accident Readiness</x:t>
        </x:is>
      </x:c>
      <x:c r="C236" s="117" t="inlineStr">
        <x:is>
          <x:t xml:space="preserve">Find Nearby</x:t>
        </x:is>
      </x:c>
      <x:c r="D236" s="117" t="inlineStr">
        <x:is>
          <x:t xml:space="preserve">Would You Know What To Do?</x:t>
        </x:is>
      </x:c>
      <x:c r="E236" s="117" t="inlineStr">
        <x:is>
          <x:t xml:space="preserve">Family driver</x:t>
        </x:is>
      </x:c>
      <x:c r="F236" s="117" t="inlineStr">
        <x:is>
          <x:t xml:space="preserve">Trust</x:t>
        </x:is>
      </x:c>
      <x:c r="G236" s="117" t="inlineStr">
        <x:is>
          <x:t xml:space="preserve">Short-form video</x:t>
        </x:is>
      </x:c>
      <x:c r="H236" s="117" t="inlineStr">
        <x:is>
          <x:t xml:space="preserve">If this happened today, would you know what to do first?</x:t>
        </x:is>
      </x:c>
      <x:c r="I236" s="117" t="inlineStr">
        <x:is>
          <x:t xml:space="preserve">Scenario roleplay + checklist; passenger request skit.</x:t>
        </x:is>
      </x:c>
      <x:c r="J236" s="117" t="inlineStr">
        <x:is>
          <x:t xml:space="preserve">Preparedness without fear.</x:t>
        </x:is>
      </x:c>
      <x:c r="K236" s="117" t="inlineStr">
        <x:is>
          <x:t xml:space="preserve">Use the story to show needing safe useful stops when plans change and end with one practical takeaway.</x:t>
        </x:is>
      </x:c>
      <x:c r="L236" s="117" t="inlineStr">
        <x:is>
          <x:t xml:space="preserve">Try Find Nearby when the plan changes.</x:t>
        </x:is>
      </x:c>
      <x:c r="M236" s="117" t="inlineStr">
        <x:is>
          <x:t xml:space="preserve">passenger request skit; captions; app screen-record; branded end card</x:t>
        </x:is>
      </x:c>
      <x:c r="N236" s="117" t="inlineStr">
        <x:is>
          <x:t xml:space="preserve">Medium</x:t>
        </x:is>
      </x:c>
      <x:c r="O236" s="117" t="n">
        <x:v>3</x:v>
      </x:c>
      <x:c r="P236" s="117" t="n">
        <x:v>5</x:v>
      </x:c>
      <x:c r="Q236" s="117" t="n">
        <x:v>3</x:v>
      </x:c>
      <x:c r="R236" s="117" t="n">
        <x:v>2</x:v>
      </x:c>
      <x:c r="S236" s="117" t="n">
        <x:v>2</x:v>
      </x:c>
      <x:c r="T236" s="117" t="n">
        <x:f>O236+P236+Q236+S236-R236</x:f>
        <x:v>11</x:v>
      </x:c>
      <x:c r="U236" s="117" t="inlineStr">
        <x:is>
          <x:t xml:space="preserve">Avoid naming unverified unsafe locations.</x:t>
        </x:is>
      </x:c>
      <x:c r="V236" s="117" t="inlineStr">
        <x:is>
          <x:t xml:space="preserve">Cut into a 15-sec hook, a Story poll and a carousel slide if it gets saves/comments.</x:t>
        </x:is>
      </x:c>
    </x:row>
    <x:row r="237" ht="58" customHeight="1">
      <x:c r="A237" s="110" t="n">
        <x:v>233</x:v>
      </x:c>
      <x:c r="B237" s="110" t="inlineStr">
        <x:is>
          <x:t xml:space="preserve">Product / Feature Proof</x:t>
        </x:is>
      </x:c>
      <x:c r="C237" s="110" t="inlineStr">
        <x:is>
          <x:t xml:space="preserve">Find Nearby</x:t>
        </x:is>
      </x:c>
      <x:c r="D237" s="110" t="inlineStr">
        <x:is>
          <x:t xml:space="preserve">Can Msafiri Do This?</x:t>
        </x:is>
      </x:c>
      <x:c r="E237" s="110" t="inlineStr">
        <x:is>
          <x:t xml:space="preserve">Road-trip group</x:t>
        </x:is>
      </x:c>
      <x:c r="F237" s="110" t="inlineStr">
        <x:is>
          <x:t xml:space="preserve">Feature Discovery</x:t>
        </x:is>
      </x:c>
      <x:c r="G237" s="110" t="inlineStr">
        <x:is>
          <x:t xml:space="preserve">Short-form video</x:t>
        </x:is>
      </x:c>
      <x:c r="H237" s="110" t="inlineStr">
        <x:is>
          <x:t xml:space="preserve">Can Msafiri help when needing safe useful stops when plans change? Let’s test it.</x:t>
        </x:is>
      </x:c>
      <x:c r="I237" s="110" t="inlineStr">
        <x:is>
          <x:t xml:space="preserve">Live test with timer; before/after plan.</x:t>
        </x:is>
      </x:c>
      <x:c r="J237" s="110" t="inlineStr">
        <x:is>
          <x:t xml:space="preserve">Proof through demonstration.</x:t>
        </x:is>
      </x:c>
      <x:c r="K237" s="110" t="inlineStr">
        <x:is>
          <x:t xml:space="preserve">Use the story to show needing safe useful stops when plans change and end with one practical takeaway.</x:t>
        </x:is>
      </x:c>
      <x:c r="L237" s="110" t="inlineStr">
        <x:is>
          <x:t xml:space="preserve">Try Find Nearby when the plan changes.</x:t>
        </x:is>
      </x:c>
      <x:c r="M237" s="110" t="inlineStr">
        <x:is>
          <x:t xml:space="preserve">before/after plan; captions; app screen-record; branded end card</x:t>
        </x:is>
      </x:c>
      <x:c r="N237" s="110" t="inlineStr">
        <x:is>
          <x:t xml:space="preserve">High</x:t>
        </x:is>
      </x:c>
      <x:c r="O237" s="110" t="n">
        <x:v>3</x:v>
      </x:c>
      <x:c r="P237" s="110" t="n">
        <x:v>4</x:v>
      </x:c>
      <x:c r="Q237" s="110" t="n">
        <x:v>5</x:v>
      </x:c>
      <x:c r="R237" s="110" t="n">
        <x:v>3</x:v>
      </x:c>
      <x:c r="S237" s="110" t="n">
        <x:v>2</x:v>
      </x:c>
      <x:c r="T237" s="110" t="n">
        <x:f>O237+P237+Q237+S237-R237</x:f>
        <x:v>11</x:v>
      </x:c>
      <x:c r="U237" s="110" t="inlineStr">
        <x:is>
          <x:t xml:space="preserve">Avoid naming unverified unsafe locations.</x:t>
        </x:is>
      </x:c>
      <x:c r="V237" s="110" t="inlineStr">
        <x:is>
          <x:t xml:space="preserve">Cut into a 15-sec hook, a Story poll and a carousel slide if it gets saves/comments.</x:t>
        </x:is>
      </x:c>
    </x:row>
    <x:row r="238" ht="58" customHeight="1">
      <x:c r="A238" s="117" t="n">
        <x:v>234</x:v>
      </x:c>
      <x:c r="B238" s="117" t="inlineStr">
        <x:is>
          <x:t xml:space="preserve">Road Intelligence</x:t>
        </x:is>
      </x:c>
      <x:c r="C238" s="117" t="inlineStr">
        <x:is>
          <x:t xml:space="preserve">Find Nearby</x:t>
        </x:is>
      </x:c>
      <x:c r="D238" s="117" t="inlineStr">
        <x:is>
          <x:t xml:space="preserve">Road Trip POV</x:t>
        </x:is>
      </x:c>
      <x:c r="E238" s="117" t="inlineStr">
        <x:is>
          <x:t xml:space="preserve">Long-distance driver</x:t>
        </x:is>
      </x:c>
      <x:c r="F238" s="117" t="inlineStr">
        <x:is>
          <x:t xml:space="preserve">Awareness</x:t>
        </x:is>
      </x:c>
      <x:c r="G238" s="117" t="inlineStr">
        <x:is>
          <x:t xml:space="preserve">Hero / Reel</x:t>
        </x:is>
      </x:c>
      <x:c r="H238" s="117" t="inlineStr">
        <x:is>
          <x:t xml:space="preserve">A calm drive is not luck — watch how we planned a weekday commute.</x:t>
        </x:is>
      </x:c>
      <x:c r="I238" s="117" t="inlineStr">
        <x:is>
          <x:t xml:space="preserve">Cinematic POV + UI moments; road-trip POV.</x:t>
        </x:is>
      </x:c>
      <x:c r="J238" s="117" t="inlineStr">
        <x:is>
          <x:t xml:space="preserve">Aspirational practical brand feel.</x:t>
        </x:is>
      </x:c>
      <x:c r="K238" s="117" t="inlineStr">
        <x:is>
          <x:t xml:space="preserve">Use the story to show needing safe useful stops when plans change and end with one practical takeaway.</x:t>
        </x:is>
      </x:c>
      <x:c r="L238" s="117" t="inlineStr">
        <x:is>
          <x:t xml:space="preserve">Try Find Nearby when the plan changes.</x:t>
        </x:is>
      </x:c>
      <x:c r="M238" s="117" t="inlineStr">
        <x:is>
          <x:t xml:space="preserve">road-trip POV; captions; app screen-record; branded end card</x:t>
        </x:is>
      </x:c>
      <x:c r="N238" s="117" t="inlineStr">
        <x:is>
          <x:t xml:space="preserve">Low</x:t>
        </x:is>
      </x:c>
      <x:c r="O238" s="117" t="n">
        <x:v>3</x:v>
      </x:c>
      <x:c r="P238" s="117" t="n">
        <x:v>5</x:v>
      </x:c>
      <x:c r="Q238" s="117" t="n">
        <x:v>3</x:v>
      </x:c>
      <x:c r="R238" s="117" t="n">
        <x:v>1</x:v>
      </x:c>
      <x:c r="S238" s="117" t="n">
        <x:v>3</x:v>
      </x:c>
      <x:c r="T238" s="117" t="n">
        <x:f>O238+P238+Q238+S238-R238</x:f>
        <x:v>13</x:v>
      </x:c>
      <x:c r="U238" s="117" t="inlineStr">
        <x:is>
          <x:t xml:space="preserve">Avoid naming unverified unsafe locations.</x:t>
        </x:is>
      </x:c>
      <x:c r="V238" s="117" t="inlineStr">
        <x:is>
          <x:t xml:space="preserve">Cut into a 15-sec hook, a Story poll and a carousel slide if it gets saves/comments.</x:t>
        </x:is>
      </x:c>
    </x:row>
    <x:row r="239" ht="58" customHeight="1">
      <x:c r="A239" s="110" t="n">
        <x:v>235</x:v>
      </x:c>
      <x:c r="B239" s="110" t="inlineStr">
        <x:is>
          <x:t xml:space="preserve">Education / Safety</x:t>
        </x:is>
      </x:c>
      <x:c r="C239" s="110" t="inlineStr">
        <x:is>
          <x:t xml:space="preserve">Find Nearby</x:t>
        </x:is>
      </x:c>
      <x:c r="D239" s="110" t="inlineStr">
        <x:is>
          <x:t xml:space="preserve">One Minute Road Safety</x:t>
        </x:is>
      </x:c>
      <x:c r="E239" s="110" t="inlineStr">
        <x:is>
          <x:t xml:space="preserve">Daily Nairobi commuter</x:t>
        </x:is>
      </x:c>
      <x:c r="F239" s="110" t="inlineStr">
        <x:is>
          <x:t xml:space="preserve">Retention</x:t>
        </x:is>
      </x:c>
      <x:c r="G239" s="110" t="inlineStr">
        <x:is>
          <x:t xml:space="preserve">Checklist Reel</x:t>
        </x:is>
      </x:c>
      <x:c r="H239" s="110" t="inlineStr">
        <x:is>
          <x:t xml:space="preserve">One minute road safety: find nearby edition.</x:t>
        </x:is>
      </x:c>
      <x:c r="I239" s="110" t="inlineStr">
        <x:is>
          <x:t xml:space="preserve">One tip per beat; search nearby screen.</x:t>
        </x:is>
      </x:c>
      <x:c r="J239" s="110" t="inlineStr">
        <x:is>
          <x:t xml:space="preserve">Quick knowledge people can use.</x:t>
        </x:is>
      </x:c>
      <x:c r="K239" s="110" t="inlineStr">
        <x:is>
          <x:t xml:space="preserve">Use the story to show needing safe useful stops when plans change and end with one practical takeaway.</x:t>
        </x:is>
      </x:c>
      <x:c r="L239" s="110" t="inlineStr">
        <x:is>
          <x:t xml:space="preserve">Try Find Nearby when the plan changes.</x:t>
        </x:is>
      </x:c>
      <x:c r="M239" s="110" t="inlineStr">
        <x:is>
          <x:t xml:space="preserve">search nearby screen; captions; app screen-record; branded end card</x:t>
        </x:is>
      </x:c>
      <x:c r="N239" s="110" t="inlineStr">
        <x:is>
          <x:t xml:space="preserve">Medium</x:t>
        </x:is>
      </x:c>
      <x:c r="O239" s="110" t="n">
        <x:v>3</x:v>
      </x:c>
      <x:c r="P239" s="110" t="n">
        <x:v>5</x:v>
      </x:c>
      <x:c r="Q239" s="110" t="n">
        <x:v>3</x:v>
      </x:c>
      <x:c r="R239" s="110" t="n">
        <x:v>2</x:v>
      </x:c>
      <x:c r="S239" s="110" t="n">
        <x:v>2</x:v>
      </x:c>
      <x:c r="T239" s="110" t="n">
        <x:f>O239+P239+Q239+S239-R239</x:f>
        <x:v>11</x:v>
      </x:c>
      <x:c r="U239" s="110" t="inlineStr">
        <x:is>
          <x:t xml:space="preserve">Avoid naming unverified unsafe locations.</x:t>
        </x:is>
      </x:c>
      <x:c r="V239" s="110" t="inlineStr">
        <x:is>
          <x:t xml:space="preserve">Cut into a 15-sec hook, a Story poll and a carousel slide if it gets saves/comments.</x:t>
        </x:is>
      </x:c>
    </x:row>
    <x:row r="240" ht="58" customHeight="1">
      <x:c r="A240" s="117" t="n">
        <x:v>236</x:v>
      </x:c>
      <x:c r="B240" s="117" t="inlineStr">
        <x:is>
          <x:t xml:space="preserve">Founder / BTS</x:t>
        </x:is>
      </x:c>
      <x:c r="C240" s="117" t="inlineStr">
        <x:is>
          <x:t xml:space="preserve">Find Nearby</x:t>
        </x:is>
      </x:c>
      <x:c r="D240" s="117" t="inlineStr">
        <x:is>
          <x:t xml:space="preserve">Build With Peter</x:t>
        </x:is>
      </x:c>
      <x:c r="E240" s="117" t="inlineStr">
        <x:is>
          <x:t xml:space="preserve">Family driver</x:t>
        </x:is>
      </x:c>
      <x:c r="F240" s="117" t="inlineStr">
        <x:is>
          <x:t xml:space="preserve">Trust</x:t>
        </x:is>
      </x:c>
      <x:c r="G240" s="117" t="inlineStr">
        <x:is>
          <x:t xml:space="preserve">Founder-to-camera</x:t>
        </x:is>
      </x:c>
      <x:c r="H240" s="117" t="inlineStr">
        <x:is>
          <x:t xml:space="preserve">The product decision we almost got wrong with find nearby.</x:t>
        </x:is>
      </x:c>
      <x:c r="I240" s="117" t="inlineStr">
        <x:is>
          <x:t xml:space="preserve">Peter + notes + app prototype; fuel/food/rest stop B-roll.</x:t>
        </x:is>
      </x:c>
      <x:c r="J240" s="117" t="inlineStr">
        <x:is>
          <x:t xml:space="preserve">Humanizing the build process.</x:t>
        </x:is>
      </x:c>
      <x:c r="K240" s="117" t="inlineStr">
        <x:is>
          <x:t xml:space="preserve">Use the story to show needing safe useful stops when plans change and end with one practical takeaway.</x:t>
        </x:is>
      </x:c>
      <x:c r="L240" s="117" t="inlineStr">
        <x:is>
          <x:t xml:space="preserve">Try Find Nearby when the plan changes.</x:t>
        </x:is>
      </x:c>
      <x:c r="M240" s="117" t="inlineStr">
        <x:is>
          <x:t xml:space="preserve">fuel/food/rest stop B-roll; captions; app screen-record; branded end card</x:t>
        </x:is>
      </x:c>
      <x:c r="N240" s="117" t="inlineStr">
        <x:is>
          <x:t xml:space="preserve">High</x:t>
        </x:is>
      </x:c>
      <x:c r="O240" s="117" t="n">
        <x:v>3</x:v>
      </x:c>
      <x:c r="P240" s="117" t="n">
        <x:v>4</x:v>
      </x:c>
      <x:c r="Q240" s="117" t="n">
        <x:v>3</x:v>
      </x:c>
      <x:c r="R240" s="117" t="n">
        <x:v>3</x:v>
      </x:c>
      <x:c r="S240" s="117" t="n">
        <x:v>2</x:v>
      </x:c>
      <x:c r="T240" s="117" t="n">
        <x:f>O240+P240+Q240+S240-R240</x:f>
        <x:v>9</x:v>
      </x:c>
      <x:c r="U240" s="117" t="inlineStr">
        <x:is>
          <x:t xml:space="preserve">Avoid naming unverified unsafe locations.</x:t>
        </x:is>
      </x:c>
      <x:c r="V240" s="117" t="inlineStr">
        <x:is>
          <x:t xml:space="preserve">Cut into a 15-sec hook, a Story poll and a carousel slide if it gets saves/comments.</x:t>
        </x:is>
      </x:c>
    </x:row>
    <x:row r="241" ht="58" customHeight="1">
      <x:c r="A241" s="110" t="n">
        <x:v>237</x:v>
      </x:c>
      <x:c r="B241" s="110" t="inlineStr">
        <x:is>
          <x:t xml:space="preserve">Community / UGC</x:t>
        </x:is>
      </x:c>
      <x:c r="C241" s="110" t="inlineStr">
        <x:is>
          <x:t xml:space="preserve">Find Nearby</x:t>
        </x:is>
      </x:c>
      <x:c r="D241" s="110" t="inlineStr">
        <x:is>
          <x:t xml:space="preserve">Comment-to-Video</x:t>
        </x:is>
      </x:c>
      <x:c r="E241" s="110" t="inlineStr">
        <x:is>
          <x:t xml:space="preserve">Road-trip group</x:t>
        </x:is>
      </x:c>
      <x:c r="F241" s="110" t="inlineStr">
        <x:is>
          <x:t xml:space="preserve">Community</x:t>
        </x:is>
      </x:c>
      <x:c r="G241" s="110" t="inlineStr">
        <x:is>
          <x:t xml:space="preserve">Community Reply</x:t>
        </x:is>
      </x:c>
      <x:c r="H241" s="110" t="inlineStr">
        <x:is>
          <x:t xml:space="preserve">A follower asked about needing safe useful stops when plans change; here is the practical answer.</x:t>
        </x:is>
      </x:c>
      <x:c r="I241" s="110" t="inlineStr">
        <x:is>
          <x:t xml:space="preserve">Comment sticker + direct answer; passenger request skit.</x:t>
        </x:is>
      </x:c>
      <x:c r="J241" s="110" t="inlineStr">
        <x:is>
          <x:t xml:space="preserve">Reward comments and build trust.</x:t>
        </x:is>
      </x:c>
      <x:c r="K241" s="110" t="inlineStr">
        <x:is>
          <x:t xml:space="preserve">Use the story to show needing safe useful stops when plans change and end with one practical takeaway.</x:t>
        </x:is>
      </x:c>
      <x:c r="L241" s="110" t="inlineStr">
        <x:is>
          <x:t xml:space="preserve">Try Find Nearby when the plan changes.</x:t>
        </x:is>
      </x:c>
      <x:c r="M241" s="110" t="inlineStr">
        <x:is>
          <x:t xml:space="preserve">passenger request skit; captions; app screen-record; branded end card</x:t>
        </x:is>
      </x:c>
      <x:c r="N241" s="110" t="inlineStr">
        <x:is>
          <x:t xml:space="preserve">Low</x:t>
        </x:is>
      </x:c>
      <x:c r="O241" s="110" t="n">
        <x:v>3</x:v>
      </x:c>
      <x:c r="P241" s="110" t="n">
        <x:v>4</x:v>
      </x:c>
      <x:c r="Q241" s="110" t="n">
        <x:v>3</x:v>
      </x:c>
      <x:c r="R241" s="110" t="n">
        <x:v>1</x:v>
      </x:c>
      <x:c r="S241" s="110" t="n">
        <x:v>2</x:v>
      </x:c>
      <x:c r="T241" s="110" t="n">
        <x:f>O241+P241+Q241+S241-R241</x:f>
        <x:v>11</x:v>
      </x:c>
      <x:c r="U241" s="110" t="inlineStr">
        <x:is>
          <x:t xml:space="preserve">Avoid naming unverified unsafe locations.</x:t>
        </x:is>
      </x:c>
      <x:c r="V241" s="110" t="inlineStr">
        <x:is>
          <x:t xml:space="preserve">Cut into a 15-sec hook, a Story poll and a carousel slide if it gets saves/comments.</x:t>
        </x:is>
      </x:c>
    </x:row>
    <x:row r="242" ht="58" customHeight="1">
      <x:c r="A242" s="117" t="n">
        <x:v>238</x:v>
      </x:c>
      <x:c r="B242" s="117" t="inlineStr">
        <x:is>
          <x:t xml:space="preserve">Kenyan Driving Reality</x:t>
        </x:is>
      </x:c>
      <x:c r="C242" s="117" t="inlineStr">
        <x:is>
          <x:t xml:space="preserve">Find Nearby</x:t>
        </x:is>
      </x:c>
      <x:c r="D242" s="117" t="inlineStr">
        <x:is>
          <x:t xml:space="preserve">Driver Confessions</x:t>
        </x:is>
      </x:c>
      <x:c r="E242" s="117" t="inlineStr">
        <x:is>
          <x:t xml:space="preserve">Long-distance driver</x:t>
        </x:is>
      </x:c>
      <x:c r="F242" s="117" t="inlineStr">
        <x:is>
          <x:t xml:space="preserve">Engagement</x:t>
        </x:is>
      </x:c>
      <x:c r="G242" s="117" t="inlineStr">
        <x:is>
          <x:t xml:space="preserve">Street Interview</x:t>
        </x:is>
      </x:c>
      <x:c r="H242" s="117" t="inlineStr">
        <x:is>
          <x:t xml:space="preserve">Confession time: what is the one driving mistake you learned from?</x:t>
        </x:is>
      </x:c>
      <x:c r="I242" s="117" t="inlineStr">
        <x:is>
          <x:t xml:space="preserve">Anonymous driver confession; before/after plan.</x:t>
        </x:is>
      </x:c>
      <x:c r="J242" s="117" t="inlineStr">
        <x:is>
          <x:t xml:space="preserve">Relatable vulnerability.</x:t>
        </x:is>
      </x:c>
      <x:c r="K242" s="117" t="inlineStr">
        <x:is>
          <x:t xml:space="preserve">Use the story to show needing safe useful stops when plans change and end with one practical takeaway.</x:t>
        </x:is>
      </x:c>
      <x:c r="L242" s="117" t="inlineStr">
        <x:is>
          <x:t xml:space="preserve">Try Find Nearby when the plan changes.</x:t>
        </x:is>
      </x:c>
      <x:c r="M242" s="117" t="inlineStr">
        <x:is>
          <x:t xml:space="preserve">before/after plan; captions; app screen-record; branded end card</x:t>
        </x:is>
      </x:c>
      <x:c r="N242" s="117" t="inlineStr">
        <x:is>
          <x:t xml:space="preserve">Medium</x:t>
        </x:is>
      </x:c>
      <x:c r="O242" s="117" t="n">
        <x:v>4</x:v>
      </x:c>
      <x:c r="P242" s="117" t="n">
        <x:v>4</x:v>
      </x:c>
      <x:c r="Q242" s="117" t="n">
        <x:v>3</x:v>
      </x:c>
      <x:c r="R242" s="117" t="n">
        <x:v>2</x:v>
      </x:c>
      <x:c r="S242" s="117" t="n">
        <x:v>2</x:v>
      </x:c>
      <x:c r="T242" s="117" t="n">
        <x:f>O242+P242+Q242+S242-R242</x:f>
        <x:v>11</x:v>
      </x:c>
      <x:c r="U242" s="117" t="inlineStr">
        <x:is>
          <x:t xml:space="preserve">Avoid naming unverified unsafe locations.</x:t>
        </x:is>
      </x:c>
      <x:c r="V242" s="117" t="inlineStr">
        <x:is>
          <x:t xml:space="preserve">Turn best responses into Comment-to-Video and add to next week’s road-check queue.</x:t>
        </x:is>
      </x:c>
    </x:row>
    <x:row r="243" ht="58" customHeight="1">
      <x:c r="A243" s="110" t="n">
        <x:v>239</x:v>
      </x:c>
      <x:c r="B243" s="110" t="inlineStr">
        <x:is>
          <x:t xml:space="preserve">Product / Feature Proof</x:t>
        </x:is>
      </x:c>
      <x:c r="C243" s="110" t="inlineStr">
        <x:is>
          <x:t xml:space="preserve">Find Nearby</x:t>
        </x:is>
      </x:c>
      <x:c r="D243" s="110" t="inlineStr">
        <x:is>
          <x:t xml:space="preserve">Before / After</x:t>
        </x:is>
      </x:c>
      <x:c r="E243" s="110" t="inlineStr">
        <x:is>
          <x:t xml:space="preserve">Daily Nairobi commuter</x:t>
        </x:is>
      </x:c>
      <x:c r="F243" s="110" t="inlineStr">
        <x:is>
          <x:t xml:space="preserve">Conversion</x:t>
        </x:is>
      </x:c>
      <x:c r="G243" s="110" t="inlineStr">
        <x:is>
          <x:t xml:space="preserve">Short-form video</x:t>
        </x:is>
      </x:c>
      <x:c r="H243" s="110" t="inlineStr">
        <x:is>
          <x:t xml:space="preserve">Before Msafiri vs after Msafiri when needing safe useful stops when plans change.</x:t>
        </x:is>
      </x:c>
      <x:c r="I243" s="110" t="inlineStr">
        <x:is>
          <x:t xml:space="preserve">Two-act split screen; road-trip POV.</x:t>
        </x:is>
      </x:c>
      <x:c r="J243" s="110" t="inlineStr">
        <x:is>
          <x:t xml:space="preserve">A clear reason to try.</x:t>
        </x:is>
      </x:c>
      <x:c r="K243" s="110" t="inlineStr">
        <x:is>
          <x:t xml:space="preserve">Use the story to show needing safe useful stops when plans change and end with one practical takeaway.</x:t>
        </x:is>
      </x:c>
      <x:c r="L243" s="110" t="inlineStr">
        <x:is>
          <x:t xml:space="preserve">Try Find Nearby when the plan changes.</x:t>
        </x:is>
      </x:c>
      <x:c r="M243" s="110" t="inlineStr">
        <x:is>
          <x:t xml:space="preserve">road-trip POV; captions; app screen-record; branded end card</x:t>
        </x:is>
      </x:c>
      <x:c r="N243" s="110" t="inlineStr">
        <x:is>
          <x:t xml:space="preserve">High</x:t>
        </x:is>
      </x:c>
      <x:c r="O243" s="110" t="n">
        <x:v>3</x:v>
      </x:c>
      <x:c r="P243" s="110" t="n">
        <x:v>4</x:v>
      </x:c>
      <x:c r="Q243" s="110" t="n">
        <x:v>5</x:v>
      </x:c>
      <x:c r="R243" s="110" t="n">
        <x:v>3</x:v>
      </x:c>
      <x:c r="S243" s="110" t="n">
        <x:v>2</x:v>
      </x:c>
      <x:c r="T243" s="110" t="n">
        <x:f>O243+P243+Q243+S243-R243</x:f>
        <x:v>11</x:v>
      </x:c>
      <x:c r="U243" s="110" t="inlineStr">
        <x:is>
          <x:t xml:space="preserve">Avoid naming unverified unsafe locations.</x:t>
        </x:is>
      </x:c>
      <x:c r="V243" s="110" t="inlineStr">
        <x:is>
          <x:t xml:space="preserve">Cut into a 15-sec hook, a Story poll and a carousel slide if it gets saves/comments.</x:t>
        </x:is>
      </x:c>
    </x:row>
    <x:row r="244" ht="58" customHeight="1">
      <x:c r="A244" s="117" t="n">
        <x:v>240</x:v>
      </x:c>
      <x:c r="B244" s="117" t="inlineStr">
        <x:is>
          <x:t xml:space="preserve">Seasonal Campaign</x:t>
        </x:is>
      </x:c>
      <x:c r="C244" s="117" t="inlineStr">
        <x:is>
          <x:t xml:space="preserve">Find Nearby</x:t>
        </x:is>
      </x:c>
      <x:c r="D244" s="117" t="inlineStr">
        <x:is>
          <x:t xml:space="preserve">Holiday Road Prep</x:t>
        </x:is>
      </x:c>
      <x:c r="E244" s="117" t="inlineStr">
        <x:is>
          <x:t xml:space="preserve">Family driver</x:t>
        </x:is>
      </x:c>
      <x:c r="F244" s="117" t="inlineStr">
        <x:is>
          <x:t xml:space="preserve">Awareness</x:t>
        </x:is>
      </x:c>
      <x:c r="G244" s="117" t="inlineStr">
        <x:is>
          <x:t xml:space="preserve">Checklist Reel</x:t>
        </x:is>
      </x:c>
      <x:c r="H244" s="117" t="inlineStr">
        <x:is>
          <x:t xml:space="preserve">Holiday drive coming up? Do not leave before checking this.</x:t>
        </x:is>
      </x:c>
      <x:c r="I244" s="117" t="inlineStr">
        <x:is>
          <x:t xml:space="preserve">Packing + car + phone mount; search nearby screen.</x:t>
        </x:is>
      </x:c>
      <x:c r="J244" s="117" t="inlineStr">
        <x:is>
          <x:t xml:space="preserve">Seasonal urgency.</x:t>
        </x:is>
      </x:c>
      <x:c r="K244" s="117" t="inlineStr">
        <x:is>
          <x:t xml:space="preserve">Use the story to show needing safe useful stops when plans change and end with one practical takeaway.</x:t>
        </x:is>
      </x:c>
      <x:c r="L244" s="117" t="inlineStr">
        <x:is>
          <x:t xml:space="preserve">Try Find Nearby when the plan changes.</x:t>
        </x:is>
      </x:c>
      <x:c r="M244" s="117" t="inlineStr">
        <x:is>
          <x:t xml:space="preserve">search nearby screen; captions; app screen-record; branded end card</x:t>
        </x:is>
      </x:c>
      <x:c r="N244" s="117" t="inlineStr">
        <x:is>
          <x:t xml:space="preserve">Low</x:t>
        </x:is>
      </x:c>
      <x:c r="O244" s="117" t="n">
        <x:v>4</x:v>
      </x:c>
      <x:c r="P244" s="117" t="n">
        <x:v>4</x:v>
      </x:c>
      <x:c r="Q244" s="117" t="n">
        <x:v>3</x:v>
      </x:c>
      <x:c r="R244" s="117" t="n">
        <x:v>1</x:v>
      </x:c>
      <x:c r="S244" s="117" t="n">
        <x:v>4</x:v>
      </x:c>
      <x:c r="T244" s="117" t="n">
        <x:f>O244+P244+Q244+S244-R244</x:f>
        <x:v>14</x:v>
      </x:c>
      <x:c r="U244" s="117" t="inlineStr">
        <x:is>
          <x:t xml:space="preserve">Avoid naming unverified unsafe locations.</x:t>
        </x:is>
      </x:c>
      <x:c r="V244" s="117" t="inlineStr">
        <x:is>
          <x:t xml:space="preserve">Cut into a 15-sec hook, a Story poll and a carousel slide if it gets saves/comments.</x:t>
        </x:is>
      </x:c>
    </x:row>
    <x:row r="245" ht="58" customHeight="1">
      <x:c r="A245" s="110" t="n">
        <x:v>241</x:v>
      </x:c>
      <x:c r="B245" s="110" t="inlineStr">
        <x:is>
          <x:t xml:space="preserve">Education / Safety</x:t>
        </x:is>
      </x:c>
      <x:c r="C245" s="110" t="inlineStr">
        <x:is>
          <x:t xml:space="preserve">Find Nearby</x:t>
        </x:is>
      </x:c>
      <x:c r="D245" s="110" t="inlineStr">
        <x:is>
          <x:t xml:space="preserve">Passenger POV</x:t>
        </x:is>
      </x:c>
      <x:c r="E245" s="110" t="inlineStr">
        <x:is>
          <x:t xml:space="preserve">Road-trip group</x:t>
        </x:is>
      </x:c>
      <x:c r="F245" s="110" t="inlineStr">
        <x:is>
          <x:t xml:space="preserve">Community</x:t>
        </x:is>
      </x:c>
      <x:c r="G245" s="110" t="inlineStr">
        <x:is>
          <x:t xml:space="preserve">Short-form video</x:t>
        </x:is>
      </x:c>
      <x:c r="H245" s="110" t="inlineStr">
        <x:is>
          <x:t xml:space="preserve">Passenger script: how to tell the driver to slow down without starting a fight.</x:t>
        </x:is>
      </x:c>
      <x:c r="I245" s="110" t="inlineStr">
        <x:is>
          <x:t xml:space="preserve">Passenger POV + text overlay; fuel/food/rest stop B-roll.</x:t>
        </x:is>
      </x:c>
      <x:c r="J245" s="110" t="inlineStr">
        <x:is>
          <x:t xml:space="preserve">Safety through social behavior.</x:t>
        </x:is>
      </x:c>
      <x:c r="K245" s="110" t="inlineStr">
        <x:is>
          <x:t xml:space="preserve">Use the story to show needing safe useful stops when plans change and end with one practical takeaway.</x:t>
        </x:is>
      </x:c>
      <x:c r="L245" s="110" t="inlineStr">
        <x:is>
          <x:t xml:space="preserve">Try Find Nearby when the plan changes.</x:t>
        </x:is>
      </x:c>
      <x:c r="M245" s="110" t="inlineStr">
        <x:is>
          <x:t xml:space="preserve">fuel/food/rest stop B-roll; captions; app screen-record; branded end card</x:t>
        </x:is>
      </x:c>
      <x:c r="N245" s="110" t="inlineStr">
        <x:is>
          <x:t xml:space="preserve">Medium</x:t>
        </x:is>
      </x:c>
      <x:c r="O245" s="110" t="n">
        <x:v>3</x:v>
      </x:c>
      <x:c r="P245" s="110" t="n">
        <x:v>5</x:v>
      </x:c>
      <x:c r="Q245" s="110" t="n">
        <x:v>3</x:v>
      </x:c>
      <x:c r="R245" s="110" t="n">
        <x:v>2</x:v>
      </x:c>
      <x:c r="S245" s="110" t="n">
        <x:v>2</x:v>
      </x:c>
      <x:c r="T245" s="110" t="n">
        <x:f>O245+P245+Q245+S245-R245</x:f>
        <x:v>11</x:v>
      </x:c>
      <x:c r="U245" s="110" t="inlineStr">
        <x:is>
          <x:t xml:space="preserve">Avoid naming unverified unsafe locations.</x:t>
        </x:is>
      </x:c>
      <x:c r="V245" s="110" t="inlineStr">
        <x:is>
          <x:t xml:space="preserve">Cut into a 15-sec hook, a Story poll and a carousel slide if it gets saves/comments.</x:t>
        </x:is>
      </x:c>
    </x:row>
    <x:row r="246" ht="58" customHeight="1">
      <x:c r="A246" s="117" t="n">
        <x:v>242</x:v>
      </x:c>
      <x:c r="B246" s="117" t="inlineStr">
        <x:is>
          <x:t xml:space="preserve">Product / Feature Proof</x:t>
        </x:is>
      </x:c>
      <x:c r="C246" s="117" t="inlineStr">
        <x:is>
          <x:t xml:space="preserve">Find Nearby</x:t>
        </x:is>
      </x:c>
      <x:c r="D246" s="117" t="inlineStr">
        <x:is>
          <x:t xml:space="preserve">Feature FAQ</x:t>
        </x:is>
      </x:c>
      <x:c r="E246" s="117" t="inlineStr">
        <x:is>
          <x:t xml:space="preserve">Long-distance driver</x:t>
        </x:is>
      </x:c>
      <x:c r="F246" s="117" t="inlineStr">
        <x:is>
          <x:t xml:space="preserve">Feature Discovery</x:t>
        </x:is>
      </x:c>
      <x:c r="G246" s="117" t="inlineStr">
        <x:is>
          <x:t xml:space="preserve">Carousel</x:t>
        </x:is>
      </x:c>
      <x:c r="H246" s="117" t="inlineStr">
        <x:is>
          <x:t xml:space="preserve">The question people ask about find nearby, answered simply.</x:t>
        </x:is>
      </x:c>
      <x:c r="I246" s="117" t="inlineStr">
        <x:is>
          <x:t xml:space="preserve">Carousel with one answer per slide; passenger request skit.</x:t>
        </x:is>
      </x:c>
      <x:c r="J246" s="117" t="inlineStr">
        <x:is>
          <x:t xml:space="preserve">Reduce confusion.</x:t>
        </x:is>
      </x:c>
      <x:c r="K246" s="117" t="inlineStr">
        <x:is>
          <x:t xml:space="preserve">Use the story to show needing safe useful stops when plans change and end with one practical takeaway.</x:t>
        </x:is>
      </x:c>
      <x:c r="L246" s="117" t="inlineStr">
        <x:is>
          <x:t xml:space="preserve">Try Find Nearby when the plan changes.</x:t>
        </x:is>
      </x:c>
      <x:c r="M246" s="117" t="inlineStr">
        <x:is>
          <x:t xml:space="preserve">passenger request skit; captions; app screen-record; branded end card</x:t>
        </x:is>
      </x:c>
      <x:c r="N246" s="117" t="inlineStr">
        <x:is>
          <x:t xml:space="preserve">High</x:t>
        </x:is>
      </x:c>
      <x:c r="O246" s="117" t="n">
        <x:v>3</x:v>
      </x:c>
      <x:c r="P246" s="117" t="n">
        <x:v>4</x:v>
      </x:c>
      <x:c r="Q246" s="117" t="n">
        <x:v>5</x:v>
      </x:c>
      <x:c r="R246" s="117" t="n">
        <x:v>3</x:v>
      </x:c>
      <x:c r="S246" s="117" t="n">
        <x:v>2</x:v>
      </x:c>
      <x:c r="T246" s="117" t="n">
        <x:f>O246+P246+Q246+S246-R246</x:f>
        <x:v>11</x:v>
      </x:c>
      <x:c r="U246" s="117" t="inlineStr">
        <x:is>
          <x:t xml:space="preserve">Avoid naming unverified unsafe locations.</x:t>
        </x:is>
      </x:c>
      <x:c r="V246" s="117" t="inlineStr">
        <x:is>
          <x:t xml:space="preserve">Cut into a 15-sec hook, a Story poll and a carousel slide if it gets saves/comments.</x:t>
        </x:is>
      </x:c>
    </x:row>
    <x:row r="247" ht="58" customHeight="1">
      <x:c r="A247" s="110" t="n">
        <x:v>243</x:v>
      </x:c>
      <x:c r="B247" s="110" t="inlineStr">
        <x:is>
          <x:t xml:space="preserve">Debate / Mythbusters</x:t>
        </x:is>
      </x:c>
      <x:c r="C247" s="110" t="inlineStr">
        <x:is>
          <x:t xml:space="preserve">Find Nearby</x:t>
        </x:is>
      </x:c>
      <x:c r="D247" s="110" t="inlineStr">
        <x:is>
          <x:t xml:space="preserve">Road Mythbusters</x:t>
        </x:is>
      </x:c>
      <x:c r="E247" s="110" t="inlineStr">
        <x:is>
          <x:t xml:space="preserve">Daily Nairobi commuter</x:t>
        </x:is>
      </x:c>
      <x:c r="F247" s="110" t="inlineStr">
        <x:is>
          <x:t xml:space="preserve">Engagement</x:t>
        </x:is>
      </x:c>
      <x:c r="G247" s="110" t="inlineStr">
        <x:is>
          <x:t xml:space="preserve">Story Poll</x:t>
        </x:is>
      </x:c>
      <x:c r="H247" s="110" t="inlineStr">
        <x:is>
          <x:t xml:space="preserve">Would you trust find nearby on a normal weekday drive?</x:t>
        </x:is>
      </x:c>
      <x:c r="I247" s="110" t="inlineStr">
        <x:is>
          <x:t xml:space="preserve">Poll sticker + quick setup; before/after plan.</x:t>
        </x:is>
      </x:c>
      <x:c r="J247" s="110" t="inlineStr">
        <x:is>
          <x:t xml:space="preserve">Low-friction responses.</x:t>
        </x:is>
      </x:c>
      <x:c r="K247" s="110" t="inlineStr">
        <x:is>
          <x:t xml:space="preserve">Use the story to show needing safe useful stops when plans change and end with one practical takeaway.</x:t>
        </x:is>
      </x:c>
      <x:c r="L247" s="110" t="inlineStr">
        <x:is>
          <x:t xml:space="preserve">Try Find Nearby when the plan changes.</x:t>
        </x:is>
      </x:c>
      <x:c r="M247" s="110" t="inlineStr">
        <x:is>
          <x:t xml:space="preserve">before/after plan; captions; app screen-record; branded end card</x:t>
        </x:is>
      </x:c>
      <x:c r="N247" s="110" t="inlineStr">
        <x:is>
          <x:t xml:space="preserve">Low</x:t>
        </x:is>
      </x:c>
      <x:c r="O247" s="110" t="n">
        <x:v>4</x:v>
      </x:c>
      <x:c r="P247" s="110" t="n">
        <x:v>4</x:v>
      </x:c>
      <x:c r="Q247" s="110" t="n">
        <x:v>3</x:v>
      </x:c>
      <x:c r="R247" s="110" t="n">
        <x:v>1</x:v>
      </x:c>
      <x:c r="S247" s="110" t="n">
        <x:v>2</x:v>
      </x:c>
      <x:c r="T247" s="110" t="n">
        <x:f>O247+P247+Q247+S247-R247</x:f>
        <x:v>12</x:v>
      </x:c>
      <x:c r="U247" s="110" t="inlineStr">
        <x:is>
          <x:t xml:space="preserve">Avoid naming unverified unsafe locations.</x:t>
        </x:is>
      </x:c>
      <x:c r="V247" s="110" t="inlineStr">
        <x:is>
          <x:t xml:space="preserve">Turn best responses into Comment-to-Video and add to next week’s road-check queue.</x:t>
        </x:is>
      </x:c>
    </x:row>
    <x:row r="248" ht="58" customHeight="1">
      <x:c r="A248" s="117" t="n">
        <x:v>244</x:v>
      </x:c>
      <x:c r="B248" s="117" t="inlineStr">
        <x:is>
          <x:t xml:space="preserve">Road Intelligence</x:t>
        </x:is>
      </x:c>
      <x:c r="C248" s="117" t="inlineStr">
        <x:is>
          <x:t xml:space="preserve">Find Nearby</x:t>
        </x:is>
      </x:c>
      <x:c r="D248" s="117" t="inlineStr">
        <x:is>
          <x:t xml:space="preserve">Msafiri Explains</x:t>
        </x:is>
      </x:c>
      <x:c r="E248" s="117" t="inlineStr">
        <x:is>
          <x:t xml:space="preserve">Family driver</x:t>
        </x:is>
      </x:c>
      <x:c r="F248" s="117" t="inlineStr">
        <x:is>
          <x:t xml:space="preserve">Trust</x:t>
        </x:is>
      </x:c>
      <x:c r="G248" s="117" t="inlineStr">
        <x:is>
          <x:t xml:space="preserve">Short-form video</x:t>
        </x:is>
      </x:c>
      <x:c r="H248" s="117" t="inlineStr">
        <x:is>
          <x:t xml:space="preserve">The road habit that makes needing safe useful stops when plans change worse.</x:t>
        </x:is>
      </x:c>
      <x:c r="I248" s="117" t="inlineStr">
        <x:is>
          <x:t xml:space="preserve">Explainer with road B-roll; road-trip POV.</x:t>
        </x:is>
      </x:c>
      <x:c r="J248" s="117" t="inlineStr">
        <x:is>
          <x:t xml:space="preserve">Teach without lecturing.</x:t>
        </x:is>
      </x:c>
      <x:c r="K248" s="117" t="inlineStr">
        <x:is>
          <x:t xml:space="preserve">Use the story to show needing safe useful stops when plans change and end with one practical takeaway.</x:t>
        </x:is>
      </x:c>
      <x:c r="L248" s="117" t="inlineStr">
        <x:is>
          <x:t xml:space="preserve">Try Find Nearby when the plan changes.</x:t>
        </x:is>
      </x:c>
      <x:c r="M248" s="117" t="inlineStr">
        <x:is>
          <x:t xml:space="preserve">road-trip POV; captions; app screen-record; branded end card</x:t>
        </x:is>
      </x:c>
      <x:c r="N248" s="117" t="inlineStr">
        <x:is>
          <x:t xml:space="preserve">Medium</x:t>
        </x:is>
      </x:c>
      <x:c r="O248" s="117" t="n">
        <x:v>3</x:v>
      </x:c>
      <x:c r="P248" s="117" t="n">
        <x:v>5</x:v>
      </x:c>
      <x:c r="Q248" s="117" t="n">
        <x:v>3</x:v>
      </x:c>
      <x:c r="R248" s="117" t="n">
        <x:v>2</x:v>
      </x:c>
      <x:c r="S248" s="117" t="n">
        <x:v>2</x:v>
      </x:c>
      <x:c r="T248" s="117" t="n">
        <x:f>O248+P248+Q248+S248-R248</x:f>
        <x:v>11</x:v>
      </x:c>
      <x:c r="U248" s="117" t="inlineStr">
        <x:is>
          <x:t xml:space="preserve">Avoid naming unverified unsafe locations.</x:t>
        </x:is>
      </x:c>
      <x:c r="V248" s="117" t="inlineStr">
        <x:is>
          <x:t xml:space="preserve">Cut into a 15-sec hook, a Story poll and a carousel slide if it gets saves/comments.</x:t>
        </x:is>
      </x:c>
    </x:row>
    <x:row r="249" ht="58" customHeight="1">
      <x:c r="A249" s="110" t="n">
        <x:v>245</x:v>
      </x:c>
      <x:c r="B249" s="110" t="inlineStr">
        <x:is>
          <x:t xml:space="preserve">Community / UGC</x:t>
        </x:is>
      </x:c>
      <x:c r="C249" s="110" t="inlineStr">
        <x:is>
          <x:t xml:space="preserve">Find Nearby</x:t>
        </x:is>
      </x:c>
      <x:c r="D249" s="110" t="inlineStr">
        <x:is>
          <x:t xml:space="preserve">Ask a Kenyan Driver</x:t>
        </x:is>
      </x:c>
      <x:c r="E249" s="110" t="inlineStr">
        <x:is>
          <x:t xml:space="preserve">Road-trip group</x:t>
        </x:is>
      </x:c>
      <x:c r="F249" s="110" t="inlineStr">
        <x:is>
          <x:t xml:space="preserve">Community</x:t>
        </x:is>
      </x:c>
      <x:c r="G249" s="110" t="inlineStr">
        <x:is>
          <x:t xml:space="preserve">Story Poll</x:t>
        </x:is>
      </x:c>
      <x:c r="H249" s="110" t="inlineStr">
        <x:is>
          <x:t xml:space="preserve">Choose our next test: find nearby on a commute or a road trip?</x:t>
        </x:is>
      </x:c>
      <x:c r="I249" s="110" t="inlineStr">
        <x:is>
          <x:t xml:space="preserve">Two-option story poll; search nearby screen.</x:t>
        </x:is>
      </x:c>
      <x:c r="J249" s="110" t="inlineStr">
        <x:is>
          <x:t xml:space="preserve">Audience participation.</x:t>
        </x:is>
      </x:c>
      <x:c r="K249" s="110" t="inlineStr">
        <x:is>
          <x:t xml:space="preserve">Use the story to show needing safe useful stops when plans change and end with one practical takeaway.</x:t>
        </x:is>
      </x:c>
      <x:c r="L249" s="110" t="inlineStr">
        <x:is>
          <x:t xml:space="preserve">Try Find Nearby when the plan changes.</x:t>
        </x:is>
      </x:c>
      <x:c r="M249" s="110" t="inlineStr">
        <x:is>
          <x:t xml:space="preserve">search nearby screen; captions; app screen-record; branded end card</x:t>
        </x:is>
      </x:c>
      <x:c r="N249" s="110" t="inlineStr">
        <x:is>
          <x:t xml:space="preserve">High</x:t>
        </x:is>
      </x:c>
      <x:c r="O249" s="110" t="n">
        <x:v>3</x:v>
      </x:c>
      <x:c r="P249" s="110" t="n">
        <x:v>4</x:v>
      </x:c>
      <x:c r="Q249" s="110" t="n">
        <x:v>3</x:v>
      </x:c>
      <x:c r="R249" s="110" t="n">
        <x:v>3</x:v>
      </x:c>
      <x:c r="S249" s="110" t="n">
        <x:v>2</x:v>
      </x:c>
      <x:c r="T249" s="110" t="n">
        <x:f>O249+P249+Q249+S249-R249</x:f>
        <x:v>9</x:v>
      </x:c>
      <x:c r="U249" s="110" t="inlineStr">
        <x:is>
          <x:t xml:space="preserve">Avoid naming unverified unsafe locations.</x:t>
        </x:is>
      </x:c>
      <x:c r="V249" s="110" t="inlineStr">
        <x:is>
          <x:t xml:space="preserve">Turn best responses into Comment-to-Video and add to next week’s road-check queue.</x:t>
        </x:is>
      </x:c>
    </x:row>
    <x:row r="250" ht="58" customHeight="1">
      <x:c r="A250" s="117" t="n">
        <x:v>246</x:v>
      </x:c>
      <x:c r="B250" s="117" t="inlineStr">
        <x:is>
          <x:t xml:space="preserve">Product / Feature Proof</x:t>
        </x:is>
      </x:c>
      <x:c r="C250" s="117" t="inlineStr">
        <x:is>
          <x:t xml:space="preserve">Find Nearby</x:t>
        </x:is>
      </x:c>
      <x:c r="D250" s="117" t="inlineStr">
        <x:is>
          <x:t xml:space="preserve">Feature Combo</x:t>
        </x:is>
      </x:c>
      <x:c r="E250" s="117" t="inlineStr">
        <x:is>
          <x:t xml:space="preserve">Long-distance driver</x:t>
        </x:is>
      </x:c>
      <x:c r="F250" s="117" t="inlineStr">
        <x:is>
          <x:t xml:space="preserve">Conversion</x:t>
        </x:is>
      </x:c>
      <x:c r="G250" s="117" t="inlineStr">
        <x:is>
          <x:t xml:space="preserve">Short-form video</x:t>
        </x:is>
      </x:c>
      <x:c r="H250" s="117" t="inlineStr">
        <x:is>
          <x:t xml:space="preserve">Two Msafiri features that work better together when needing safe useful stops when plans change.</x:t>
        </x:is>
      </x:c>
      <x:c r="I250" s="117" t="inlineStr">
        <x:is>
          <x:t xml:space="preserve">UI + real drive + end card; fuel/food/rest stop B-roll.</x:t>
        </x:is>
      </x:c>
      <x:c r="J250" s="117" t="inlineStr">
        <x:is>
          <x:t xml:space="preserve">Feature bundling.</x:t>
        </x:is>
      </x:c>
      <x:c r="K250" s="117" t="inlineStr">
        <x:is>
          <x:t xml:space="preserve">Use the story to show needing safe useful stops when plans change and end with one practical takeaway.</x:t>
        </x:is>
      </x:c>
      <x:c r="L250" s="117" t="inlineStr">
        <x:is>
          <x:t xml:space="preserve">Try Find Nearby when the plan changes.</x:t>
        </x:is>
      </x:c>
      <x:c r="M250" s="117" t="inlineStr">
        <x:is>
          <x:t xml:space="preserve">fuel/food/rest stop B-roll; captions; app screen-record; branded end card</x:t>
        </x:is>
      </x:c>
      <x:c r="N250" s="117" t="inlineStr">
        <x:is>
          <x:t xml:space="preserve">Low</x:t>
        </x:is>
      </x:c>
      <x:c r="O250" s="117" t="n">
        <x:v>3</x:v>
      </x:c>
      <x:c r="P250" s="117" t="n">
        <x:v>4</x:v>
      </x:c>
      <x:c r="Q250" s="117" t="n">
        <x:v>5</x:v>
      </x:c>
      <x:c r="R250" s="117" t="n">
        <x:v>1</x:v>
      </x:c>
      <x:c r="S250" s="117" t="n">
        <x:v>2</x:v>
      </x:c>
      <x:c r="T250" s="117" t="n">
        <x:f>O250+P250+Q250+S250-R250</x:f>
        <x:v>13</x:v>
      </x:c>
      <x:c r="U250" s="117" t="inlineStr">
        <x:is>
          <x:t xml:space="preserve">Avoid naming unverified unsafe locations.</x:t>
        </x:is>
      </x:c>
      <x:c r="V250" s="117" t="inlineStr">
        <x:is>
          <x:t xml:space="preserve">Cut into a 15-sec hook, a Story poll and a carousel slide if it gets saves/comments.</x:t>
        </x:is>
      </x:c>
    </x:row>
    <x:row r="251" ht="58" customHeight="1">
      <x:c r="A251" s="110" t="n">
        <x:v>247</x:v>
      </x:c>
      <x:c r="B251" s="110" t="inlineStr">
        <x:is>
          <x:t xml:space="preserve">Education / Safety</x:t>
        </x:is>
      </x:c>
      <x:c r="C251" s="110" t="inlineStr">
        <x:is>
          <x:t xml:space="preserve">Find Nearby</x:t>
        </x:is>
      </x:c>
      <x:c r="D251" s="110" t="inlineStr">
        <x:is>
          <x:t xml:space="preserve">What Not To Do</x:t>
        </x:is>
      </x:c>
      <x:c r="E251" s="110" t="inlineStr">
        <x:is>
          <x:t xml:space="preserve">Daily Nairobi commuter</x:t>
        </x:is>
      </x:c>
      <x:c r="F251" s="110" t="inlineStr">
        <x:is>
          <x:t xml:space="preserve">Retention</x:t>
        </x:is>
      </x:c>
      <x:c r="G251" s="110" t="inlineStr">
        <x:is>
          <x:t xml:space="preserve">Short-form video</x:t>
        </x:is>
      </x:c>
      <x:c r="H251" s="110" t="inlineStr">
        <x:is>
          <x:t xml:space="preserve">Do not make this mistake when needing safe useful stops when plans change.</x:t>
        </x:is>
      </x:c>
      <x:c r="I251" s="110" t="inlineStr">
        <x:is>
          <x:t xml:space="preserve">Wrong vs right mini demo; passenger request skit.</x:t>
        </x:is>
      </x:c>
      <x:c r="J251" s="110" t="inlineStr">
        <x:is>
          <x:t xml:space="preserve">Memorable caution.</x:t>
        </x:is>
      </x:c>
      <x:c r="K251" s="110" t="inlineStr">
        <x:is>
          <x:t xml:space="preserve">Use the story to show needing safe useful stops when plans change and end with one practical takeaway.</x:t>
        </x:is>
      </x:c>
      <x:c r="L251" s="110" t="inlineStr">
        <x:is>
          <x:t xml:space="preserve">Try Find Nearby when the plan changes.</x:t>
        </x:is>
      </x:c>
      <x:c r="M251" s="110" t="inlineStr">
        <x:is>
          <x:t xml:space="preserve">passenger request skit; captions; app screen-record; branded end card</x:t>
        </x:is>
      </x:c>
      <x:c r="N251" s="110" t="inlineStr">
        <x:is>
          <x:t xml:space="preserve">Medium</x:t>
        </x:is>
      </x:c>
      <x:c r="O251" s="110" t="n">
        <x:v>3</x:v>
      </x:c>
      <x:c r="P251" s="110" t="n">
        <x:v>5</x:v>
      </x:c>
      <x:c r="Q251" s="110" t="n">
        <x:v>3</x:v>
      </x:c>
      <x:c r="R251" s="110" t="n">
        <x:v>2</x:v>
      </x:c>
      <x:c r="S251" s="110" t="n">
        <x:v>2</x:v>
      </x:c>
      <x:c r="T251" s="110" t="n">
        <x:f>O251+P251+Q251+S251-R251</x:f>
        <x:v>11</x:v>
      </x:c>
      <x:c r="U251" s="110" t="inlineStr">
        <x:is>
          <x:t xml:space="preserve">Avoid naming unverified unsafe locations.</x:t>
        </x:is>
      </x:c>
      <x:c r="V251" s="110" t="inlineStr">
        <x:is>
          <x:t xml:space="preserve">Cut into a 15-sec hook, a Story poll and a carousel slide if it gets saves/comments.</x:t>
        </x:is>
      </x:c>
    </x:row>
    <x:row r="252" ht="58" customHeight="1">
      <x:c r="A252" s="117" t="n">
        <x:v>248</x:v>
      </x:c>
      <x:c r="B252" s="117" t="inlineStr">
        <x:is>
          <x:t xml:space="preserve">Founder / BTS</x:t>
        </x:is>
      </x:c>
      <x:c r="C252" s="117" t="inlineStr">
        <x:is>
          <x:t xml:space="preserve">Find Nearby</x:t>
        </x:is>
      </x:c>
      <x:c r="D252" s="117" t="inlineStr">
        <x:is>
          <x:t xml:space="preserve">Founder Files</x:t>
        </x:is>
      </x:c>
      <x:c r="E252" s="117" t="inlineStr">
        <x:is>
          <x:t xml:space="preserve">Family driver</x:t>
        </x:is>
      </x:c>
      <x:c r="F252" s="117" t="inlineStr">
        <x:is>
          <x:t xml:space="preserve">Trust</x:t>
        </x:is>
      </x:c>
      <x:c r="G252" s="117" t="inlineStr">
        <x:is>
          <x:t xml:space="preserve">Founder-to-camera</x:t>
        </x:is>
      </x:c>
      <x:c r="H252" s="117" t="inlineStr">
        <x:is>
          <x:t xml:space="preserve">The most uncomfortable truth about building find nearby.</x:t>
        </x:is>
      </x:c>
      <x:c r="I252" s="117" t="inlineStr">
        <x:is>
          <x:t xml:space="preserve">Founder honest reflection; before/after plan.</x:t>
        </x:is>
      </x:c>
      <x:c r="J252" s="117" t="inlineStr">
        <x:is>
          <x:t xml:space="preserve">Trust through honesty.</x:t>
        </x:is>
      </x:c>
      <x:c r="K252" s="117" t="inlineStr">
        <x:is>
          <x:t xml:space="preserve">Use the story to show needing safe useful stops when plans change and end with one practical takeaway.</x:t>
        </x:is>
      </x:c>
      <x:c r="L252" s="117" t="inlineStr">
        <x:is>
          <x:t xml:space="preserve">Try Find Nearby when the plan changes.</x:t>
        </x:is>
      </x:c>
      <x:c r="M252" s="117" t="inlineStr">
        <x:is>
          <x:t xml:space="preserve">before/after plan; captions; app screen-record; branded end card</x:t>
        </x:is>
      </x:c>
      <x:c r="N252" s="117" t="inlineStr">
        <x:is>
          <x:t xml:space="preserve">High</x:t>
        </x:is>
      </x:c>
      <x:c r="O252" s="117" t="n">
        <x:v>3</x:v>
      </x:c>
      <x:c r="P252" s="117" t="n">
        <x:v>4</x:v>
      </x:c>
      <x:c r="Q252" s="117" t="n">
        <x:v>3</x:v>
      </x:c>
      <x:c r="R252" s="117" t="n">
        <x:v>3</x:v>
      </x:c>
      <x:c r="S252" s="117" t="n">
        <x:v>2</x:v>
      </x:c>
      <x:c r="T252" s="117" t="n">
        <x:f>O252+P252+Q252+S252-R252</x:f>
        <x:v>9</x:v>
      </x:c>
      <x:c r="U252" s="117" t="inlineStr">
        <x:is>
          <x:t xml:space="preserve">Avoid naming unverified unsafe locations.</x:t>
        </x:is>
      </x:c>
      <x:c r="V252" s="117" t="inlineStr">
        <x:is>
          <x:t xml:space="preserve">Cut into a 15-sec hook, a Story poll and a carousel slide if it gets saves/comments.</x:t>
        </x:is>
      </x:c>
    </x:row>
    <x:row r="253" ht="58" customHeight="1">
      <x:c r="A253" s="110" t="n">
        <x:v>249</x:v>
      </x:c>
      <x:c r="B253" s="110" t="inlineStr">
        <x:is>
          <x:t xml:space="preserve">Road Intelligence</x:t>
        </x:is>
      </x:c>
      <x:c r="C253" s="110" t="inlineStr">
        <x:is>
          <x:t xml:space="preserve">Find Nearby</x:t>
        </x:is>
      </x:c>
      <x:c r="D253" s="110" t="inlineStr">
        <x:is>
          <x:t xml:space="preserve">Map vs Reality</x:t>
        </x:is>
      </x:c>
      <x:c r="E253" s="110" t="inlineStr">
        <x:is>
          <x:t xml:space="preserve">Road-trip group</x:t>
        </x:is>
      </x:c>
      <x:c r="F253" s="110" t="inlineStr">
        <x:is>
          <x:t xml:space="preserve">Awareness</x:t>
        </x:is>
      </x:c>
      <x:c r="G253" s="110" t="inlineStr">
        <x:is>
          <x:t xml:space="preserve">POV Drive</x:t>
        </x:is>
      </x:c>
      <x:c r="H253" s="110" t="inlineStr">
        <x:is>
          <x:t xml:space="preserve">The map says one thing; the road says another.</x:t>
        </x:is>
      </x:c>
      <x:c r="I253" s="110" t="inlineStr">
        <x:is>
          <x:t xml:space="preserve">Map overlay + road footage; road-trip POV.</x:t>
        </x:is>
      </x:c>
      <x:c r="J253" s="110" t="inlineStr">
        <x:is>
          <x:t xml:space="preserve">Road-intelligence authority.</x:t>
        </x:is>
      </x:c>
      <x:c r="K253" s="110" t="inlineStr">
        <x:is>
          <x:t xml:space="preserve">Use the story to show needing safe useful stops when plans change and end with one practical takeaway.</x:t>
        </x:is>
      </x:c>
      <x:c r="L253" s="110" t="inlineStr">
        <x:is>
          <x:t xml:space="preserve">Try Find Nearby when the plan changes.</x:t>
        </x:is>
      </x:c>
      <x:c r="M253" s="110" t="inlineStr">
        <x:is>
          <x:t xml:space="preserve">road-trip POV; captions; app screen-record; branded end card</x:t>
        </x:is>
      </x:c>
      <x:c r="N253" s="110" t="inlineStr">
        <x:is>
          <x:t xml:space="preserve">Low</x:t>
        </x:is>
      </x:c>
      <x:c r="O253" s="110" t="n">
        <x:v>3</x:v>
      </x:c>
      <x:c r="P253" s="110" t="n">
        <x:v>5</x:v>
      </x:c>
      <x:c r="Q253" s="110" t="n">
        <x:v>3</x:v>
      </x:c>
      <x:c r="R253" s="110" t="n">
        <x:v>1</x:v>
      </x:c>
      <x:c r="S253" s="110" t="n">
        <x:v>2</x:v>
      </x:c>
      <x:c r="T253" s="110" t="n">
        <x:f>O253+P253+Q253+S253-R253</x:f>
        <x:v>12</x:v>
      </x:c>
      <x:c r="U253" s="110" t="inlineStr">
        <x:is>
          <x:t xml:space="preserve">Avoid naming unverified unsafe locations.</x:t>
        </x:is>
      </x:c>
      <x:c r="V253" s="110" t="inlineStr">
        <x:is>
          <x:t xml:space="preserve">Cut into a 15-sec hook, a Story poll and a carousel slide if it gets saves/comments.</x:t>
        </x:is>
      </x:c>
    </x:row>
    <x:row r="254" ht="58" customHeight="1">
      <x:c r="A254" s="117" t="n">
        <x:v>250</x:v>
      </x:c>
      <x:c r="B254" s="117" t="inlineStr">
        <x:is>
          <x:t xml:space="preserve">Product / Feature Proof</x:t>
        </x:is>
      </x:c>
      <x:c r="C254" s="117" t="inlineStr">
        <x:is>
          <x:t xml:space="preserve">Find Nearby</x:t>
        </x:is>
      </x:c>
      <x:c r="D254" s="117" t="inlineStr">
        <x:is>
          <x:t xml:space="preserve">One-Tap Test</x:t>
        </x:is>
      </x:c>
      <x:c r="E254" s="117" t="inlineStr">
        <x:is>
          <x:t xml:space="preserve">Long-distance driver</x:t>
        </x:is>
      </x:c>
      <x:c r="F254" s="117" t="inlineStr">
        <x:is>
          <x:t xml:space="preserve">Feature Discovery</x:t>
        </x:is>
      </x:c>
      <x:c r="G254" s="117" t="inlineStr">
        <x:is>
          <x:t xml:space="preserve">Screen-record Demo</x:t>
        </x:is>
      </x:c>
      <x:c r="H254" s="117" t="inlineStr">
        <x:is>
          <x:t xml:space="preserve">How fast can you set up find nearby before leaving?</x:t>
        </x:is>
      </x:c>
      <x:c r="I254" s="117" t="inlineStr">
        <x:is>
          <x:t xml:space="preserve">Timer + UI taps; search nearby screen.</x:t>
        </x:is>
      </x:c>
      <x:c r="J254" s="117" t="inlineStr">
        <x:is>
          <x:t xml:space="preserve">Lower adoption friction.</x:t>
        </x:is>
      </x:c>
      <x:c r="K254" s="117" t="inlineStr">
        <x:is>
          <x:t xml:space="preserve">Use the story to show needing safe useful stops when plans change and end with one practical takeaway.</x:t>
        </x:is>
      </x:c>
      <x:c r="L254" s="117" t="inlineStr">
        <x:is>
          <x:t xml:space="preserve">Try Find Nearby when the plan changes.</x:t>
        </x:is>
      </x:c>
      <x:c r="M254" s="117" t="inlineStr">
        <x:is>
          <x:t xml:space="preserve">search nearby screen; captions; app screen-record; branded end card</x:t>
        </x:is>
      </x:c>
      <x:c r="N254" s="117" t="inlineStr">
        <x:is>
          <x:t xml:space="preserve">Medium</x:t>
        </x:is>
      </x:c>
      <x:c r="O254" s="117" t="n">
        <x:v>3</x:v>
      </x:c>
      <x:c r="P254" s="117" t="n">
        <x:v>4</x:v>
      </x:c>
      <x:c r="Q254" s="117" t="n">
        <x:v>5</x:v>
      </x:c>
      <x:c r="R254" s="117" t="n">
        <x:v>2</x:v>
      </x:c>
      <x:c r="S254" s="117" t="n">
        <x:v>2</x:v>
      </x:c>
      <x:c r="T254" s="117" t="n">
        <x:f>O254+P254+Q254+S254-R254</x:f>
        <x:v>12</x:v>
      </x:c>
      <x:c r="U254" s="117" t="inlineStr">
        <x:is>
          <x:t xml:space="preserve">Avoid naming unverified unsafe locations.</x:t>
        </x:is>
      </x:c>
      <x:c r="V254" s="117" t="inlineStr">
        <x:is>
          <x:t xml:space="preserve">Cut into a 15-sec hook, a Story poll and a carousel slide if it gets saves/comments.</x:t>
        </x:is>
      </x:c>
    </x:row>
    <x:row r="255" ht="58" customHeight="1">
      <x:c r="A255" s="110" t="n">
        <x:v>251</x:v>
      </x:c>
      <x:c r="B255" s="110" t="inlineStr">
        <x:is>
          <x:t xml:space="preserve">Community / UGC</x:t>
        </x:is>
      </x:c>
      <x:c r="C255" s="110" t="inlineStr">
        <x:is>
          <x:t xml:space="preserve">Find Nearby</x:t>
        </x:is>
      </x:c>
      <x:c r="D255" s="110" t="inlineStr">
        <x:is>
          <x:t xml:space="preserve">UGC Prompt</x:t>
        </x:is>
      </x:c>
      <x:c r="E255" s="110" t="inlineStr">
        <x:is>
          <x:t xml:space="preserve">Daily Nairobi commuter</x:t>
        </x:is>
      </x:c>
      <x:c r="F255" s="110" t="inlineStr">
        <x:is>
          <x:t xml:space="preserve">Community</x:t>
        </x:is>
      </x:c>
      <x:c r="G255" s="110" t="inlineStr">
        <x:is>
          <x:t xml:space="preserve">Static Graphic</x:t>
        </x:is>
      </x:c>
      <x:c r="H255" s="110" t="inlineStr">
        <x:is>
          <x:t xml:space="preserve">Tell us your find nearby story and we may feature it.</x:t>
        </x:is>
      </x:c>
      <x:c r="I255" s="110" t="inlineStr">
        <x:is>
          <x:t xml:space="preserve">Branded prompt graphic; fuel/food/rest stop B-roll.</x:t>
        </x:is>
      </x:c>
      <x:c r="J255" s="110" t="inlineStr">
        <x:is>
          <x:t xml:space="preserve">User-generated content pipeline.</x:t>
        </x:is>
      </x:c>
      <x:c r="K255" s="110" t="inlineStr">
        <x:is>
          <x:t xml:space="preserve">Use the story to show needing safe useful stops when plans change and end with one practical takeaway.</x:t>
        </x:is>
      </x:c>
      <x:c r="L255" s="110" t="inlineStr">
        <x:is>
          <x:t xml:space="preserve">Try Find Nearby when the plan changes.</x:t>
        </x:is>
      </x:c>
      <x:c r="M255" s="110" t="inlineStr">
        <x:is>
          <x:t xml:space="preserve">fuel/food/rest stop B-roll; captions; app screen-record; branded end card</x:t>
        </x:is>
      </x:c>
      <x:c r="N255" s="110" t="inlineStr">
        <x:is>
          <x:t xml:space="preserve">High</x:t>
        </x:is>
      </x:c>
      <x:c r="O255" s="110" t="n">
        <x:v>3</x:v>
      </x:c>
      <x:c r="P255" s="110" t="n">
        <x:v>4</x:v>
      </x:c>
      <x:c r="Q255" s="110" t="n">
        <x:v>3</x:v>
      </x:c>
      <x:c r="R255" s="110" t="n">
        <x:v>3</x:v>
      </x:c>
      <x:c r="S255" s="110" t="n">
        <x:v>2</x:v>
      </x:c>
      <x:c r="T255" s="110" t="n">
        <x:f>O255+P255+Q255+S255-R255</x:f>
        <x:v>9</x:v>
      </x:c>
      <x:c r="U255" s="110" t="inlineStr">
        <x:is>
          <x:t xml:space="preserve">Avoid naming unverified unsafe locations.</x:t>
        </x:is>
      </x:c>
      <x:c r="V255" s="110" t="inlineStr">
        <x:is>
          <x:t xml:space="preserve">Turn best responses into Comment-to-Video and add to next week’s road-check queue.</x:t>
        </x:is>
      </x:c>
    </x:row>
    <x:row r="256" ht="58" customHeight="1">
      <x:c r="A256" s="117" t="n">
        <x:v>252</x:v>
      </x:c>
      <x:c r="B256" s="117" t="inlineStr">
        <x:is>
          <x:t xml:space="preserve">Seasonal Campaign</x:t>
        </x:is>
      </x:c>
      <x:c r="C256" s="117" t="inlineStr">
        <x:is>
          <x:t xml:space="preserve">Find Nearby</x:t>
        </x:is>
      </x:c>
      <x:c r="D256" s="117" t="inlineStr">
        <x:is>
          <x:t xml:space="preserve">End-Year Road Prep</x:t>
        </x:is>
      </x:c>
      <x:c r="E256" s="117" t="inlineStr">
        <x:is>
          <x:t xml:space="preserve">Family driver</x:t>
        </x:is>
      </x:c>
      <x:c r="F256" s="117" t="inlineStr">
        <x:is>
          <x:t xml:space="preserve">Conversion</x:t>
        </x:is>
      </x:c>
      <x:c r="G256" s="117" t="inlineStr">
        <x:is>
          <x:t xml:space="preserve">Hero / Reel</x:t>
        </x:is>
      </x:c>
      <x:c r="H256" s="117" t="inlineStr">
        <x:is>
          <x:t xml:space="preserve">Before the December drive, open Msafiri and check this.</x:t>
        </x:is>
      </x:c>
      <x:c r="I256" s="117" t="inlineStr">
        <x:is>
          <x:t xml:space="preserve">December packing + app + road POV; passenger request skit.</x:t>
        </x:is>
      </x:c>
      <x:c r="J256" s="117" t="inlineStr">
        <x:is>
          <x:t xml:space="preserve">Seasonal conversion.</x:t>
        </x:is>
      </x:c>
      <x:c r="K256" s="117" t="inlineStr">
        <x:is>
          <x:t xml:space="preserve">Use the story to show needing safe useful stops when plans change and end with one practical takeaway.</x:t>
        </x:is>
      </x:c>
      <x:c r="L256" s="117" t="inlineStr">
        <x:is>
          <x:t xml:space="preserve">Try Find Nearby when the plan changes.</x:t>
        </x:is>
      </x:c>
      <x:c r="M256" s="117" t="inlineStr">
        <x:is>
          <x:t xml:space="preserve">passenger request skit; captions; app screen-record; branded end card</x:t>
        </x:is>
      </x:c>
      <x:c r="N256" s="117" t="inlineStr">
        <x:is>
          <x:t xml:space="preserve">Low</x:t>
        </x:is>
      </x:c>
      <x:c r="O256" s="117" t="n">
        <x:v>4</x:v>
      </x:c>
      <x:c r="P256" s="117" t="n">
        <x:v>4</x:v>
      </x:c>
      <x:c r="Q256" s="117" t="n">
        <x:v>5</x:v>
      </x:c>
      <x:c r="R256" s="117" t="n">
        <x:v>1</x:v>
      </x:c>
      <x:c r="S256" s="117" t="n">
        <x:v>4</x:v>
      </x:c>
      <x:c r="T256" s="117" t="n">
        <x:f>O256+P256+Q256+S256-R256</x:f>
        <x:v>16</x:v>
      </x:c>
      <x:c r="U256" s="117" t="inlineStr">
        <x:is>
          <x:t xml:space="preserve">Avoid naming unverified unsafe locations.</x:t>
        </x:is>
      </x:c>
      <x:c r="V256" s="117" t="inlineStr">
        <x:is>
          <x:t xml:space="preserve">Cut into a 15-sec hook, a Story poll and a carousel slide if it gets saves/comments.</x:t>
        </x:is>
      </x:c>
    </x:row>
  </x:sheetData>
  <x:mergeCells>
    <x:mergeCell ref="A2:V2"/>
    <x:mergeCell ref="A1:V1"/>
  </x:mergeCells>
  <x:conditionalFormatting sqref="T5:T256">
    <x:cfRule type="cellIs" dxfId="11" priority="1" operator="greaterThanOrEqual">
      <x:formula>12</x:formula>
    </x:cfRule>
    <x:cfRule type="cellIs" dxfId="13" priority="2" operator="lessThanOrEqual">
      <x:formula>8</x:formula>
    </x:cfRule>
  </x:conditionalFormatting>
  <x:dataValidations count="8">
    <x:dataValidation type="list" allowBlank="1" showDropDown="0" showInputMessage="0" showErrorMessage="0" sqref="B5:B1000">
      <x:formula1>"Kenyan Driving Reality,Road Intelligence,Product / Feature Proof,Accident Readiness,Founder / BTS,Community / UGC,Education / Safety,Debate / Mythbusters,Seasonal Campaign"</x:formula1>
    </x:dataValidation>
    <x:dataValidation type="list" allowBlank="1" showDropDown="0" showInputMessage="0" showErrorMessage="0" sqref="C5:C1000">
      <x:formula1>"Speed camera alerts,Built-in Dashcam,Accident Assistant,Insurance-ready reports,Alcoblow / sober-driving reminders,Road alerts,Vehicle care,Trips / trip sharing,Find Nearby"</x:formula1>
    </x:dataValidation>
    <x:dataValidation type="list" allowBlank="1" showDropDown="0" showInputMessage="0" showErrorMessage="0" sqref="D5:D1000">
      <x:formula1>"Msafiri Road Check,Feature in the Wild,Kenyan Driver Problems,Would You Know What To Do?,Founder Files,Ask a Kenyan Driver,Msafiri Explains,Road Mythbusters,Driver Confessions,One Minute Road Safety,Can Msafiri Do This?,Road Trip POV,Before You Drive,Comment-to-Video,Build With Peter,Holiday Road Prep"</x:formula1>
    </x:dataValidation>
    <x:dataValidation type="list" allowBlank="1" showDropDown="0" showInputMessage="0" showErrorMessage="0" sqref="E5:E1000">
      <x:formula1>"Daily Nairobi commuter,Long-distance driver,Family driver,New driver,Car owner,Professional driver,Road-trip group,Safety-conscious passenger,Founder/tech audience,General Kenyan driver"</x:formula1>
    </x:dataValidation>
    <x:dataValidation type="list" allowBlank="1" showDropDown="0" showInputMessage="0" showErrorMessage="0" sqref="F5:F1000">
      <x:formula1>"Awareness,Engagement,Trust,Feature Discovery,Conversion,Retention,Community"</x:formula1>
    </x:dataValidation>
    <x:dataValidation type="list" allowBlank="1" showDropDown="0" showInputMessage="0" showErrorMessage="0" sqref="G5:G1000">
      <x:formula1>"Hero / Reel,Short-form video,POV Drive,Founder-to-camera,Street Interview,Skit,Carousel,Checklist Reel,Screen-record Demo,Community Reply,YouTube Short,Live / Q&amp;A,Static Graphic,Story Poll"</x:formula1>
    </x:dataValidation>
    <x:dataValidation type="list" allowBlank="1" showDropDown="0" showInputMessage="0" showErrorMessage="0" sqref="N5:N1000">
      <x:formula1>"Low,Medium,High"</x:formula1>
    </x:dataValidation>
    <x:dataValidation type="list" allowBlank="1" showDropDown="0" showInputMessage="0" showErrorMessage="0" sqref="N5:N256">
      <x:formula1>"Low,Medium,High"</x:formula1>
    </x:dataValidation>
  </x:dataValidations>
  <x:pageMargins left="0.7" right="0.7" top="0.75" bottom="0.75" header="0.3" footer="0.3"/>
  <x:legacyDrawing xmlns:r="http://schemas.openxmlformats.org/officeDocument/2006/relationships" r:id="Ra34973c0fec7428a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48" customWidth="1"/>
    <x:col min="3" max="3" width="44" customWidth="1"/>
    <x:col min="4" max="4" width="54" customWidth="1"/>
    <x:col min="5" max="5" width="44" customWidth="1"/>
    <x:col min="6" max="6" width="24" customWidth="1"/>
    <x:col min="7" max="7" width="36" customWidth="1"/>
    <x:col min="8" max="8" width="26" customWidth="1"/>
    <x:col min="9" max="9" width="48" customWidth="1"/>
    <x:col min="10" max="10" width="44" customWidth="1"/>
  </x:cols>
  <x:sheetData>
    <x:row r="1" ht="28" customHeight="1">
      <x:c r="A1" s="106" t="inlineStr">
        <x:is>
          <x:t xml:space="preserve">SERIES PLAYBOOK</x:t>
        </x:is>
      </x:c>
    </x:row>
    <x:row r="2" ht="34" customHeight="1">
      <x:c r="A2" s="107" t="inlineStr">
        <x:is>
          <x:t xml:space="preserve">Recurring series keep the brand recognizable while letting each post feel different.</x:t>
        </x:is>
      </x:c>
    </x:row>
    <x:row r="3"/>
    <x:row r="4" ht="36" customHeight="1">
      <x:c r="A4" s="108" t="inlineStr">
        <x:is>
          <x:t xml:space="preserve">Series</x:t>
        </x:is>
      </x:c>
      <x:c r="B4" s="108" t="inlineStr">
        <x:is>
          <x:t xml:space="preserve">Purpose</x:t>
        </x:is>
      </x:c>
      <x:c r="C4" s="108" t="inlineStr">
        <x:is>
          <x:t xml:space="preserve">Audience Promise</x:t>
        </x:is>
      </x:c>
      <x:c r="D4" s="108" t="inlineStr">
        <x:is>
          <x:t xml:space="preserve">Episode Structure</x:t>
        </x:is>
      </x:c>
      <x:c r="E4" s="108" t="inlineStr">
        <x:is>
          <x:t xml:space="preserve">Signature Shots</x:t>
        </x:is>
      </x:c>
      <x:c r="F4" s="108" t="inlineStr">
        <x:is>
          <x:t xml:space="preserve">Recommended Frequency</x:t>
        </x:is>
      </x:c>
      <x:c r="G4" s="108" t="inlineStr">
        <x:is>
          <x:t xml:space="preserve">Best Platforms</x:t>
        </x:is>
      </x:c>
      <x:c r="H4" s="108" t="inlineStr">
        <x:is>
          <x:t xml:space="preserve">Primary KPI</x:t>
        </x:is>
      </x:c>
      <x:c r="I4" s="108" t="inlineStr">
        <x:is>
          <x:t xml:space="preserve">Variation Ideas</x:t>
        </x:is>
      </x:c>
      <x:c r="J4" s="108" t="inlineStr">
        <x:is>
          <x:t xml:space="preserve">Avoid</x:t>
        </x:is>
      </x:c>
    </x:row>
    <x:row r="5" ht="70" customHeight="1">
      <x:c r="A5" s="110" t="inlineStr">
        <x:is>
          <x:t xml:space="preserve">Msafiri Road Check</x:t>
        </x:is>
      </x:c>
      <x:c r="B5" s="110" t="inlineStr">
        <x:is>
          <x:t xml:space="preserve">Own road intelligence and make Msafiri the page drivers check before routes.</x:t>
        </x:is>
      </x:c>
      <x:c r="C5" s="110" t="inlineStr">
        <x:is>
          <x:t xml:space="preserve">We will show you what a road feels like before you drive it.</x:t>
        </x:is>
      </x:c>
      <x:c r="D5" s="110" t="inlineStr">
        <x:is>
          <x:t xml:space="preserve">Hook route → 3 road moments → Msafiri angle → save/share CTA.</x:t>
        </x:is>
      </x:c>
      <x:c r="E5" s="110" t="inlineStr">
        <x:is>
          <x:t xml:space="preserve">POV drive, map/context overlay, dashboard/phone mount, road sign cutaways.</x:t>
        </x:is>
      </x:c>
      <x:c r="F5" s="110" t="inlineStr">
        <x:is>
          <x:t xml:space="preserve">1x/week hero + cutdowns</x:t>
        </x:is>
      </x:c>
      <x:c r="G5" s="110" t="inlineStr">
        <x:is>
          <x:t xml:space="preserve">TikTok, IG Reels, YouTube Shorts, Facebook, YouTube</x:t>
        </x:is>
      </x:c>
      <x:c r="H5" s="110" t="inlineStr">
        <x:is>
          <x:t xml:space="preserve">3-sec hold, saves, comments</x:t>
        </x:is>
      </x:c>
      <x:c r="I5" s="110" t="inlineStr">
        <x:is>
          <x:t xml:space="preserve">Audience-nominated road, holiday route, rainy-day route, night route.</x:t>
        </x:is>
      </x:c>
      <x:c r="J5" s="110" t="inlineStr">
        <x:is>
          <x:t xml:space="preserve">Unverified claims or exact unsafe location callouts.</x:t>
        </x:is>
      </x:c>
    </x:row>
    <x:row r="6" ht="70" customHeight="1">
      <x:c r="A6" s="117" t="inlineStr">
        <x:is>
          <x:t xml:space="preserve">Feature in the Wild</x:t>
        </x:is>
      </x:c>
      <x:c r="B6" s="117" t="inlineStr">
        <x:is>
          <x:t xml:space="preserve">Demonstrate product value in real driving contexts.</x:t>
        </x:is>
      </x:c>
      <x:c r="C6" s="117" t="inlineStr">
        <x:is>
          <x:t xml:space="preserve">This feature has a real use case, not just a nice screen.</x:t>
        </x:is>
      </x:c>
      <x:c r="D6" s="117" t="inlineStr">
        <x:is>
          <x:t xml:space="preserve">Problem moment → quick demo → result → CTA.</x:t>
        </x:is>
      </x:c>
      <x:c r="E6" s="117" t="inlineStr">
        <x:is>
          <x:t xml:space="preserve">Screen-record, phone mount, before/after, clean end card.</x:t>
        </x:is>
      </x:c>
      <x:c r="F6" s="117" t="inlineStr">
        <x:is>
          <x:t xml:space="preserve">1–2x/week</x:t>
        </x:is>
      </x:c>
      <x:c r="G6" s="117" t="inlineStr">
        <x:is>
          <x:t xml:space="preserve">All short-form platforms</x:t>
        </x:is>
      </x:c>
      <x:c r="H6" s="117" t="inlineStr">
        <x:is>
          <x:t xml:space="preserve">App store clicks</x:t>
        </x:is>
      </x:c>
      <x:c r="I6" s="117" t="inlineStr">
        <x:is>
          <x:t xml:space="preserve">Timer tests, before/after, one-tap demos, feature combo.</x:t>
        </x:is>
      </x:c>
      <x:c r="J6" s="117" t="inlineStr">
        <x:is>
          <x:t xml:space="preserve">Long UI walkthroughs with no driving context.</x:t>
        </x:is>
      </x:c>
    </x:row>
    <x:row r="7" ht="70" customHeight="1">
      <x:c r="A7" s="110" t="inlineStr">
        <x:is>
          <x:t xml:space="preserve">Kenyan Driver Problems</x:t>
        </x:is>
      </x:c>
      <x:c r="B7" s="110" t="inlineStr">
        <x:is>
          <x:t xml:space="preserve">Create shareable relatable content that earns reach.</x:t>
        </x:is>
      </x:c>
      <x:c r="C7" s="110" t="inlineStr">
        <x:is>
          <x:t xml:space="preserve">You are not the only one who experiences this on Kenyan roads.</x:t>
        </x:is>
      </x:c>
      <x:c r="D7" s="110" t="inlineStr">
        <x:is>
          <x:t xml:space="preserve">POV setup → relatable conflict → twist → Msafiri safety/product nudge.</x:t>
        </x:is>
      </x:c>
      <x:c r="E7" s="110" t="inlineStr">
        <x:is>
          <x:t xml:space="preserve">Passenger/driver skit, fast captions, local road B-roll.</x:t>
        </x:is>
      </x:c>
      <x:c r="F7" s="110" t="inlineStr">
        <x:is>
          <x:t xml:space="preserve">1x/week</x:t>
        </x:is>
      </x:c>
      <x:c r="G7" s="110" t="inlineStr">
        <x:is>
          <x:t xml:space="preserve">TikTok, IG, Facebook Reels</x:t>
        </x:is>
      </x:c>
      <x:c r="H7" s="110" t="inlineStr">
        <x:is>
          <x:t xml:space="preserve">Shares per 1K views</x:t>
        </x:is>
      </x:c>
      <x:c r="I7" s="110" t="inlineStr">
        <x:is>
          <x:t xml:space="preserve">Passenger POV, car owner POV, new driver POV, holiday travel POV.</x:t>
        </x:is>
      </x:c>
      <x:c r="J7" s="110" t="inlineStr">
        <x:is>
          <x:t xml:space="preserve">Making drivers feel attacked or unsafe stunts.</x:t>
        </x:is>
      </x:c>
    </x:row>
    <x:row r="8" ht="70" customHeight="1">
      <x:c r="A8" s="117" t="inlineStr">
        <x:is>
          <x:t xml:space="preserve">Would You Know What To Do?</x:t>
        </x:is>
      </x:c>
      <x:c r="B8" s="117" t="inlineStr">
        <x:is>
          <x:t xml:space="preserve">Build accident-readiness authority.</x:t>
        </x:is>
      </x:c>
      <x:c r="C8" s="117" t="inlineStr">
        <x:is>
          <x:t xml:space="preserve">When stress hits, you can still follow simple steps.</x:t>
        </x:is>
      </x:c>
      <x:c r="D8" s="117" t="inlineStr">
        <x:is>
          <x:t xml:space="preserve">Scenario → pause question → 3 steps → save CTA.</x:t>
        </x:is>
      </x:c>
      <x:c r="E8" s="117" t="inlineStr">
        <x:is>
          <x:t xml:space="preserve">Minor staged scenario, checklist overlay, calm voiceover.</x:t>
        </x:is>
      </x:c>
      <x:c r="F8" s="117" t="inlineStr">
        <x:is>
          <x:t xml:space="preserve">1x/week</x:t>
        </x:is>
      </x:c>
      <x:c r="G8" s="117" t="inlineStr">
        <x:is>
          <x:t xml:space="preserve">IG Reels, TikTok, YouTube Shorts, carousel</x:t>
        </x:is>
      </x:c>
      <x:c r="H8" s="117" t="inlineStr">
        <x:is>
          <x:t xml:space="preserve">Saves, completion</x:t>
        </x:is>
      </x:c>
      <x:c r="I8" s="117" t="inlineStr">
        <x:is>
          <x:t xml:space="preserve">Crash, breakdown, document collection, passenger safety.</x:t>
        </x:is>
      </x:c>
      <x:c r="J8" s="117" t="inlineStr">
        <x:is>
          <x:t xml:space="preserve">Legal/medical certainty or fearbait.</x:t>
        </x:is>
      </x:c>
    </x:row>
    <x:row r="9" ht="70" customHeight="1">
      <x:c r="A9" s="110" t="inlineStr">
        <x:is>
          <x:t xml:space="preserve">Founder Files</x:t>
        </x:is>
      </x:c>
      <x:c r="B9" s="110" t="inlineStr">
        <x:is>
          <x:t xml:space="preserve">Humanize Peter and build trust in the mission.</x:t>
        </x:is>
      </x:c>
      <x:c r="C9" s="110" t="inlineStr">
        <x:is>
          <x:t xml:space="preserve">The founder understands the problem and is building responsibly.</x:t>
        </x:is>
      </x:c>
      <x:c r="D9" s="110" t="inlineStr">
        <x:is>
          <x:t xml:space="preserve">Personal hook → why it matters → product decision → community ask.</x:t>
        </x:is>
      </x:c>
      <x:c r="E9" s="110" t="inlineStr">
        <x:is>
          <x:t xml:space="preserve">Peter in car/office, notes, test footage, UI cuts.</x:t>
        </x:is>
      </x:c>
      <x:c r="F9" s="110" t="inlineStr">
        <x:is>
          <x:t xml:space="preserve">1x/week</x:t>
        </x:is>
      </x:c>
      <x:c r="G9" s="110" t="inlineStr">
        <x:is>
          <x:t xml:space="preserve">IG, TikTok, YouTube Shorts, LinkedIn</x:t>
        </x:is>
      </x:c>
      <x:c r="H9" s="110" t="inlineStr">
        <x:is>
          <x:t xml:space="preserve">Profile visits, follows</x:t>
        </x:is>
      </x:c>
      <x:c r="I9" s="110" t="inlineStr">
        <x:is>
          <x:t xml:space="preserve">Mistake learned, user feedback, feature tradeoff, roadmap glimpse.</x:t>
        </x:is>
      </x:c>
      <x:c r="J9" s="110" t="inlineStr">
        <x:is>
          <x:t xml:space="preserve">Corporate-sounding speeches with no specific detail.</x:t>
        </x:is>
      </x:c>
    </x:row>
    <x:row r="10" ht="70" customHeight="1">
      <x:c r="A10" s="117" t="inlineStr">
        <x:is>
          <x:t xml:space="preserve">Ask a Kenyan Driver</x:t>
        </x:is>
      </x:c>
      <x:c r="B10" s="117" t="inlineStr">
        <x:is>
          <x:t xml:space="preserve">Bring real driver opinions into the brand.</x:t>
        </x:is>
      </x:c>
      <x:c r="C10" s="117" t="inlineStr">
        <x:is>
          <x:t xml:space="preserve">Msafiri listens to the people actually on the road.</x:t>
        </x:is>
      </x:c>
      <x:c r="D10" s="117" t="inlineStr">
        <x:is>
          <x:t xml:space="preserve">Question card → 3 answers → pattern → comments CTA.</x:t>
        </x:is>
      </x:c>
      <x:c r="E10" s="117" t="inlineStr">
        <x:is>
          <x:t xml:space="preserve">Street interview, lapel mic, subtitles, consent cue.</x:t>
        </x:is>
      </x:c>
      <x:c r="F10" s="117" t="inlineStr">
        <x:is>
          <x:t xml:space="preserve">1x/week</x:t>
        </x:is>
      </x:c>
      <x:c r="G10" s="117" t="inlineStr">
        <x:is>
          <x:t xml:space="preserve">TikTok, IG, Facebook, YouTube Shorts</x:t>
        </x:is>
      </x:c>
      <x:c r="H10" s="117" t="inlineStr">
        <x:is>
          <x:t xml:space="preserve">Comments, UGC submissions</x:t>
        </x:is>
      </x:c>
      <x:c r="I10" s="117" t="inlineStr">
        <x:is>
          <x:t xml:space="preserve">Road nominations, driver confessions, feature desires, myths.</x:t>
        </x:is>
      </x:c>
      <x:c r="J10" s="117" t="inlineStr">
        <x:is>
          <x:t xml:space="preserve">Using interviews without consent or mocking respondents.</x:t>
        </x:is>
      </x:c>
    </x:row>
    <x:row r="11" ht="70" customHeight="1">
      <x:c r="A11" s="110" t="inlineStr">
        <x:is>
          <x:t xml:space="preserve">Msafiri Explains</x:t>
        </x:is>
      </x:c>
      <x:c r="B11" s="110" t="inlineStr">
        <x:is>
          <x:t xml:space="preserve">Build authority around road safety, product and driving behavior.</x:t>
        </x:is>
      </x:c>
      <x:c r="C11" s="110" t="inlineStr">
        <x:is>
          <x:t xml:space="preserve">Complicated road topics made simple.</x:t>
        </x:is>
      </x:c>
      <x:c r="D11" s="110" t="inlineStr">
        <x:is>
          <x:t xml:space="preserve">Myth/problem → plain explanation → example → takeaway.</x:t>
        </x:is>
      </x:c>
      <x:c r="E11" s="110" t="inlineStr">
        <x:is>
          <x:t xml:space="preserve">Founder/talking head, whiteboard, road B-roll, simple graphics.</x:t>
        </x:is>
      </x:c>
      <x:c r="F11" s="110" t="inlineStr">
        <x:is>
          <x:t xml:space="preserve">1x/week</x:t>
        </x:is>
      </x:c>
      <x:c r="G11" s="110" t="inlineStr">
        <x:is>
          <x:t xml:space="preserve">All short-form + YouTube</x:t>
        </x:is>
      </x:c>
      <x:c r="H11" s="110" t="inlineStr">
        <x:is>
          <x:t xml:space="preserve">Completion rate, saves</x:t>
        </x:is>
      </x:c>
      <x:c r="I11" s="110" t="inlineStr">
        <x:is>
          <x:t xml:space="preserve">Insurance evidence, road alerts, speed awareness, fatigue.</x:t>
        </x:is>
      </x:c>
      <x:c r="J11" s="110" t="inlineStr">
        <x:is>
          <x:t xml:space="preserve">Lecturing, jargon, or unsupported claims.</x:t>
        </x:is>
      </x:c>
    </x:row>
    <x:row r="12" ht="70" customHeight="1">
      <x:c r="A12" s="117" t="inlineStr">
        <x:is>
          <x:t xml:space="preserve">Road Mythbusters</x:t>
        </x:is>
      </x:c>
      <x:c r="B12" s="117" t="inlineStr">
        <x:is>
          <x:t xml:space="preserve">Generate conversation safely.</x:t>
        </x:is>
      </x:c>
      <x:c r="C12" s="117" t="inlineStr">
        <x:is>
          <x:t xml:space="preserve">We test the driving beliefs people argue about.</x:t>
        </x:is>
      </x:c>
      <x:c r="D12" s="117" t="inlineStr">
        <x:is>
          <x:t xml:space="preserve">Claim → test/logic → verdict → open question.</x:t>
        </x:is>
      </x:c>
      <x:c r="E12" s="117" t="inlineStr">
        <x:is>
          <x:t xml:space="preserve">Split-screen claim vs reality, poll sticker, road B-roll.</x:t>
        </x:is>
      </x:c>
      <x:c r="F12" s="117" t="inlineStr">
        <x:is>
          <x:t xml:space="preserve">2x/month</x:t>
        </x:is>
      </x:c>
      <x:c r="G12" s="117" t="inlineStr">
        <x:is>
          <x:t xml:space="preserve">TikTok, IG, YouTube Shorts</x:t>
        </x:is>
      </x:c>
      <x:c r="H12" s="117" t="inlineStr">
        <x:is>
          <x:t xml:space="preserve">Comments per 1K views</x:t>
        </x:is>
      </x:c>
      <x:c r="I12" s="117" t="inlineStr">
        <x:is>
          <x:t xml:space="preserve">Speed myths, dashcam myths, road-trip myths, car-care myths.</x:t>
        </x:is>
      </x:c>
      <x:c r="J12" s="117" t="inlineStr">
        <x:is>
          <x:t xml:space="preserve">Inflammatory wording or unsafe demonstrations.</x:t>
        </x:is>
      </x:c>
    </x:row>
    <x:row r="13" ht="70" customHeight="1">
      <x:c r="A13" s="110" t="inlineStr">
        <x:is>
          <x:t xml:space="preserve">Driver Confessions</x:t>
        </x:is>
      </x:c>
      <x:c r="B13" s="110" t="inlineStr">
        <x:is>
          <x:t xml:space="preserve">Create relatable community stories.</x:t>
        </x:is>
      </x:c>
      <x:c r="C13" s="110" t="inlineStr">
        <x:is>
          <x:t xml:space="preserve">Everyone has a driving lesson they learned the hard way.</x:t>
        </x:is>
      </x:c>
      <x:c r="D13" s="110" t="inlineStr">
        <x:is>
          <x:t xml:space="preserve">Anonymous confession → lesson → Msafiri angle → comment prompt.</x:t>
        </x:is>
      </x:c>
      <x:c r="E13" s="110" t="inlineStr">
        <x:is>
          <x:t xml:space="preserve">Voiceover, anonymized text, dramatic but safe B-roll.</x:t>
        </x:is>
      </x:c>
      <x:c r="F13" s="110" t="inlineStr">
        <x:is>
          <x:t xml:space="preserve">2x/month</x:t>
        </x:is>
      </x:c>
      <x:c r="G13" s="110" t="inlineStr">
        <x:is>
          <x:t xml:space="preserve">TikTok, IG, Facebook</x:t>
        </x:is>
      </x:c>
      <x:c r="H13" s="110" t="inlineStr">
        <x:is>
          <x:t xml:space="preserve">Shares, comments</x:t>
        </x:is>
      </x:c>
      <x:c r="I13" s="110" t="inlineStr">
        <x:is>
          <x:t xml:space="preserve">New driver mistakes, car-care regrets, route surprises.</x:t>
        </x:is>
      </x:c>
      <x:c r="J13" s="110" t="inlineStr">
        <x:is>
          <x:t xml:space="preserve">Naming/shaming people or exposing private details.</x:t>
        </x:is>
      </x:c>
    </x:row>
    <x:row r="14" ht="70" customHeight="1">
      <x:c r="A14" s="117" t="inlineStr">
        <x:is>
          <x:t xml:space="preserve">One Minute Road Safety</x:t>
        </x:is>
      </x:c>
      <x:c r="B14" s="117" t="inlineStr">
        <x:is>
          <x:t xml:space="preserve">Publish evergreen advice people save.</x:t>
        </x:is>
      </x:c>
      <x:c r="C14" s="117" t="inlineStr">
        <x:is>
          <x:t xml:space="preserve">One useful thing you can do before your next drive.</x:t>
        </x:is>
      </x:c>
      <x:c r="D14" s="117" t="inlineStr">
        <x:is>
          <x:t xml:space="preserve">Problem → 3 steps → quick recap → save CTA.</x:t>
        </x:is>
      </x:c>
      <x:c r="E14" s="117" t="inlineStr">
        <x:is>
          <x:t xml:space="preserve">Checklist overlay, props, car detail shots.</x:t>
        </x:is>
      </x:c>
      <x:c r="F14" s="117" t="inlineStr">
        <x:is>
          <x:t xml:space="preserve">1x/week</x:t>
        </x:is>
      </x:c>
      <x:c r="G14" s="117" t="inlineStr">
        <x:is>
          <x:t xml:space="preserve">All short-form</x:t>
        </x:is>
      </x:c>
      <x:c r="H14" s="117" t="inlineStr">
        <x:is>
          <x:t xml:space="preserve">Saves, completion</x:t>
        </x:is>
      </x:c>
      <x:c r="I14" s="117" t="inlineStr">
        <x:is>
          <x:t xml:space="preserve">Fatigue, night driving, rain, breakdowns, family trips.</x:t>
        </x:is>
      </x:c>
      <x:c r="J14" s="117" t="inlineStr">
        <x:is>
          <x:t xml:space="preserve">Overpromising or giving specialist mechanical/legal advice.</x:t>
        </x:is>
      </x:c>
    </x:row>
    <x:row r="15" ht="70" customHeight="1">
      <x:c r="A15" s="110" t="inlineStr">
        <x:is>
          <x:t xml:space="preserve">Can Msafiri Do This?</x:t>
        </x:is>
      </x:c>
      <x:c r="B15" s="110" t="inlineStr">
        <x:is>
          <x:t xml:space="preserve">Make feature discovery feel like a test.</x:t>
        </x:is>
      </x:c>
      <x:c r="C15" s="110" t="inlineStr">
        <x:is>
          <x:t xml:space="preserve">Let us test the app in a real situation.</x:t>
        </x:is>
      </x:c>
      <x:c r="D15" s="110" t="inlineStr">
        <x:is>
          <x:t xml:space="preserve">Question → live test → outcome → CTA.</x:t>
        </x:is>
      </x:c>
      <x:c r="E15" s="110" t="inlineStr">
        <x:is>
          <x:t xml:space="preserve">Timer, screen-record, driving context, reaction.</x:t>
        </x:is>
      </x:c>
      <x:c r="F15" s="110" t="inlineStr">
        <x:is>
          <x:t xml:space="preserve">2x/month</x:t>
        </x:is>
      </x:c>
      <x:c r="G15" s="110" t="inlineStr">
        <x:is>
          <x:t xml:space="preserve">TikTok, IG, YouTube Shorts</x:t>
        </x:is>
      </x:c>
      <x:c r="H15" s="110" t="inlineStr">
        <x:is>
          <x:t xml:space="preserve">Store clicks</x:t>
        </x:is>
      </x:c>
      <x:c r="I15" s="110" t="inlineStr">
        <x:is>
          <x:t xml:space="preserve">Feature combo tests, speed setup, trip setup, nearby search.</x:t>
        </x:is>
      </x:c>
      <x:c r="J15" s="110" t="inlineStr">
        <x:is>
          <x:t xml:space="preserve">Testing features that are not available yet.</x:t>
        </x:is>
      </x:c>
    </x:row>
    <x:row r="16" ht="70" customHeight="1">
      <x:c r="A16" s="117" t="inlineStr">
        <x:is>
          <x:t xml:space="preserve">Road Trip POV</x:t>
        </x:is>
      </x:c>
      <x:c r="B16" s="117" t="inlineStr">
        <x:is>
          <x:t xml:space="preserve">Blend aspiration with utility.</x:t>
        </x:is>
      </x:c>
      <x:c r="C16" s="117" t="inlineStr">
        <x:is>
          <x:t xml:space="preserve">A beautiful drive can still be prepared.</x:t>
        </x:is>
      </x:c>
      <x:c r="D16" s="117" t="inlineStr">
        <x:is>
          <x:t xml:space="preserve">Trip setup → road moments → stop/problem → Msafiri payoff.</x:t>
        </x:is>
      </x:c>
      <x:c r="E16" s="117" t="inlineStr">
        <x:is>
          <x:t xml:space="preserve">Cinematic road shots, music, route screens, stops.</x:t>
        </x:is>
      </x:c>
      <x:c r="F16" s="117" t="inlineStr">
        <x:is>
          <x:t xml:space="preserve">2x/month</x:t>
        </x:is>
      </x:c>
      <x:c r="G16" s="117" t="inlineStr">
        <x:is>
          <x:t xml:space="preserve">YouTube, Shorts, IG, TikTok</x:t>
        </x:is>
      </x:c>
      <x:c r="H16" s="117" t="inlineStr">
        <x:is>
          <x:t xml:space="preserve">Watch time, saves</x:t>
        </x:is>
      </x:c>
      <x:c r="I16" s="117" t="inlineStr">
        <x:is>
          <x:t xml:space="preserve">Naivasha, coast, upcountry, family visit, Jamhuri/Christmas.</x:t>
        </x:is>
      </x:c>
      <x:c r="J16" s="117" t="inlineStr">
        <x:is>
          <x:t xml:space="preserve">Pretty visuals with no practical takeaway.</x:t>
        </x:is>
      </x:c>
    </x:row>
    <x:row r="17" ht="70" customHeight="1">
      <x:c r="A17" s="110" t="inlineStr">
        <x:is>
          <x:t xml:space="preserve">Before You Drive</x:t>
        </x:is>
      </x:c>
      <x:c r="B17" s="110" t="inlineStr">
        <x:is>
          <x:t xml:space="preserve">Build pre-drive habits around Msafiri.</x:t>
        </x:is>
      </x:c>
      <x:c r="C17" s="110" t="inlineStr">
        <x:is>
          <x:t xml:space="preserve">A good drive starts before the engine starts.</x:t>
        </x:is>
      </x:c>
      <x:c r="D17" s="110" t="inlineStr">
        <x:is>
          <x:t xml:space="preserve">Checklist → quick demo → final reminder.</x:t>
        </x:is>
      </x:c>
      <x:c r="E17" s="110" t="inlineStr">
        <x:is>
          <x:t xml:space="preserve">Tyres, mirrors, phone mount, route screen, seatbelts.</x:t>
        </x:is>
      </x:c>
      <x:c r="F17" s="110" t="inlineStr">
        <x:is>
          <x:t xml:space="preserve">1x/week</x:t>
        </x:is>
      </x:c>
      <x:c r="G17" s="110" t="inlineStr">
        <x:is>
          <x:t xml:space="preserve">IG, TikTok, Stories, YouTube Shorts</x:t>
        </x:is>
      </x:c>
      <x:c r="H17" s="110" t="inlineStr">
        <x:is>
          <x:t xml:space="preserve">Saves</x:t>
        </x:is>
      </x:c>
      <x:c r="I17" s="110" t="inlineStr">
        <x:is>
          <x:t xml:space="preserve">Daily commute, long drive, rainy night, holiday trip.</x:t>
        </x:is>
      </x:c>
      <x:c r="J17" s="110" t="inlineStr">
        <x:is>
          <x:t xml:space="preserve">Overly long checklists.</x:t>
        </x:is>
      </x:c>
    </x:row>
    <x:row r="18" ht="70" customHeight="1">
      <x:c r="A18" s="117" t="inlineStr">
        <x:is>
          <x:t xml:space="preserve">Comment-to-Video</x:t>
        </x:is>
      </x:c>
      <x:c r="B18" s="117" t="inlineStr">
        <x:is>
          <x:t xml:space="preserve">Reward community and create low-friction content.</x:t>
        </x:is>
      </x:c>
      <x:c r="C18" s="117" t="inlineStr">
        <x:is>
          <x:t xml:space="preserve">Your comment can shape the next Msafiri episode.</x:t>
        </x:is>
      </x:c>
      <x:c r="D18" s="117" t="inlineStr">
        <x:is>
          <x:t xml:space="preserve">Show comment → answer → ask follow-up.</x:t>
        </x:is>
      </x:c>
      <x:c r="E18" s="117" t="inlineStr">
        <x:is>
          <x:t xml:space="preserve">Comment sticker, Peter response, B-roll.</x:t>
        </x:is>
      </x:c>
      <x:c r="F18" s="117" t="inlineStr">
        <x:is>
          <x:t xml:space="preserve">1–2x/week once comments grow</x:t>
        </x:is>
      </x:c>
      <x:c r="G18" s="117" t="inlineStr">
        <x:is>
          <x:t xml:space="preserve">TikTok, IG, YouTube Shorts</x:t>
        </x:is>
      </x:c>
      <x:c r="H18" s="117" t="inlineStr">
        <x:is>
          <x:t xml:space="preserve">Comments, repeat engagement</x:t>
        </x:is>
      </x:c>
      <x:c r="I18" s="117" t="inlineStr">
        <x:is>
          <x:t xml:space="preserve">Road nominations, feature questions, safety questions.</x:t>
        </x:is>
      </x:c>
      <x:c r="J18" s="117" t="inlineStr">
        <x:is>
          <x:t xml:space="preserve">Arguing defensively with critics.</x:t>
        </x:is>
      </x:c>
    </x:row>
    <x:row r="19" ht="70" customHeight="1">
      <x:c r="A19" s="110" t="inlineStr">
        <x:is>
          <x:t xml:space="preserve">Holiday Road Prep</x:t>
        </x:is>
      </x:c>
      <x:c r="B19" s="110" t="inlineStr">
        <x:is>
          <x:t xml:space="preserve">Own seasonal Kenyan travel moments.</x:t>
        </x:is>
      </x:c>
      <x:c r="C19" s="110" t="inlineStr">
        <x:is>
          <x:t xml:space="preserve">We help you arrive safe during busy travel windows.</x:t>
        </x:is>
      </x:c>
      <x:c r="D19" s="110" t="inlineStr">
        <x:is>
          <x:t xml:space="preserve">Seasonal hook → checklist/story → Msafiri use → share CTA.</x:t>
        </x:is>
      </x:c>
      <x:c r="E19" s="110" t="inlineStr">
        <x:is>
          <x:t xml:space="preserve">Packing, family, car check, road POV, warm voiceover.</x:t>
        </x:is>
      </x:c>
      <x:c r="F19" s="110" t="inlineStr">
        <x:is>
          <x:t xml:space="preserve">Around Oct/Dec holidays</x:t>
        </x:is>
      </x:c>
      <x:c r="G19" s="110" t="inlineStr">
        <x:is>
          <x:t xml:space="preserve">All platforms</x:t>
        </x:is>
      </x:c>
      <x:c r="H19" s="110" t="inlineStr">
        <x:is>
          <x:t xml:space="preserve">Shares, saves, store clicks</x:t>
        </x:is>
      </x:c>
      <x:c r="I19" s="110" t="inlineStr">
        <x:is>
          <x:t xml:space="preserve">Mashujaa, Jamhuri, Christmas, New Year, long weekends.</x:t>
        </x:is>
      </x:c>
      <x:c r="J19" s="110" t="inlineStr">
        <x:is>
          <x:t xml:space="preserve">Product-heavy tone on family holidays or enforcement evasion.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0" customWidth="1"/>
    <x:col min="3" max="3" width="72" customWidth="1"/>
    <x:col min="4" max="4" width="30" customWidth="1"/>
    <x:col min="5" max="5" width="34" customWidth="1"/>
    <x:col min="6" max="6" width="44" customWidth="1"/>
  </x:cols>
  <x:sheetData>
    <x:row r="1" ht="28" customHeight="1">
      <x:c r="A1" s="106" t="inlineStr">
        <x:is>
          <x:t xml:space="preserve">HOOK BANK</x:t>
        </x:is>
      </x:c>
    </x:row>
    <x:row r="2" ht="34" customHeight="1">
      <x:c r="A2" s="107" t="inlineStr">
        <x:is>
          <x:t xml:space="preserve">Reusable opening lines grouped by intent. Use them as starting points; adjust to the exact video.</x:t>
        </x:is>
      </x:c>
    </x:row>
    <x:row r="3"/>
    <x:row r="4" ht="36" customHeight="1">
      <x:c r="A4" s="108" t="inlineStr">
        <x:is>
          <x:t xml:space="preserve">Category</x:t>
        </x:is>
      </x:c>
      <x:c r="B4" s="108" t="inlineStr">
        <x:is>
          <x:t xml:space="preserve">Intent</x:t>
        </x:is>
      </x:c>
      <x:c r="C4" s="108" t="inlineStr">
        <x:is>
          <x:t xml:space="preserve">Hook</x:t>
        </x:is>
      </x:c>
      <x:c r="D4" s="108" t="inlineStr">
        <x:is>
          <x:t xml:space="preserve">Best Use</x:t>
        </x:is>
      </x:c>
      <x:c r="E4" s="108" t="inlineStr">
        <x:is>
          <x:t xml:space="preserve">Example Msafiri Topic</x:t>
        </x:is>
      </x:c>
      <x:c r="F4" s="108" t="inlineStr">
        <x:is>
          <x:t xml:space="preserve">Notes</x:t>
        </x:is>
      </x:c>
    </x:row>
    <x:row r="5" ht="38" customHeight="1">
      <x:c r="A5" s="110" t="inlineStr">
        <x:is>
          <x:t xml:space="preserve">Curiosity</x:t>
        </x:is>
      </x:c>
      <x:c r="B5" s="110" t="inlineStr">
        <x:is>
          <x:t xml:space="preserve">Stop scroll / create curiosity</x:t>
        </x:is>
      </x:c>
      <x:c r="C5" s="110" t="inlineStr">
        <x:is>
          <x:t xml:space="preserve">Nobody tells Kenyan drivers this before they leave home.</x:t>
        </x:is>
      </x:c>
      <x:c r="D5" s="110" t="inlineStr">
        <x:is>
          <x:t xml:space="preserve">Opening 0–3 seconds</x:t>
        </x:is>
      </x:c>
      <x:c r="E5" s="110" t="inlineStr">
        <x:is>
          <x:t xml:space="preserve">Road alerts or road check</x:t>
        </x:is>
      </x:c>
      <x:c r="F5" s="110" t="inlineStr">
        <x:is>
          <x:t xml:space="preserve">Pair with immediate visual proof.</x:t>
        </x:is>
      </x:c>
    </x:row>
    <x:row r="6" ht="38" customHeight="1">
      <x:c r="A6" s="117" t="inlineStr">
        <x:is>
          <x:t xml:space="preserve">Curiosity</x:t>
        </x:is>
      </x:c>
      <x:c r="B6" s="117" t="inlineStr">
        <x:is>
          <x:t xml:space="preserve">Stop scroll / create curiosity</x:t>
        </x:is>
      </x:c>
      <x:c r="C6" s="117" t="inlineStr">
        <x:is>
          <x:t xml:space="preserve">I tested this so you do not have to.</x:t>
        </x:is>
      </x:c>
      <x:c r="D6" s="117" t="inlineStr">
        <x:is>
          <x:t xml:space="preserve">Opening 0–3 seconds</x:t>
        </x:is>
      </x:c>
      <x:c r="E6" s="117" t="inlineStr">
        <x:is>
          <x:t xml:space="preserve">Road alerts or road check</x:t>
        </x:is>
      </x:c>
      <x:c r="F6" s="117" t="inlineStr">
        <x:is>
          <x:t xml:space="preserve">Pair with immediate visual proof.</x:t>
        </x:is>
      </x:c>
    </x:row>
    <x:row r="7" ht="38" customHeight="1">
      <x:c r="A7" s="110" t="inlineStr">
        <x:is>
          <x:t xml:space="preserve">Curiosity</x:t>
        </x:is>
      </x:c>
      <x:c r="B7" s="110" t="inlineStr">
        <x:is>
          <x:t xml:space="preserve">Stop scroll / create curiosity</x:t>
        </x:is>
      </x:c>
      <x:c r="C7" s="110" t="inlineStr">
        <x:is>
          <x:t xml:space="preserve">Watch what happens when we drive this road with Msafiri open.</x:t>
        </x:is>
      </x:c>
      <x:c r="D7" s="110" t="inlineStr">
        <x:is>
          <x:t xml:space="preserve">Opening 0–3 seconds</x:t>
        </x:is>
      </x:c>
      <x:c r="E7" s="110" t="inlineStr">
        <x:is>
          <x:t xml:space="preserve">Road alerts or road check</x:t>
        </x:is>
      </x:c>
      <x:c r="F7" s="110" t="inlineStr">
        <x:is>
          <x:t xml:space="preserve">Pair with immediate visual proof.</x:t>
        </x:is>
      </x:c>
    </x:row>
    <x:row r="8" ht="38" customHeight="1">
      <x:c r="A8" s="117" t="inlineStr">
        <x:is>
          <x:t xml:space="preserve">Curiosity</x:t>
        </x:is>
      </x:c>
      <x:c r="B8" s="117" t="inlineStr">
        <x:is>
          <x:t xml:space="preserve">Stop scroll / create curiosity</x:t>
        </x:is>
      </x:c>
      <x:c r="C8" s="117" t="inlineStr">
        <x:is>
          <x:t xml:space="preserve">The road looked normal until this moment.</x:t>
        </x:is>
      </x:c>
      <x:c r="D8" s="117" t="inlineStr">
        <x:is>
          <x:t xml:space="preserve">Opening 0–3 seconds</x:t>
        </x:is>
      </x:c>
      <x:c r="E8" s="117" t="inlineStr">
        <x:is>
          <x:t xml:space="preserve">Road alerts or road check</x:t>
        </x:is>
      </x:c>
      <x:c r="F8" s="117" t="inlineStr">
        <x:is>
          <x:t xml:space="preserve">Pair with immediate visual proof.</x:t>
        </x:is>
      </x:c>
    </x:row>
    <x:row r="9" ht="38" customHeight="1">
      <x:c r="A9" s="110" t="inlineStr">
        <x:is>
          <x:t xml:space="preserve">Curiosity</x:t>
        </x:is>
      </x:c>
      <x:c r="B9" s="110" t="inlineStr">
        <x:is>
          <x:t xml:space="preserve">Stop scroll / create curiosity</x:t>
        </x:is>
      </x:c>
      <x:c r="C9" s="110" t="inlineStr">
        <x:is>
          <x:t xml:space="preserve">Most drivers miss this because they are already stressed.</x:t>
        </x:is>
      </x:c>
      <x:c r="D9" s="110" t="inlineStr">
        <x:is>
          <x:t xml:space="preserve">Opening 0–3 seconds</x:t>
        </x:is>
      </x:c>
      <x:c r="E9" s="110" t="inlineStr">
        <x:is>
          <x:t xml:space="preserve">Road alerts or road check</x:t>
        </x:is>
      </x:c>
      <x:c r="F9" s="110" t="inlineStr">
        <x:is>
          <x:t xml:space="preserve">Pair with immediate visual proof.</x:t>
        </x:is>
      </x:c>
    </x:row>
    <x:row r="10" ht="38" customHeight="1">
      <x:c r="A10" s="117" t="inlineStr">
        <x:is>
          <x:t xml:space="preserve">Curiosity</x:t>
        </x:is>
      </x:c>
      <x:c r="B10" s="117" t="inlineStr">
        <x:is>
          <x:t xml:space="preserve">Stop scroll / create curiosity</x:t>
        </x:is>
      </x:c>
      <x:c r="C10" s="117" t="inlineStr">
        <x:is>
          <x:t xml:space="preserve">This tiny detail can change your whole drive.</x:t>
        </x:is>
      </x:c>
      <x:c r="D10" s="117" t="inlineStr">
        <x:is>
          <x:t xml:space="preserve">Opening 0–3 seconds</x:t>
        </x:is>
      </x:c>
      <x:c r="E10" s="117" t="inlineStr">
        <x:is>
          <x:t xml:space="preserve">Road alerts or road check</x:t>
        </x:is>
      </x:c>
      <x:c r="F10" s="117" t="inlineStr">
        <x:is>
          <x:t xml:space="preserve">Pair with immediate visual proof.</x:t>
        </x:is>
      </x:c>
    </x:row>
    <x:row r="11" ht="38" customHeight="1">
      <x:c r="A11" s="110" t="inlineStr">
        <x:is>
          <x:t xml:space="preserve">Curiosity</x:t>
        </x:is>
      </x:c>
      <x:c r="B11" s="110" t="inlineStr">
        <x:is>
          <x:t xml:space="preserve">Stop scroll / create curiosity</x:t>
        </x:is>
      </x:c>
      <x:c r="C11" s="110" t="inlineStr">
        <x:is>
          <x:t xml:space="preserve">I thought this feature was boring until I needed it.</x:t>
        </x:is>
      </x:c>
      <x:c r="D11" s="110" t="inlineStr">
        <x:is>
          <x:t xml:space="preserve">Opening 0–3 seconds</x:t>
        </x:is>
      </x:c>
      <x:c r="E11" s="110" t="inlineStr">
        <x:is>
          <x:t xml:space="preserve">Road alerts or road check</x:t>
        </x:is>
      </x:c>
      <x:c r="F11" s="110" t="inlineStr">
        <x:is>
          <x:t xml:space="preserve">Pair with immediate visual proof.</x:t>
        </x:is>
      </x:c>
    </x:row>
    <x:row r="12" ht="38" customHeight="1">
      <x:c r="A12" s="117" t="inlineStr">
        <x:is>
          <x:t xml:space="preserve">Curiosity</x:t>
        </x:is>
      </x:c>
      <x:c r="B12" s="117" t="inlineStr">
        <x:is>
          <x:t xml:space="preserve">Stop scroll / create curiosity</x:t>
        </x:is>
      </x:c>
      <x:c r="C12" s="117" t="inlineStr">
        <x:is>
          <x:t xml:space="preserve">The smartest part of this drive happened before the car moved.</x:t>
        </x:is>
      </x:c>
      <x:c r="D12" s="117" t="inlineStr">
        <x:is>
          <x:t xml:space="preserve">Opening 0–3 seconds</x:t>
        </x:is>
      </x:c>
      <x:c r="E12" s="117" t="inlineStr">
        <x:is>
          <x:t xml:space="preserve">Road alerts or road check</x:t>
        </x:is>
      </x:c>
      <x:c r="F12" s="117" t="inlineStr">
        <x:is>
          <x:t xml:space="preserve">Pair with immediate visual proof.</x:t>
        </x:is>
      </x:c>
    </x:row>
    <x:row r="13" ht="38" customHeight="1">
      <x:c r="A13" s="110" t="inlineStr">
        <x:is>
          <x:t xml:space="preserve">Curiosity</x:t>
        </x:is>
      </x:c>
      <x:c r="B13" s="110" t="inlineStr">
        <x:is>
          <x:t xml:space="preserve">Stop scroll / create curiosity</x:t>
        </x:is>
      </x:c>
      <x:c r="C13" s="110" t="inlineStr">
        <x:is>
          <x:t xml:space="preserve">This is what your phone can notice while you are focused on the road.</x:t>
        </x:is>
      </x:c>
      <x:c r="D13" s="110" t="inlineStr">
        <x:is>
          <x:t xml:space="preserve">Opening 0–3 seconds</x:t>
        </x:is>
      </x:c>
      <x:c r="E13" s="110" t="inlineStr">
        <x:is>
          <x:t xml:space="preserve">Road alerts or road check</x:t>
        </x:is>
      </x:c>
      <x:c r="F13" s="110" t="inlineStr">
        <x:is>
          <x:t xml:space="preserve">Pair with immediate visual proof.</x:t>
        </x:is>
      </x:c>
    </x:row>
    <x:row r="14" ht="38" customHeight="1">
      <x:c r="A14" s="117" t="inlineStr">
        <x:is>
          <x:t xml:space="preserve">Curiosity</x:t>
        </x:is>
      </x:c>
      <x:c r="B14" s="117" t="inlineStr">
        <x:is>
          <x:t xml:space="preserve">Stop scroll / create curiosity</x:t>
        </x:is>
      </x:c>
      <x:c r="C14" s="117" t="inlineStr">
        <x:is>
          <x:t xml:space="preserve">A normal drive becomes interesting when you track the right things.</x:t>
        </x:is>
      </x:c>
      <x:c r="D14" s="117" t="inlineStr">
        <x:is>
          <x:t xml:space="preserve">Opening 0–3 seconds</x:t>
        </x:is>
      </x:c>
      <x:c r="E14" s="117" t="inlineStr">
        <x:is>
          <x:t xml:space="preserve">Road alerts or road check</x:t>
        </x:is>
      </x:c>
      <x:c r="F14" s="117" t="inlineStr">
        <x:is>
          <x:t xml:space="preserve">Pair with immediate visual proof.</x:t>
        </x:is>
      </x:c>
    </x:row>
    <x:row r="15" ht="38" customHeight="1">
      <x:c r="A15" s="110" t="inlineStr">
        <x:is>
          <x:t xml:space="preserve">Curiosity</x:t>
        </x:is>
      </x:c>
      <x:c r="B15" s="110" t="inlineStr">
        <x:is>
          <x:t xml:space="preserve">Stop scroll / create curiosity</x:t>
        </x:is>
      </x:c>
      <x:c r="C15" s="110" t="inlineStr">
        <x:is>
          <x:t xml:space="preserve">The difference between guessing and knowing is one screen.</x:t>
        </x:is>
      </x:c>
      <x:c r="D15" s="110" t="inlineStr">
        <x:is>
          <x:t xml:space="preserve">Opening 0–3 seconds</x:t>
        </x:is>
      </x:c>
      <x:c r="E15" s="110" t="inlineStr">
        <x:is>
          <x:t xml:space="preserve">Road alerts or road check</x:t>
        </x:is>
      </x:c>
      <x:c r="F15" s="110" t="inlineStr">
        <x:is>
          <x:t xml:space="preserve">Pair with immediate visual proof.</x:t>
        </x:is>
      </x:c>
    </x:row>
    <x:row r="16" ht="38" customHeight="1">
      <x:c r="A16" s="117" t="inlineStr">
        <x:is>
          <x:t xml:space="preserve">Curiosity</x:t>
        </x:is>
      </x:c>
      <x:c r="B16" s="117" t="inlineStr">
        <x:is>
          <x:t xml:space="preserve">Stop scroll / create curiosity</x:t>
        </x:is>
      </x:c>
      <x:c r="C16" s="117" t="inlineStr">
        <x:is>
          <x:t xml:space="preserve">I want every Kenyan driver to see this once.</x:t>
        </x:is>
      </x:c>
      <x:c r="D16" s="117" t="inlineStr">
        <x:is>
          <x:t xml:space="preserve">Opening 0–3 seconds</x:t>
        </x:is>
      </x:c>
      <x:c r="E16" s="117" t="inlineStr">
        <x:is>
          <x:t xml:space="preserve">Road alerts or road check</x:t>
        </x:is>
      </x:c>
      <x:c r="F16" s="117" t="inlineStr">
        <x:is>
          <x:t xml:space="preserve">Pair with immediate visual proof.</x:t>
        </x:is>
      </x:c>
    </x:row>
    <x:row r="17" ht="38" customHeight="1">
      <x:c r="A17" s="110" t="inlineStr">
        <x:is>
          <x:t xml:space="preserve">Curiosity</x:t>
        </x:is>
      </x:c>
      <x:c r="B17" s="110" t="inlineStr">
        <x:is>
          <x:t xml:space="preserve">Stop scroll / create curiosity</x:t>
        </x:is>
      </x:c>
      <x:c r="C17" s="110" t="inlineStr">
        <x:is>
          <x:t xml:space="preserve">This is the kind of road information that should not live in rumours.</x:t>
        </x:is>
      </x:c>
      <x:c r="D17" s="110" t="inlineStr">
        <x:is>
          <x:t xml:space="preserve">Opening 0–3 seconds</x:t>
        </x:is>
      </x:c>
      <x:c r="E17" s="110" t="inlineStr">
        <x:is>
          <x:t xml:space="preserve">Road alerts or road check</x:t>
        </x:is>
      </x:c>
      <x:c r="F17" s="110" t="inlineStr">
        <x:is>
          <x:t xml:space="preserve">Pair with immediate visual proof.</x:t>
        </x:is>
      </x:c>
    </x:row>
    <x:row r="18" ht="38" customHeight="1">
      <x:c r="A18" s="117" t="inlineStr">
        <x:is>
          <x:t xml:space="preserve">Curiosity</x:t>
        </x:is>
      </x:c>
      <x:c r="B18" s="117" t="inlineStr">
        <x:is>
          <x:t xml:space="preserve">Stop scroll / create curiosity</x:t>
        </x:is>
      </x:c>
      <x:c r="C18" s="117" t="inlineStr">
        <x:is>
          <x:t xml:space="preserve">You will never look at this driving habit the same way.</x:t>
        </x:is>
      </x:c>
      <x:c r="D18" s="117" t="inlineStr">
        <x:is>
          <x:t xml:space="preserve">Opening 0–3 seconds</x:t>
        </x:is>
      </x:c>
      <x:c r="E18" s="117" t="inlineStr">
        <x:is>
          <x:t xml:space="preserve">Road alerts or road check</x:t>
        </x:is>
      </x:c>
      <x:c r="F18" s="117" t="inlineStr">
        <x:is>
          <x:t xml:space="preserve">Pair with immediate visual proof.</x:t>
        </x:is>
      </x:c>
    </x:row>
    <x:row r="19" ht="38" customHeight="1">
      <x:c r="A19" s="110" t="inlineStr">
        <x:is>
          <x:t xml:space="preserve">Curiosity</x:t>
        </x:is>
      </x:c>
      <x:c r="B19" s="110" t="inlineStr">
        <x:is>
          <x:t xml:space="preserve">Stop scroll / create curiosity</x:t>
        </x:is>
      </x:c>
      <x:c r="C19" s="110" t="inlineStr">
        <x:is>
          <x:t xml:space="preserve">The first 5 seconds of this drive explain the whole problem.</x:t>
        </x:is>
      </x:c>
      <x:c r="D19" s="110" t="inlineStr">
        <x:is>
          <x:t xml:space="preserve">Opening 0–3 seconds</x:t>
        </x:is>
      </x:c>
      <x:c r="E19" s="110" t="inlineStr">
        <x:is>
          <x:t xml:space="preserve">Road alerts or road check</x:t>
        </x:is>
      </x:c>
      <x:c r="F19" s="110" t="inlineStr">
        <x:is>
          <x:t xml:space="preserve">Pair with immediate visual proof.</x:t>
        </x:is>
      </x:c>
    </x:row>
    <x:row r="20" ht="38" customHeight="1">
      <x:c r="A20" s="117" t="inlineStr">
        <x:is>
          <x:t xml:space="preserve">Problem</x:t>
        </x:is>
      </x:c>
      <x:c r="B20" s="117" t="inlineStr">
        <x:is>
          <x:t xml:space="preserve">Name a pain clearly</x:t>
        </x:is>
      </x:c>
      <x:c r="C20" s="117" t="inlineStr">
        <x:is>
          <x:t xml:space="preserve">What would you do if this happened to you today?</x:t>
        </x:is>
      </x:c>
      <x:c r="D20" s="117" t="inlineStr">
        <x:is>
          <x:t xml:space="preserve">Scenario-based video</x:t>
        </x:is>
      </x:c>
      <x:c r="E20" s="117" t="inlineStr">
        <x:is>
          <x:t xml:space="preserve">Accident Assistant or dashcam</x:t>
        </x:is>
      </x:c>
      <x:c r="F20" s="117" t="inlineStr">
        <x:is>
          <x:t xml:space="preserve">Show the situation within 2 seconds.</x:t>
        </x:is>
      </x:c>
    </x:row>
    <x:row r="21" ht="38" customHeight="1">
      <x:c r="A21" s="110" t="inlineStr">
        <x:is>
          <x:t xml:space="preserve">Problem</x:t>
        </x:is>
      </x:c>
      <x:c r="B21" s="110" t="inlineStr">
        <x:is>
          <x:t xml:space="preserve">Name a pain clearly</x:t>
        </x:is>
      </x:c>
      <x:c r="C21" s="110" t="inlineStr">
        <x:is>
          <x:t xml:space="preserve">If you drive in Nairobi, this situation is not rare.</x:t>
        </x:is>
      </x:c>
      <x:c r="D21" s="110" t="inlineStr">
        <x:is>
          <x:t xml:space="preserve">Scenario-based video</x:t>
        </x:is>
      </x:c>
      <x:c r="E21" s="110" t="inlineStr">
        <x:is>
          <x:t xml:space="preserve">Accident Assistant or dashcam</x:t>
        </x:is>
      </x:c>
      <x:c r="F21" s="110" t="inlineStr">
        <x:is>
          <x:t xml:space="preserve">Show the situation within 2 seconds.</x:t>
        </x:is>
      </x:c>
    </x:row>
    <x:row r="22" ht="38" customHeight="1">
      <x:c r="A22" s="117" t="inlineStr">
        <x:is>
          <x:t xml:space="preserve">Problem</x:t>
        </x:is>
      </x:c>
      <x:c r="B22" s="117" t="inlineStr">
        <x:is>
          <x:t xml:space="preserve">Name a pain clearly</x:t>
        </x:is>
      </x:c>
      <x:c r="C22" s="117" t="inlineStr">
        <x:is>
          <x:t xml:space="preserve">This can happen even when you are driving carefully.</x:t>
        </x:is>
      </x:c>
      <x:c r="D22" s="117" t="inlineStr">
        <x:is>
          <x:t xml:space="preserve">Scenario-based video</x:t>
        </x:is>
      </x:c>
      <x:c r="E22" s="117" t="inlineStr">
        <x:is>
          <x:t xml:space="preserve">Accident Assistant or dashcam</x:t>
        </x:is>
      </x:c>
      <x:c r="F22" s="117" t="inlineStr">
        <x:is>
          <x:t xml:space="preserve">Show the situation within 2 seconds.</x:t>
        </x:is>
      </x:c>
    </x:row>
    <x:row r="23" ht="38" customHeight="1">
      <x:c r="A23" s="110" t="inlineStr">
        <x:is>
          <x:t xml:space="preserve">Problem</x:t>
        </x:is>
      </x:c>
      <x:c r="B23" s="110" t="inlineStr">
        <x:is>
          <x:t xml:space="preserve">Name a pain clearly</x:t>
        </x:is>
      </x:c>
      <x:c r="C23" s="110" t="inlineStr">
        <x:is>
          <x:t xml:space="preserve">The problem starts before the accident.</x:t>
        </x:is>
      </x:c>
      <x:c r="D23" s="110" t="inlineStr">
        <x:is>
          <x:t xml:space="preserve">Scenario-based video</x:t>
        </x:is>
      </x:c>
      <x:c r="E23" s="110" t="inlineStr">
        <x:is>
          <x:t xml:space="preserve">Accident Assistant or dashcam</x:t>
        </x:is>
      </x:c>
      <x:c r="F23" s="110" t="inlineStr">
        <x:is>
          <x:t xml:space="preserve">Show the situation within 2 seconds.</x:t>
        </x:is>
      </x:c>
    </x:row>
    <x:row r="24" ht="38" customHeight="1">
      <x:c r="A24" s="117" t="inlineStr">
        <x:is>
          <x:t xml:space="preserve">Problem</x:t>
        </x:is>
      </x:c>
      <x:c r="B24" s="117" t="inlineStr">
        <x:is>
          <x:t xml:space="preserve">Name a pain clearly</x:t>
        </x:is>
      </x:c>
      <x:c r="C24" s="117" t="inlineStr">
        <x:is>
          <x:t xml:space="preserve">Most drivers only think about evidence after it is too late.</x:t>
        </x:is>
      </x:c>
      <x:c r="D24" s="117" t="inlineStr">
        <x:is>
          <x:t xml:space="preserve">Scenario-based video</x:t>
        </x:is>
      </x:c>
      <x:c r="E24" s="117" t="inlineStr">
        <x:is>
          <x:t xml:space="preserve">Accident Assistant or dashcam</x:t>
        </x:is>
      </x:c>
      <x:c r="F24" s="117" t="inlineStr">
        <x:is>
          <x:t xml:space="preserve">Show the situation within 2 seconds.</x:t>
        </x:is>
      </x:c>
    </x:row>
    <x:row r="25" ht="38" customHeight="1">
      <x:c r="A25" s="110" t="inlineStr">
        <x:is>
          <x:t xml:space="preserve">Problem</x:t>
        </x:is>
      </x:c>
      <x:c r="B25" s="110" t="inlineStr">
        <x:is>
          <x:t xml:space="preserve">Name a pain clearly</x:t>
        </x:is>
      </x:c>
      <x:c r="C25" s="110" t="inlineStr">
        <x:is>
          <x:t xml:space="preserve">You have 10 minutes. What do you do next?</x:t>
        </x:is>
      </x:c>
      <x:c r="D25" s="110" t="inlineStr">
        <x:is>
          <x:t xml:space="preserve">Scenario-based video</x:t>
        </x:is>
      </x:c>
      <x:c r="E25" s="110" t="inlineStr">
        <x:is>
          <x:t xml:space="preserve">Accident Assistant or dashcam</x:t>
        </x:is>
      </x:c>
      <x:c r="F25" s="110" t="inlineStr">
        <x:is>
          <x:t xml:space="preserve">Show the situation within 2 seconds.</x:t>
        </x:is>
      </x:c>
    </x:row>
    <x:row r="26" ht="38" customHeight="1">
      <x:c r="A26" s="117" t="inlineStr">
        <x:is>
          <x:t xml:space="preserve">Problem</x:t>
        </x:is>
      </x:c>
      <x:c r="B26" s="117" t="inlineStr">
        <x:is>
          <x:t xml:space="preserve">Name a pain clearly</x:t>
        </x:is>
      </x:c>
      <x:c r="C26" s="117" t="inlineStr">
        <x:is>
          <x:t xml:space="preserve">The road changed, but nobody warned you.</x:t>
        </x:is>
      </x:c>
      <x:c r="D26" s="117" t="inlineStr">
        <x:is>
          <x:t xml:space="preserve">Scenario-based video</x:t>
        </x:is>
      </x:c>
      <x:c r="E26" s="117" t="inlineStr">
        <x:is>
          <x:t xml:space="preserve">Accident Assistant or dashcam</x:t>
        </x:is>
      </x:c>
      <x:c r="F26" s="117" t="inlineStr">
        <x:is>
          <x:t xml:space="preserve">Show the situation within 2 seconds.</x:t>
        </x:is>
      </x:c>
    </x:row>
    <x:row r="27" ht="38" customHeight="1">
      <x:c r="A27" s="110" t="inlineStr">
        <x:is>
          <x:t xml:space="preserve">Problem</x:t>
        </x:is>
      </x:c>
      <x:c r="B27" s="110" t="inlineStr">
        <x:is>
          <x:t xml:space="preserve">Name a pain clearly</x:t>
        </x:is>
      </x:c>
      <x:c r="C27" s="110" t="inlineStr">
        <x:is>
          <x:t xml:space="preserve">Your group trip is already chaotic before you leave.</x:t>
        </x:is>
      </x:c>
      <x:c r="D27" s="110" t="inlineStr">
        <x:is>
          <x:t xml:space="preserve">Scenario-based video</x:t>
        </x:is>
      </x:c>
      <x:c r="E27" s="110" t="inlineStr">
        <x:is>
          <x:t xml:space="preserve">Accident Assistant or dashcam</x:t>
        </x:is>
      </x:c>
      <x:c r="F27" s="110" t="inlineStr">
        <x:is>
          <x:t xml:space="preserve">Show the situation within 2 seconds.</x:t>
        </x:is>
      </x:c>
    </x:row>
    <x:row r="28" ht="38" customHeight="1">
      <x:c r="A28" s="117" t="inlineStr">
        <x:is>
          <x:t xml:space="preserve">Problem</x:t>
        </x:is>
      </x:c>
      <x:c r="B28" s="117" t="inlineStr">
        <x:is>
          <x:t xml:space="preserve">Name a pain clearly</x:t>
        </x:is>
      </x:c>
      <x:c r="C28" s="117" t="inlineStr">
        <x:is>
          <x:t xml:space="preserve">One small car problem can ruin the whole day.</x:t>
        </x:is>
      </x:c>
      <x:c r="D28" s="117" t="inlineStr">
        <x:is>
          <x:t xml:space="preserve">Scenario-based video</x:t>
        </x:is>
      </x:c>
      <x:c r="E28" s="117" t="inlineStr">
        <x:is>
          <x:t xml:space="preserve">Accident Assistant or dashcam</x:t>
        </x:is>
      </x:c>
      <x:c r="F28" s="117" t="inlineStr">
        <x:is>
          <x:t xml:space="preserve">Show the situation within 2 seconds.</x:t>
        </x:is>
      </x:c>
    </x:row>
    <x:row r="29" ht="38" customHeight="1">
      <x:c r="A29" s="110" t="inlineStr">
        <x:is>
          <x:t xml:space="preserve">Problem</x:t>
        </x:is>
      </x:c>
      <x:c r="B29" s="110" t="inlineStr">
        <x:is>
          <x:t xml:space="preserve">Name a pain clearly</x:t>
        </x:is>
      </x:c>
      <x:c r="C29" s="110" t="inlineStr">
        <x:is>
          <x:t xml:space="preserve">You are not late because of distance; you are late because of surprises.</x:t>
        </x:is>
      </x:c>
      <x:c r="D29" s="110" t="inlineStr">
        <x:is>
          <x:t xml:space="preserve">Scenario-based video</x:t>
        </x:is>
      </x:c>
      <x:c r="E29" s="110" t="inlineStr">
        <x:is>
          <x:t xml:space="preserve">Accident Assistant or dashcam</x:t>
        </x:is>
      </x:c>
      <x:c r="F29" s="110" t="inlineStr">
        <x:is>
          <x:t xml:space="preserve">Show the situation within 2 seconds.</x:t>
        </x:is>
      </x:c>
    </x:row>
    <x:row r="30" ht="38" customHeight="1">
      <x:c r="A30" s="117" t="inlineStr">
        <x:is>
          <x:t xml:space="preserve">Problem</x:t>
        </x:is>
      </x:c>
      <x:c r="B30" s="117" t="inlineStr">
        <x:is>
          <x:t xml:space="preserve">Name a pain clearly</x:t>
        </x:is>
      </x:c>
      <x:c r="C30" s="117" t="inlineStr">
        <x:is>
          <x:t xml:space="preserve">This is the driving mistake people only admit in private.</x:t>
        </x:is>
      </x:c>
      <x:c r="D30" s="117" t="inlineStr">
        <x:is>
          <x:t xml:space="preserve">Scenario-based video</x:t>
        </x:is>
      </x:c>
      <x:c r="E30" s="117" t="inlineStr">
        <x:is>
          <x:t xml:space="preserve">Accident Assistant or dashcam</x:t>
        </x:is>
      </x:c>
      <x:c r="F30" s="117" t="inlineStr">
        <x:is>
          <x:t xml:space="preserve">Show the situation within 2 seconds.</x:t>
        </x:is>
      </x:c>
    </x:row>
    <x:row r="31" ht="38" customHeight="1">
      <x:c r="A31" s="110" t="inlineStr">
        <x:is>
          <x:t xml:space="preserve">Problem</x:t>
        </x:is>
      </x:c>
      <x:c r="B31" s="110" t="inlineStr">
        <x:is>
          <x:t xml:space="preserve">Name a pain clearly</x:t>
        </x:is>
      </x:c>
      <x:c r="C31" s="110" t="inlineStr">
        <x:is>
          <x:t xml:space="preserve">The passenger saw it. The driver missed it. Now what?</x:t>
        </x:is>
      </x:c>
      <x:c r="D31" s="110" t="inlineStr">
        <x:is>
          <x:t xml:space="preserve">Scenario-based video</x:t>
        </x:is>
      </x:c>
      <x:c r="E31" s="110" t="inlineStr">
        <x:is>
          <x:t xml:space="preserve">Accident Assistant or dashcam</x:t>
        </x:is>
      </x:c>
      <x:c r="F31" s="110" t="inlineStr">
        <x:is>
          <x:t xml:space="preserve">Show the situation within 2 seconds.</x:t>
        </x:is>
      </x:c>
    </x:row>
    <x:row r="32" ht="38" customHeight="1">
      <x:c r="A32" s="117" t="inlineStr">
        <x:is>
          <x:t xml:space="preserve">Problem</x:t>
        </x:is>
      </x:c>
      <x:c r="B32" s="117" t="inlineStr">
        <x:is>
          <x:t xml:space="preserve">Name a pain clearly</x:t>
        </x:is>
      </x:c>
      <x:c r="C32" s="117" t="inlineStr">
        <x:is>
          <x:t xml:space="preserve">You do not need panic. You need a sequence.</x:t>
        </x:is>
      </x:c>
      <x:c r="D32" s="117" t="inlineStr">
        <x:is>
          <x:t xml:space="preserve">Scenario-based video</x:t>
        </x:is>
      </x:c>
      <x:c r="E32" s="117" t="inlineStr">
        <x:is>
          <x:t xml:space="preserve">Accident Assistant or dashcam</x:t>
        </x:is>
      </x:c>
      <x:c r="F32" s="117" t="inlineStr">
        <x:is>
          <x:t xml:space="preserve">Show the situation within 2 seconds.</x:t>
        </x:is>
      </x:c>
    </x:row>
    <x:row r="33" ht="38" customHeight="1">
      <x:c r="A33" s="110" t="inlineStr">
        <x:is>
          <x:t xml:space="preserve">Problem</x:t>
        </x:is>
      </x:c>
      <x:c r="B33" s="110" t="inlineStr">
        <x:is>
          <x:t xml:space="preserve">Name a pain clearly</x:t>
        </x:is>
      </x:c>
      <x:c r="C33" s="110" t="inlineStr">
        <x:is>
          <x:t xml:space="preserve">That “small sound” from the car deserves attention.</x:t>
        </x:is>
      </x:c>
      <x:c r="D33" s="110" t="inlineStr">
        <x:is>
          <x:t xml:space="preserve">Scenario-based video</x:t>
        </x:is>
      </x:c>
      <x:c r="E33" s="110" t="inlineStr">
        <x:is>
          <x:t xml:space="preserve">Accident Assistant or dashcam</x:t>
        </x:is>
      </x:c>
      <x:c r="F33" s="110" t="inlineStr">
        <x:is>
          <x:t xml:space="preserve">Show the situation within 2 seconds.</x:t>
        </x:is>
      </x:c>
    </x:row>
    <x:row r="34" ht="38" customHeight="1">
      <x:c r="A34" s="117" t="inlineStr">
        <x:is>
          <x:t xml:space="preserve">Problem</x:t>
        </x:is>
      </x:c>
      <x:c r="B34" s="117" t="inlineStr">
        <x:is>
          <x:t xml:space="preserve">Name a pain clearly</x:t>
        </x:is>
      </x:c>
      <x:c r="C34" s="117" t="inlineStr">
        <x:is>
          <x:t xml:space="preserve">If the other driver disagrees, what proof do you have?</x:t>
        </x:is>
      </x:c>
      <x:c r="D34" s="117" t="inlineStr">
        <x:is>
          <x:t xml:space="preserve">Scenario-based video</x:t>
        </x:is>
      </x:c>
      <x:c r="E34" s="117" t="inlineStr">
        <x:is>
          <x:t xml:space="preserve">Accident Assistant or dashcam</x:t>
        </x:is>
      </x:c>
      <x:c r="F34" s="117" t="inlineStr">
        <x:is>
          <x:t xml:space="preserve">Show the situation within 2 seconds.</x:t>
        </x:is>
      </x:c>
    </x:row>
    <x:row r="35" ht="38" customHeight="1">
      <x:c r="A35" s="110" t="inlineStr">
        <x:is>
          <x:t xml:space="preserve">Saveable</x:t>
        </x:is>
      </x:c>
      <x:c r="B35" s="110" t="inlineStr">
        <x:is>
          <x:t xml:space="preserve">Drive saves and shares</x:t>
        </x:is>
      </x:c>
      <x:c r="C35" s="110" t="inlineStr">
        <x:is>
          <x:t xml:space="preserve">Save this before your next long drive.</x:t>
        </x:is>
      </x:c>
      <x:c r="D35" s="110" t="inlineStr">
        <x:is>
          <x:t xml:space="preserve">Checklist/carousel</x:t>
        </x:is>
      </x:c>
      <x:c r="E35" s="110" t="inlineStr">
        <x:is>
          <x:t xml:space="preserve">Before You Drive</x:t>
        </x:is>
      </x:c>
      <x:c r="F35" s="110" t="inlineStr">
        <x:is>
          <x:t xml:space="preserve">Use number overlays and strong final card.</x:t>
        </x:is>
      </x:c>
    </x:row>
    <x:row r="36" ht="38" customHeight="1">
      <x:c r="A36" s="117" t="inlineStr">
        <x:is>
          <x:t xml:space="preserve">Saveable</x:t>
        </x:is>
      </x:c>
      <x:c r="B36" s="117" t="inlineStr">
        <x:is>
          <x:t xml:space="preserve">Drive saves and shares</x:t>
        </x:is>
      </x:c>
      <x:c r="C36" s="117" t="inlineStr">
        <x:is>
          <x:t xml:space="preserve">Three checks before you start the car.</x:t>
        </x:is>
      </x:c>
      <x:c r="D36" s="117" t="inlineStr">
        <x:is>
          <x:t xml:space="preserve">Checklist/carousel</x:t>
        </x:is>
      </x:c>
      <x:c r="E36" s="117" t="inlineStr">
        <x:is>
          <x:t xml:space="preserve">Before You Drive</x:t>
        </x:is>
      </x:c>
      <x:c r="F36" s="117" t="inlineStr">
        <x:is>
          <x:t xml:space="preserve">Use number overlays and strong final card.</x:t>
        </x:is>
      </x:c>
    </x:row>
    <x:row r="37" ht="38" customHeight="1">
      <x:c r="A37" s="110" t="inlineStr">
        <x:is>
          <x:t xml:space="preserve">Saveable</x:t>
        </x:is>
      </x:c>
      <x:c r="B37" s="110" t="inlineStr">
        <x:is>
          <x:t xml:space="preserve">Drive saves and shares</x:t>
        </x:is>
      </x:c>
      <x:c r="C37" s="110" t="inlineStr">
        <x:is>
          <x:t xml:space="preserve">The first 10 minutes after a minor crash: do this.</x:t>
        </x:is>
      </x:c>
      <x:c r="D37" s="110" t="inlineStr">
        <x:is>
          <x:t xml:space="preserve">Checklist/carousel</x:t>
        </x:is>
      </x:c>
      <x:c r="E37" s="110" t="inlineStr">
        <x:is>
          <x:t xml:space="preserve">Before You Drive</x:t>
        </x:is>
      </x:c>
      <x:c r="F37" s="110" t="inlineStr">
        <x:is>
          <x:t xml:space="preserve">Use number overlays and strong final card.</x:t>
        </x:is>
      </x:c>
    </x:row>
    <x:row r="38" ht="38" customHeight="1">
      <x:c r="A38" s="117" t="inlineStr">
        <x:is>
          <x:t xml:space="preserve">Saveable</x:t>
        </x:is>
      </x:c>
      <x:c r="B38" s="117" t="inlineStr">
        <x:is>
          <x:t xml:space="preserve">Drive saves and shares</x:t>
        </x:is>
      </x:c>
      <x:c r="C38" s="117" t="inlineStr">
        <x:is>
          <x:t xml:space="preserve">Before the December drive, run through this list.</x:t>
        </x:is>
      </x:c>
      <x:c r="D38" s="117" t="inlineStr">
        <x:is>
          <x:t xml:space="preserve">Checklist/carousel</x:t>
        </x:is>
      </x:c>
      <x:c r="E38" s="117" t="inlineStr">
        <x:is>
          <x:t xml:space="preserve">Before You Drive</x:t>
        </x:is>
      </x:c>
      <x:c r="F38" s="117" t="inlineStr">
        <x:is>
          <x:t xml:space="preserve">Use number overlays and strong final card.</x:t>
        </x:is>
      </x:c>
    </x:row>
    <x:row r="39" ht="38" customHeight="1">
      <x:c r="A39" s="110" t="inlineStr">
        <x:is>
          <x:t xml:space="preserve">Saveable</x:t>
        </x:is>
      </x:c>
      <x:c r="B39" s="110" t="inlineStr">
        <x:is>
          <x:t xml:space="preserve">Drive saves and shares</x:t>
        </x:is>
      </x:c>
      <x:c r="C39" s="110" t="inlineStr">
        <x:is>
          <x:t xml:space="preserve">Your rainy-evening driving checklist.</x:t>
        </x:is>
      </x:c>
      <x:c r="D39" s="110" t="inlineStr">
        <x:is>
          <x:t xml:space="preserve">Checklist/carousel</x:t>
        </x:is>
      </x:c>
      <x:c r="E39" s="110" t="inlineStr">
        <x:is>
          <x:t xml:space="preserve">Before You Drive</x:t>
        </x:is>
      </x:c>
      <x:c r="F39" s="110" t="inlineStr">
        <x:is>
          <x:t xml:space="preserve">Use number overlays and strong final card.</x:t>
        </x:is>
      </x:c>
    </x:row>
    <x:row r="40" ht="38" customHeight="1">
      <x:c r="A40" s="117" t="inlineStr">
        <x:is>
          <x:t xml:space="preserve">Saveable</x:t>
        </x:is>
      </x:c>
      <x:c r="B40" s="117" t="inlineStr">
        <x:is>
          <x:t xml:space="preserve">Drive saves and shares</x:t>
        </x:is>
      </x:c>
      <x:c r="C40" s="117" t="inlineStr">
        <x:is>
          <x:t xml:space="preserve">The quick car-care routine every owner should know.</x:t>
        </x:is>
      </x:c>
      <x:c r="D40" s="117" t="inlineStr">
        <x:is>
          <x:t xml:space="preserve">Checklist/carousel</x:t>
        </x:is>
      </x:c>
      <x:c r="E40" s="117" t="inlineStr">
        <x:is>
          <x:t xml:space="preserve">Before You Drive</x:t>
        </x:is>
      </x:c>
      <x:c r="F40" s="117" t="inlineStr">
        <x:is>
          <x:t xml:space="preserve">Use number overlays and strong final card.</x:t>
        </x:is>
      </x:c>
    </x:row>
    <x:row r="41" ht="38" customHeight="1">
      <x:c r="A41" s="110" t="inlineStr">
        <x:is>
          <x:t xml:space="preserve">Saveable</x:t>
        </x:is>
      </x:c>
      <x:c r="B41" s="110" t="inlineStr">
        <x:is>
          <x:t xml:space="preserve">Drive saves and shares</x:t>
        </x:is>
      </x:c>
      <x:c r="C41" s="110" t="inlineStr">
        <x:is>
          <x:t xml:space="preserve">Before your group trip leaves, send them this.</x:t>
        </x:is>
      </x:c>
      <x:c r="D41" s="110" t="inlineStr">
        <x:is>
          <x:t xml:space="preserve">Checklist/carousel</x:t>
        </x:is>
      </x:c>
      <x:c r="E41" s="110" t="inlineStr">
        <x:is>
          <x:t xml:space="preserve">Before You Drive</x:t>
        </x:is>
      </x:c>
      <x:c r="F41" s="110" t="inlineStr">
        <x:is>
          <x:t xml:space="preserve">Use number overlays and strong final card.</x:t>
        </x:is>
      </x:c>
    </x:row>
    <x:row r="42" ht="38" customHeight="1">
      <x:c r="A42" s="117" t="inlineStr">
        <x:is>
          <x:t xml:space="preserve">Saveable</x:t>
        </x:is>
      </x:c>
      <x:c r="B42" s="117" t="inlineStr">
        <x:is>
          <x:t xml:space="preserve">Drive saves and shares</x:t>
        </x:is>
      </x:c>
      <x:c r="C42" s="117" t="inlineStr">
        <x:is>
          <x:t xml:space="preserve">The passenger checklist nobody talks about.</x:t>
        </x:is>
      </x:c>
      <x:c r="D42" s="117" t="inlineStr">
        <x:is>
          <x:t xml:space="preserve">Checklist/carousel</x:t>
        </x:is>
      </x:c>
      <x:c r="E42" s="117" t="inlineStr">
        <x:is>
          <x:t xml:space="preserve">Before You Drive</x:t>
        </x:is>
      </x:c>
      <x:c r="F42" s="117" t="inlineStr">
        <x:is>
          <x:t xml:space="preserve">Use number overlays and strong final card.</x:t>
        </x:is>
      </x:c>
    </x:row>
    <x:row r="43" ht="38" customHeight="1">
      <x:c r="A43" s="110" t="inlineStr">
        <x:is>
          <x:t xml:space="preserve">Saveable</x:t>
        </x:is>
      </x:c>
      <x:c r="B43" s="110" t="inlineStr">
        <x:is>
          <x:t xml:space="preserve">Drive saves and shares</x:t>
        </x:is>
      </x:c>
      <x:c r="C43" s="110" t="inlineStr">
        <x:is>
          <x:t xml:space="preserve">Use this if your route suddenly changes.</x:t>
        </x:is>
      </x:c>
      <x:c r="D43" s="110" t="inlineStr">
        <x:is>
          <x:t xml:space="preserve">Checklist/carousel</x:t>
        </x:is>
      </x:c>
      <x:c r="E43" s="110" t="inlineStr">
        <x:is>
          <x:t xml:space="preserve">Before You Drive</x:t>
        </x:is>
      </x:c>
      <x:c r="F43" s="110" t="inlineStr">
        <x:is>
          <x:t xml:space="preserve">Use number overlays and strong final card.</x:t>
        </x:is>
      </x:c>
    </x:row>
    <x:row r="44" ht="38" customHeight="1">
      <x:c r="A44" s="117" t="inlineStr">
        <x:is>
          <x:t xml:space="preserve">Saveable</x:t>
        </x:is>
      </x:c>
      <x:c r="B44" s="117" t="inlineStr">
        <x:is>
          <x:t xml:space="preserve">Drive saves and shares</x:t>
        </x:is>
      </x:c>
      <x:c r="C44" s="117" t="inlineStr">
        <x:is>
          <x:t xml:space="preserve">Keep this in your phone for the day you need it.</x:t>
        </x:is>
      </x:c>
      <x:c r="D44" s="117" t="inlineStr">
        <x:is>
          <x:t xml:space="preserve">Checklist/carousel</x:t>
        </x:is>
      </x:c>
      <x:c r="E44" s="117" t="inlineStr">
        <x:is>
          <x:t xml:space="preserve">Before You Drive</x:t>
        </x:is>
      </x:c>
      <x:c r="F44" s="117" t="inlineStr">
        <x:is>
          <x:t xml:space="preserve">Use number overlays and strong final card.</x:t>
        </x:is>
      </x:c>
    </x:row>
    <x:row r="45" ht="38" customHeight="1">
      <x:c r="A45" s="110" t="inlineStr">
        <x:is>
          <x:t xml:space="preserve">Saveable</x:t>
        </x:is>
      </x:c>
      <x:c r="B45" s="110" t="inlineStr">
        <x:is>
          <x:t xml:space="preserve">Drive saves and shares</x:t>
        </x:is>
      </x:c>
      <x:c r="C45" s="110" t="inlineStr">
        <x:is>
          <x:t xml:space="preserve">A 30-second check can save an hour of stress.</x:t>
        </x:is>
      </x:c>
      <x:c r="D45" s="110" t="inlineStr">
        <x:is>
          <x:t xml:space="preserve">Checklist/carousel</x:t>
        </x:is>
      </x:c>
      <x:c r="E45" s="110" t="inlineStr">
        <x:is>
          <x:t xml:space="preserve">Before You Drive</x:t>
        </x:is>
      </x:c>
      <x:c r="F45" s="110" t="inlineStr">
        <x:is>
          <x:t xml:space="preserve">Use number overlays and strong final card.</x:t>
        </x:is>
      </x:c>
    </x:row>
    <x:row r="46" ht="38" customHeight="1">
      <x:c r="A46" s="117" t="inlineStr">
        <x:is>
          <x:t xml:space="preserve">Saveable</x:t>
        </x:is>
      </x:c>
      <x:c r="B46" s="117" t="inlineStr">
        <x:is>
          <x:t xml:space="preserve">Drive saves and shares</x:t>
        </x:is>
      </x:c>
      <x:c r="C46" s="117" t="inlineStr">
        <x:is>
          <x:t xml:space="preserve">Screenshot this if you drive at night.</x:t>
        </x:is>
      </x:c>
      <x:c r="D46" s="117" t="inlineStr">
        <x:is>
          <x:t xml:space="preserve">Checklist/carousel</x:t>
        </x:is>
      </x:c>
      <x:c r="E46" s="117" t="inlineStr">
        <x:is>
          <x:t xml:space="preserve">Before You Drive</x:t>
        </x:is>
      </x:c>
      <x:c r="F46" s="117" t="inlineStr">
        <x:is>
          <x:t xml:space="preserve">Use number overlays and strong final card.</x:t>
        </x:is>
      </x:c>
    </x:row>
    <x:row r="47" ht="38" customHeight="1">
      <x:c r="A47" s="110" t="inlineStr">
        <x:is>
          <x:t xml:space="preserve">Saveable</x:t>
        </x:is>
      </x:c>
      <x:c r="B47" s="110" t="inlineStr">
        <x:is>
          <x:t xml:space="preserve">Drive saves and shares</x:t>
        </x:is>
      </x:c>
      <x:c r="C47" s="110" t="inlineStr">
        <x:is>
          <x:t xml:space="preserve">Do this before you hand someone your car.</x:t>
        </x:is>
      </x:c>
      <x:c r="D47" s="110" t="inlineStr">
        <x:is>
          <x:t xml:space="preserve">Checklist/carousel</x:t>
        </x:is>
      </x:c>
      <x:c r="E47" s="110" t="inlineStr">
        <x:is>
          <x:t xml:space="preserve">Before You Drive</x:t>
        </x:is>
      </x:c>
      <x:c r="F47" s="110" t="inlineStr">
        <x:is>
          <x:t xml:space="preserve">Use number overlays and strong final card.</x:t>
        </x:is>
      </x:c>
    </x:row>
    <x:row r="48" ht="38" customHeight="1">
      <x:c r="A48" s="117" t="inlineStr">
        <x:is>
          <x:t xml:space="preserve">Saveable</x:t>
        </x:is>
      </x:c>
      <x:c r="B48" s="117" t="inlineStr">
        <x:is>
          <x:t xml:space="preserve">Drive saves and shares</x:t>
        </x:is>
      </x:c>
      <x:c r="C48" s="117" t="inlineStr">
        <x:is>
          <x:t xml:space="preserve">One minute road safety: fatigue edition.</x:t>
        </x:is>
      </x:c>
      <x:c r="D48" s="117" t="inlineStr">
        <x:is>
          <x:t xml:space="preserve">Checklist/carousel</x:t>
        </x:is>
      </x:c>
      <x:c r="E48" s="117" t="inlineStr">
        <x:is>
          <x:t xml:space="preserve">Before You Drive</x:t>
        </x:is>
      </x:c>
      <x:c r="F48" s="117" t="inlineStr">
        <x:is>
          <x:t xml:space="preserve">Use number overlays and strong final card.</x:t>
        </x:is>
      </x:c>
    </x:row>
    <x:row r="49" ht="38" customHeight="1">
      <x:c r="A49" s="110" t="inlineStr">
        <x:is>
          <x:t xml:space="preserve">Saveable</x:t>
        </x:is>
      </x:c>
      <x:c r="B49" s="110" t="inlineStr">
        <x:is>
          <x:t xml:space="preserve">Drive saves and shares</x:t>
        </x:is>
      </x:c>
      <x:c r="C49" s="110" t="inlineStr">
        <x:is>
          <x:t xml:space="preserve">The safest drive starts before the engine starts.</x:t>
        </x:is>
      </x:c>
      <x:c r="D49" s="110" t="inlineStr">
        <x:is>
          <x:t xml:space="preserve">Checklist/carousel</x:t>
        </x:is>
      </x:c>
      <x:c r="E49" s="110" t="inlineStr">
        <x:is>
          <x:t xml:space="preserve">Before You Drive</x:t>
        </x:is>
      </x:c>
      <x:c r="F49" s="110" t="inlineStr">
        <x:is>
          <x:t xml:space="preserve">Use number overlays and strong final card.</x:t>
        </x:is>
      </x:c>
    </x:row>
    <x:row r="50" ht="38" customHeight="1">
      <x:c r="A50" s="117" t="inlineStr">
        <x:is>
          <x:t xml:space="preserve">Debate</x:t>
        </x:is>
      </x:c>
      <x:c r="B50" s="117" t="inlineStr">
        <x:is>
          <x:t xml:space="preserve">Invite comments safely</x:t>
        </x:is>
      </x:c>
      <x:c r="C50" s="117" t="inlineStr">
        <x:is>
          <x:t xml:space="preserve">Hot take: better road information should make drivers calmer, not careless.</x:t>
        </x:is>
      </x:c>
      <x:c r="D50" s="117" t="inlineStr">
        <x:is>
          <x:t xml:space="preserve">Mythbuster/debate</x:t>
        </x:is>
      </x:c>
      <x:c r="E50" s="117" t="inlineStr">
        <x:is>
          <x:t xml:space="preserve">Speed awareness or passenger behavior</x:t>
        </x:is>
      </x:c>
      <x:c r="F50" s="117" t="inlineStr">
        <x:is>
          <x:t xml:space="preserve">End with responsible framing.</x:t>
        </x:is>
      </x:c>
    </x:row>
    <x:row r="51" ht="38" customHeight="1">
      <x:c r="A51" s="110" t="inlineStr">
        <x:is>
          <x:t xml:space="preserve">Debate</x:t>
        </x:is>
      </x:c>
      <x:c r="B51" s="110" t="inlineStr">
        <x:is>
          <x:t xml:space="preserve">Invite comments safely</x:t>
        </x:is>
      </x:c>
      <x:c r="C51" s="110" t="inlineStr">
        <x:is>
          <x:t xml:space="preserve">Is this a driver problem or a road-information problem?</x:t>
        </x:is>
      </x:c>
      <x:c r="D51" s="110" t="inlineStr">
        <x:is>
          <x:t xml:space="preserve">Mythbuster/debate</x:t>
        </x:is>
      </x:c>
      <x:c r="E51" s="110" t="inlineStr">
        <x:is>
          <x:t xml:space="preserve">Speed awareness or passenger behavior</x:t>
        </x:is>
      </x:c>
      <x:c r="F51" s="110" t="inlineStr">
        <x:is>
          <x:t xml:space="preserve">End with responsible framing.</x:t>
        </x:is>
      </x:c>
    </x:row>
    <x:row r="52" ht="38" customHeight="1">
      <x:c r="A52" s="117" t="inlineStr">
        <x:is>
          <x:t xml:space="preserve">Debate</x:t>
        </x:is>
      </x:c>
      <x:c r="B52" s="117" t="inlineStr">
        <x:is>
          <x:t xml:space="preserve">Invite comments safely</x:t>
        </x:is>
      </x:c>
      <x:c r="C52" s="117" t="inlineStr">
        <x:is>
          <x:t xml:space="preserve">Would you trust a phone dashcam in a real incident?</x:t>
        </x:is>
      </x:c>
      <x:c r="D52" s="117" t="inlineStr">
        <x:is>
          <x:t xml:space="preserve">Mythbuster/debate</x:t>
        </x:is>
      </x:c>
      <x:c r="E52" s="117" t="inlineStr">
        <x:is>
          <x:t xml:space="preserve">Speed awareness or passenger behavior</x:t>
        </x:is>
      </x:c>
      <x:c r="F52" s="117" t="inlineStr">
        <x:is>
          <x:t xml:space="preserve">End with responsible framing.</x:t>
        </x:is>
      </x:c>
    </x:row>
    <x:row r="53" ht="38" customHeight="1">
      <x:c r="A53" s="110" t="inlineStr">
        <x:is>
          <x:t xml:space="preserve">Debate</x:t>
        </x:is>
      </x:c>
      <x:c r="B53" s="110" t="inlineStr">
        <x:is>
          <x:t xml:space="preserve">Invite comments safely</x:t>
        </x:is>
      </x:c>
      <x:c r="C53" s="110" t="inlineStr">
        <x:is>
          <x:t xml:space="preserve">Are speed alerts safety tools or bad habits waiting to happen?</x:t>
        </x:is>
      </x:c>
      <x:c r="D53" s="110" t="inlineStr">
        <x:is>
          <x:t xml:space="preserve">Mythbuster/debate</x:t>
        </x:is>
      </x:c>
      <x:c r="E53" s="110" t="inlineStr">
        <x:is>
          <x:t xml:space="preserve">Speed awareness or passenger behavior</x:t>
        </x:is>
      </x:c>
      <x:c r="F53" s="110" t="inlineStr">
        <x:is>
          <x:t xml:space="preserve">End with responsible framing.</x:t>
        </x:is>
      </x:c>
    </x:row>
    <x:row r="54" ht="38" customHeight="1">
      <x:c r="A54" s="117" t="inlineStr">
        <x:is>
          <x:t xml:space="preserve">Debate</x:t>
        </x:is>
      </x:c>
      <x:c r="B54" s="117" t="inlineStr">
        <x:is>
          <x:t xml:space="preserve">Invite comments safely</x:t>
        </x:is>
      </x:c>
      <x:c r="C54" s="117" t="inlineStr">
        <x:is>
          <x:t xml:space="preserve">Who is right in this situation: driver or passenger?</x:t>
        </x:is>
      </x:c>
      <x:c r="D54" s="117" t="inlineStr">
        <x:is>
          <x:t xml:space="preserve">Mythbuster/debate</x:t>
        </x:is>
      </x:c>
      <x:c r="E54" s="117" t="inlineStr">
        <x:is>
          <x:t xml:space="preserve">Speed awareness or passenger behavior</x:t>
        </x:is>
      </x:c>
      <x:c r="F54" s="117" t="inlineStr">
        <x:is>
          <x:t xml:space="preserve">End with responsible framing.</x:t>
        </x:is>
      </x:c>
    </x:row>
    <x:row r="55" ht="38" customHeight="1">
      <x:c r="A55" s="110" t="inlineStr">
        <x:is>
          <x:t xml:space="preserve">Debate</x:t>
        </x:is>
      </x:c>
      <x:c r="B55" s="110" t="inlineStr">
        <x:is>
          <x:t xml:space="preserve">Invite comments safely</x:t>
        </x:is>
      </x:c>
      <x:c r="C55" s="110" t="inlineStr">
        <x:is>
          <x:t xml:space="preserve">Do Kenyan drivers need more enforcement or better preparation?</x:t>
        </x:is>
      </x:c>
      <x:c r="D55" s="110" t="inlineStr">
        <x:is>
          <x:t xml:space="preserve">Mythbuster/debate</x:t>
        </x:is>
      </x:c>
      <x:c r="E55" s="110" t="inlineStr">
        <x:is>
          <x:t xml:space="preserve">Speed awareness or passenger behavior</x:t>
        </x:is>
      </x:c>
      <x:c r="F55" s="110" t="inlineStr">
        <x:is>
          <x:t xml:space="preserve">End with responsible framing.</x:t>
        </x:is>
      </x:c>
    </x:row>
    <x:row r="56" ht="38" customHeight="1">
      <x:c r="A56" s="117" t="inlineStr">
        <x:is>
          <x:t xml:space="preserve">Debate</x:t>
        </x:is>
      </x:c>
      <x:c r="B56" s="117" t="inlineStr">
        <x:is>
          <x:t xml:space="preserve">Invite comments safely</x:t>
        </x:is>
      </x:c>
      <x:c r="C56" s="117" t="inlineStr">
        <x:is>
          <x:t xml:space="preserve">Should passengers speak up more often?</x:t>
        </x:is>
      </x:c>
      <x:c r="D56" s="117" t="inlineStr">
        <x:is>
          <x:t xml:space="preserve">Mythbuster/debate</x:t>
        </x:is>
      </x:c>
      <x:c r="E56" s="117" t="inlineStr">
        <x:is>
          <x:t xml:space="preserve">Speed awareness or passenger behavior</x:t>
        </x:is>
      </x:c>
      <x:c r="F56" s="117" t="inlineStr">
        <x:is>
          <x:t xml:space="preserve">End with responsible framing.</x:t>
        </x:is>
      </x:c>
    </x:row>
    <x:row r="57" ht="38" customHeight="1">
      <x:c r="A57" s="110" t="inlineStr">
        <x:is>
          <x:t xml:space="preserve">Debate</x:t>
        </x:is>
      </x:c>
      <x:c r="B57" s="110" t="inlineStr">
        <x:is>
          <x:t xml:space="preserve">Invite comments safely</x:t>
        </x:is>
      </x:c>
      <x:c r="C57" s="110" t="inlineStr">
        <x:is>
          <x:t xml:space="preserve">Is group-trip chaos avoidable or just part of the fun?</x:t>
        </x:is>
      </x:c>
      <x:c r="D57" s="110" t="inlineStr">
        <x:is>
          <x:t xml:space="preserve">Mythbuster/debate</x:t>
        </x:is>
      </x:c>
      <x:c r="E57" s="110" t="inlineStr">
        <x:is>
          <x:t xml:space="preserve">Speed awareness or passenger behavior</x:t>
        </x:is>
      </x:c>
      <x:c r="F57" s="110" t="inlineStr">
        <x:is>
          <x:t xml:space="preserve">End with responsible framing.</x:t>
        </x:is>
      </x:c>
    </x:row>
    <x:row r="58" ht="38" customHeight="1">
      <x:c r="A58" s="117" t="inlineStr">
        <x:is>
          <x:t xml:space="preserve">Debate</x:t>
        </x:is>
      </x:c>
      <x:c r="B58" s="117" t="inlineStr">
        <x:is>
          <x:t xml:space="preserve">Invite comments safely</x:t>
        </x:is>
      </x:c>
      <x:c r="C58" s="117" t="inlineStr">
        <x:is>
          <x:t xml:space="preserve">What is the most overrated driving advice you have heard?</x:t>
        </x:is>
      </x:c>
      <x:c r="D58" s="117" t="inlineStr">
        <x:is>
          <x:t xml:space="preserve">Mythbuster/debate</x:t>
        </x:is>
      </x:c>
      <x:c r="E58" s="117" t="inlineStr">
        <x:is>
          <x:t xml:space="preserve">Speed awareness or passenger behavior</x:t>
        </x:is>
      </x:c>
      <x:c r="F58" s="117" t="inlineStr">
        <x:is>
          <x:t xml:space="preserve">End with responsible framing.</x:t>
        </x:is>
      </x:c>
    </x:row>
    <x:row r="59" ht="38" customHeight="1">
      <x:c r="A59" s="110" t="inlineStr">
        <x:is>
          <x:t xml:space="preserve">Debate</x:t>
        </x:is>
      </x:c>
      <x:c r="B59" s="110" t="inlineStr">
        <x:is>
          <x:t xml:space="preserve">Invite comments safely</x:t>
        </x:is>
      </x:c>
      <x:c r="C59" s="110" t="inlineStr">
        <x:is>
          <x:t xml:space="preserve">Would this feature change how you drive?</x:t>
        </x:is>
      </x:c>
      <x:c r="D59" s="110" t="inlineStr">
        <x:is>
          <x:t xml:space="preserve">Mythbuster/debate</x:t>
        </x:is>
      </x:c>
      <x:c r="E59" s="110" t="inlineStr">
        <x:is>
          <x:t xml:space="preserve">Speed awareness or passenger behavior</x:t>
        </x:is>
      </x:c>
      <x:c r="F59" s="110" t="inlineStr">
        <x:is>
          <x:t xml:space="preserve">End with responsible framing.</x:t>
        </x:is>
      </x:c>
    </x:row>
    <x:row r="60" ht="38" customHeight="1">
      <x:c r="A60" s="117" t="inlineStr">
        <x:is>
          <x:t xml:space="preserve">Founder Story</x:t>
        </x:is>
      </x:c>
      <x:c r="B60" s="117" t="inlineStr">
        <x:is>
          <x:t xml:space="preserve">Build trust</x:t>
        </x:is>
      </x:c>
      <x:c r="C60" s="117" t="inlineStr">
        <x:is>
          <x:t xml:space="preserve">Peter here — this is the feature I hope you never need.</x:t>
        </x:is>
      </x:c>
      <x:c r="D60" s="117" t="inlineStr">
        <x:is>
          <x:t xml:space="preserve">Founder Files</x:t>
        </x:is>
      </x:c>
      <x:c r="E60" s="117" t="inlineStr">
        <x:is>
          <x:t xml:space="preserve">Peter / product decisions</x:t>
        </x:is>
      </x:c>
      <x:c r="F60" s="117" t="inlineStr">
        <x:is>
          <x:t xml:space="preserve">Use concrete detail, not vague mission talk.</x:t>
        </x:is>
      </x:c>
    </x:row>
    <x:row r="61" ht="38" customHeight="1">
      <x:c r="A61" s="110" t="inlineStr">
        <x:is>
          <x:t xml:space="preserve">Founder Story</x:t>
        </x:is>
      </x:c>
      <x:c r="B61" s="110" t="inlineStr">
        <x:is>
          <x:t xml:space="preserve">Build trust</x:t>
        </x:is>
      </x:c>
      <x:c r="C61" s="110" t="inlineStr">
        <x:is>
          <x:t xml:space="preserve">The first version of this idea was too complicated.</x:t>
        </x:is>
      </x:c>
      <x:c r="D61" s="110" t="inlineStr">
        <x:is>
          <x:t xml:space="preserve">Founder Files</x:t>
        </x:is>
      </x:c>
      <x:c r="E61" s="110" t="inlineStr">
        <x:is>
          <x:t xml:space="preserve">Peter / product decisions</x:t>
        </x:is>
      </x:c>
      <x:c r="F61" s="110" t="inlineStr">
        <x:is>
          <x:t xml:space="preserve">Use concrete detail, not vague mission talk.</x:t>
        </x:is>
      </x:c>
    </x:row>
    <x:row r="62" ht="38" customHeight="1">
      <x:c r="A62" s="117" t="inlineStr">
        <x:is>
          <x:t xml:space="preserve">Founder Story</x:t>
        </x:is>
      </x:c>
      <x:c r="B62" s="117" t="inlineStr">
        <x:is>
          <x:t xml:space="preserve">Build trust</x:t>
        </x:is>
      </x:c>
      <x:c r="C62" s="117" t="inlineStr">
        <x:is>
          <x:t xml:space="preserve">We almost ignored this problem until drivers kept mentioning it.</x:t>
        </x:is>
      </x:c>
      <x:c r="D62" s="117" t="inlineStr">
        <x:is>
          <x:t xml:space="preserve">Founder Files</x:t>
        </x:is>
      </x:c>
      <x:c r="E62" s="117" t="inlineStr">
        <x:is>
          <x:t xml:space="preserve">Peter / product decisions</x:t>
        </x:is>
      </x:c>
      <x:c r="F62" s="117" t="inlineStr">
        <x:is>
          <x:t xml:space="preserve">Use concrete detail, not vague mission talk.</x:t>
        </x:is>
      </x:c>
    </x:row>
    <x:row r="63" ht="38" customHeight="1">
      <x:c r="A63" s="110" t="inlineStr">
        <x:is>
          <x:t xml:space="preserve">Founder Story</x:t>
        </x:is>
      </x:c>
      <x:c r="B63" s="110" t="inlineStr">
        <x:is>
          <x:t xml:space="preserve">Build trust</x:t>
        </x:is>
      </x:c>
      <x:c r="C63" s="110" t="inlineStr">
        <x:is>
          <x:t xml:space="preserve">Building for Kenyan roads means making different product choices.</x:t>
        </x:is>
      </x:c>
      <x:c r="D63" s="110" t="inlineStr">
        <x:is>
          <x:t xml:space="preserve">Founder Files</x:t>
        </x:is>
      </x:c>
      <x:c r="E63" s="110" t="inlineStr">
        <x:is>
          <x:t xml:space="preserve">Peter / product decisions</x:t>
        </x:is>
      </x:c>
      <x:c r="F63" s="110" t="inlineStr">
        <x:is>
          <x:t xml:space="preserve">Use concrete detail, not vague mission talk.</x:t>
        </x:is>
      </x:c>
    </x:row>
    <x:row r="64" ht="38" customHeight="1">
      <x:c r="A64" s="117" t="inlineStr">
        <x:is>
          <x:t xml:space="preserve">Founder Story</x:t>
        </x:is>
      </x:c>
      <x:c r="B64" s="117" t="inlineStr">
        <x:is>
          <x:t xml:space="preserve">Build trust</x:t>
        </x:is>
      </x:c>
      <x:c r="C64" s="117" t="inlineStr">
        <x:is>
          <x:t xml:space="preserve">This is why Msafiri is not just another map app.</x:t>
        </x:is>
      </x:c>
      <x:c r="D64" s="117" t="inlineStr">
        <x:is>
          <x:t xml:space="preserve">Founder Files</x:t>
        </x:is>
      </x:c>
      <x:c r="E64" s="117" t="inlineStr">
        <x:is>
          <x:t xml:space="preserve">Peter / product decisions</x:t>
        </x:is>
      </x:c>
      <x:c r="F64" s="117" t="inlineStr">
        <x:is>
          <x:t xml:space="preserve">Use concrete detail, not vague mission talk.</x:t>
        </x:is>
      </x:c>
    </x:row>
    <x:row r="65" ht="38" customHeight="1">
      <x:c r="A65" s="110" t="inlineStr">
        <x:is>
          <x:t xml:space="preserve">Founder Story</x:t>
        </x:is>
      </x:c>
      <x:c r="B65" s="110" t="inlineStr">
        <x:is>
          <x:t xml:space="preserve">Build trust</x:t>
        </x:is>
      </x:c>
      <x:c r="C65" s="110" t="inlineStr">
        <x:is>
          <x:t xml:space="preserve">The hardest part of this feature was not the technology.</x:t>
        </x:is>
      </x:c>
      <x:c r="D65" s="110" t="inlineStr">
        <x:is>
          <x:t xml:space="preserve">Founder Files</x:t>
        </x:is>
      </x:c>
      <x:c r="E65" s="110" t="inlineStr">
        <x:is>
          <x:t xml:space="preserve">Peter / product decisions</x:t>
        </x:is>
      </x:c>
      <x:c r="F65" s="110" t="inlineStr">
        <x:is>
          <x:t xml:space="preserve">Use concrete detail, not vague mission talk.</x:t>
        </x:is>
      </x:c>
    </x:row>
    <x:row r="66" ht="38" customHeight="1">
      <x:c r="A66" s="117" t="inlineStr">
        <x:is>
          <x:t xml:space="preserve">Founder Story</x:t>
        </x:is>
      </x:c>
      <x:c r="B66" s="117" t="inlineStr">
        <x:is>
          <x:t xml:space="preserve">Build trust</x:t>
        </x:is>
      </x:c>
      <x:c r="C66" s="117" t="inlineStr">
        <x:is>
          <x:t xml:space="preserve">I want to show you the thinking behind this screen.</x:t>
        </x:is>
      </x:c>
      <x:c r="D66" s="117" t="inlineStr">
        <x:is>
          <x:t xml:space="preserve">Founder Files</x:t>
        </x:is>
      </x:c>
      <x:c r="E66" s="117" t="inlineStr">
        <x:is>
          <x:t xml:space="preserve">Peter / product decisions</x:t>
        </x:is>
      </x:c>
      <x:c r="F66" s="117" t="inlineStr">
        <x:is>
          <x:t xml:space="preserve">Use concrete detail, not vague mission talk.</x:t>
        </x:is>
      </x:c>
    </x:row>
    <x:row r="67" ht="38" customHeight="1">
      <x:c r="A67" s="110" t="inlineStr">
        <x:is>
          <x:t xml:space="preserve">Founder Story</x:t>
        </x:is>
      </x:c>
      <x:c r="B67" s="110" t="inlineStr">
        <x:is>
          <x:t xml:space="preserve">Build trust</x:t>
        </x:is>
      </x:c>
      <x:c r="C67" s="110" t="inlineStr">
        <x:is>
          <x:t xml:space="preserve">This user comment changed how we looked at the product.</x:t>
        </x:is>
      </x:c>
      <x:c r="D67" s="110" t="inlineStr">
        <x:is>
          <x:t xml:space="preserve">Founder Files</x:t>
        </x:is>
      </x:c>
      <x:c r="E67" s="110" t="inlineStr">
        <x:is>
          <x:t xml:space="preserve">Peter / product decisions</x:t>
        </x:is>
      </x:c>
      <x:c r="F67" s="110" t="inlineStr">
        <x:is>
          <x:t xml:space="preserve">Use concrete detail, not vague mission talk.</x:t>
        </x:is>
      </x:c>
    </x:row>
    <x:row r="68" ht="38" customHeight="1">
      <x:c r="A68" s="117" t="inlineStr">
        <x:is>
          <x:t xml:space="preserve">Founder Story</x:t>
        </x:is>
      </x:c>
      <x:c r="B68" s="117" t="inlineStr">
        <x:is>
          <x:t xml:space="preserve">Build trust</x:t>
        </x:is>
      </x:c>
      <x:c r="C68" s="117" t="inlineStr">
        <x:is>
          <x:t xml:space="preserve">If we get this right, ordinary drives feel less stressful.</x:t>
        </x:is>
      </x:c>
      <x:c r="D68" s="117" t="inlineStr">
        <x:is>
          <x:t xml:space="preserve">Founder Files</x:t>
        </x:is>
      </x:c>
      <x:c r="E68" s="117" t="inlineStr">
        <x:is>
          <x:t xml:space="preserve">Peter / product decisions</x:t>
        </x:is>
      </x:c>
      <x:c r="F68" s="117" t="inlineStr">
        <x:is>
          <x:t xml:space="preserve">Use concrete detail, not vague mission talk.</x:t>
        </x:is>
      </x:c>
    </x:row>
    <x:row r="69" ht="38" customHeight="1">
      <x:c r="A69" s="110" t="inlineStr">
        <x:is>
          <x:t xml:space="preserve">Founder Story</x:t>
        </x:is>
      </x:c>
      <x:c r="B69" s="110" t="inlineStr">
        <x:is>
          <x:t xml:space="preserve">Build trust</x:t>
        </x:is>
      </x:c>
      <x:c r="C69" s="110" t="inlineStr">
        <x:is>
          <x:t xml:space="preserve">Here is one thing we refused to build the wrong way.</x:t>
        </x:is>
      </x:c>
      <x:c r="D69" s="110" t="inlineStr">
        <x:is>
          <x:t xml:space="preserve">Founder Files</x:t>
        </x:is>
      </x:c>
      <x:c r="E69" s="110" t="inlineStr">
        <x:is>
          <x:t xml:space="preserve">Peter / product decisions</x:t>
        </x:is>
      </x:c>
      <x:c r="F69" s="110" t="inlineStr">
        <x:is>
          <x:t xml:space="preserve">Use concrete detail, not vague mission talk.</x:t>
        </x:is>
      </x:c>
    </x:row>
    <x:row r="70" ht="38" customHeight="1">
      <x:c r="A70" s="117" t="inlineStr">
        <x:is>
          <x:t xml:space="preserve">Founder Story</x:t>
        </x:is>
      </x:c>
      <x:c r="B70" s="117" t="inlineStr">
        <x:is>
          <x:t xml:space="preserve">Build trust</x:t>
        </x:is>
      </x:c>
      <x:c r="C70" s="117" t="inlineStr">
        <x:is>
          <x:t xml:space="preserve">I do not want Msafiri to encourage reckless driving. Here is why.</x:t>
        </x:is>
      </x:c>
      <x:c r="D70" s="117" t="inlineStr">
        <x:is>
          <x:t xml:space="preserve">Founder Files</x:t>
        </x:is>
      </x:c>
      <x:c r="E70" s="117" t="inlineStr">
        <x:is>
          <x:t xml:space="preserve">Peter / product decisions</x:t>
        </x:is>
      </x:c>
      <x:c r="F70" s="117" t="inlineStr">
        <x:is>
          <x:t xml:space="preserve">Use concrete detail, not vague mission talk.</x:t>
        </x:is>
      </x:c>
    </x:row>
    <x:row r="71" ht="38" customHeight="1">
      <x:c r="A71" s="110" t="inlineStr">
        <x:is>
          <x:t xml:space="preserve">Founder Story</x:t>
        </x:is>
      </x:c>
      <x:c r="B71" s="110" t="inlineStr">
        <x:is>
          <x:t xml:space="preserve">Build trust</x:t>
        </x:is>
      </x:c>
      <x:c r="C71" s="110" t="inlineStr">
        <x:is>
          <x:t xml:space="preserve">The boring feature might be the one that saves the most stress.</x:t>
        </x:is>
      </x:c>
      <x:c r="D71" s="110" t="inlineStr">
        <x:is>
          <x:t xml:space="preserve">Founder Files</x:t>
        </x:is>
      </x:c>
      <x:c r="E71" s="110" t="inlineStr">
        <x:is>
          <x:t xml:space="preserve">Peter / product decisions</x:t>
        </x:is>
      </x:c>
      <x:c r="F71" s="110" t="inlineStr">
        <x:is>
          <x:t xml:space="preserve">Use concrete detail, not vague mission talk.</x:t>
        </x:is>
      </x:c>
    </x:row>
    <x:row r="72" ht="38" customHeight="1">
      <x:c r="A72" s="117" t="inlineStr">
        <x:is>
          <x:t xml:space="preserve">Founder Story</x:t>
        </x:is>
      </x:c>
      <x:c r="B72" s="117" t="inlineStr">
        <x:is>
          <x:t xml:space="preserve">Build trust</x:t>
        </x:is>
      </x:c>
      <x:c r="C72" s="117" t="inlineStr">
        <x:is>
          <x:t xml:space="preserve">We are building this in public because Kenyan drivers should shape it.</x:t>
        </x:is>
      </x:c>
      <x:c r="D72" s="117" t="inlineStr">
        <x:is>
          <x:t xml:space="preserve">Founder Files</x:t>
        </x:is>
      </x:c>
      <x:c r="E72" s="117" t="inlineStr">
        <x:is>
          <x:t xml:space="preserve">Peter / product decisions</x:t>
        </x:is>
      </x:c>
      <x:c r="F72" s="117" t="inlineStr">
        <x:is>
          <x:t xml:space="preserve">Use concrete detail, not vague mission talk.</x:t>
        </x:is>
      </x:c>
    </x:row>
    <x:row r="73" ht="38" customHeight="1">
      <x:c r="A73" s="110" t="inlineStr">
        <x:is>
          <x:t xml:space="preserve">Founder Story</x:t>
        </x:is>
      </x:c>
      <x:c r="B73" s="110" t="inlineStr">
        <x:is>
          <x:t xml:space="preserve">Build trust</x:t>
        </x:is>
      </x:c>
      <x:c r="C73" s="110" t="inlineStr">
        <x:is>
          <x:t xml:space="preserve">This is the product tradeoff I keep coming back to.</x:t>
        </x:is>
      </x:c>
      <x:c r="D73" s="110" t="inlineStr">
        <x:is>
          <x:t xml:space="preserve">Founder Files</x:t>
        </x:is>
      </x:c>
      <x:c r="E73" s="110" t="inlineStr">
        <x:is>
          <x:t xml:space="preserve">Peter / product decisions</x:t>
        </x:is>
      </x:c>
      <x:c r="F73" s="110" t="inlineStr">
        <x:is>
          <x:t xml:space="preserve">Use concrete detail, not vague mission talk.</x:t>
        </x:is>
      </x:c>
    </x:row>
    <x:row r="74" ht="38" customHeight="1">
      <x:c r="A74" s="117" t="inlineStr">
        <x:is>
          <x:t xml:space="preserve">Founder Story</x:t>
        </x:is>
      </x:c>
      <x:c r="B74" s="117" t="inlineStr">
        <x:is>
          <x:t xml:space="preserve">Build trust</x:t>
        </x:is>
      </x:c>
      <x:c r="C74" s="117" t="inlineStr">
        <x:is>
          <x:t xml:space="preserve">The mission is simple: arrive more aware than you left.</x:t>
        </x:is>
      </x:c>
      <x:c r="D74" s="117" t="inlineStr">
        <x:is>
          <x:t xml:space="preserve">Founder Files</x:t>
        </x:is>
      </x:c>
      <x:c r="E74" s="117" t="inlineStr">
        <x:is>
          <x:t xml:space="preserve">Peter / product decisions</x:t>
        </x:is>
      </x:c>
      <x:c r="F74" s="117" t="inlineStr">
        <x:is>
          <x:t xml:space="preserve">Use concrete detail, not vague mission talk.</x:t>
        </x:is>
      </x:c>
    </x:row>
    <x:row r="75" ht="38" customHeight="1">
      <x:c r="A75" s="110" t="inlineStr">
        <x:is>
          <x:t xml:space="preserve">Product Demo</x:t>
        </x:is>
      </x:c>
      <x:c r="B75" s="110" t="inlineStr">
        <x:is>
          <x:t xml:space="preserve">Create feature discovery</x:t>
        </x:is>
      </x:c>
      <x:c r="C75" s="110" t="inlineStr">
        <x:is>
          <x:t xml:space="preserve">Can Msafiri do this in under 30 seconds?</x:t>
        </x:is>
      </x:c>
      <x:c r="D75" s="110" t="inlineStr">
        <x:is>
          <x:t xml:space="preserve">Screen-record + road context</x:t>
        </x:is>
      </x:c>
      <x:c r="E75" s="110" t="inlineStr">
        <x:is>
          <x:t xml:space="preserve">Feature in the Wild</x:t>
        </x:is>
      </x:c>
      <x:c r="F75" s="110" t="inlineStr">
        <x:is>
          <x:t xml:space="preserve">Do not over-explain the UI.</x:t>
        </x:is>
      </x:c>
    </x:row>
    <x:row r="76" ht="38" customHeight="1">
      <x:c r="A76" s="117" t="inlineStr">
        <x:is>
          <x:t xml:space="preserve">Product Demo</x:t>
        </x:is>
      </x:c>
      <x:c r="B76" s="117" t="inlineStr">
        <x:is>
          <x:t xml:space="preserve">Create feature discovery</x:t>
        </x:is>
      </x:c>
      <x:c r="C76" s="117" t="inlineStr">
        <x:is>
          <x:t xml:space="preserve">Here is the moment this feature becomes useful.</x:t>
        </x:is>
      </x:c>
      <x:c r="D76" s="117" t="inlineStr">
        <x:is>
          <x:t xml:space="preserve">Screen-record + road context</x:t>
        </x:is>
      </x:c>
      <x:c r="E76" s="117" t="inlineStr">
        <x:is>
          <x:t xml:space="preserve">Feature in the Wild</x:t>
        </x:is>
      </x:c>
      <x:c r="F76" s="117" t="inlineStr">
        <x:is>
          <x:t xml:space="preserve">Do not over-explain the UI.</x:t>
        </x:is>
      </x:c>
    </x:row>
    <x:row r="77" ht="38" customHeight="1">
      <x:c r="A77" s="110" t="inlineStr">
        <x:is>
          <x:t xml:space="preserve">Product Demo</x:t>
        </x:is>
      </x:c>
      <x:c r="B77" s="110" t="inlineStr">
        <x:is>
          <x:t xml:space="preserve">Create feature discovery</x:t>
        </x:is>
      </x:c>
      <x:c r="C77" s="110" t="inlineStr">
        <x:is>
          <x:t xml:space="preserve">Before Msafiri vs after Msafiri on the same drive.</x:t>
        </x:is>
      </x:c>
      <x:c r="D77" s="110" t="inlineStr">
        <x:is>
          <x:t xml:space="preserve">Screen-record + road context</x:t>
        </x:is>
      </x:c>
      <x:c r="E77" s="110" t="inlineStr">
        <x:is>
          <x:t xml:space="preserve">Feature in the Wild</x:t>
        </x:is>
      </x:c>
      <x:c r="F77" s="110" t="inlineStr">
        <x:is>
          <x:t xml:space="preserve">Do not over-explain the UI.</x:t>
        </x:is>
      </x:c>
    </x:row>
    <x:row r="78" ht="38" customHeight="1">
      <x:c r="A78" s="117" t="inlineStr">
        <x:is>
          <x:t xml:space="preserve">Product Demo</x:t>
        </x:is>
      </x:c>
      <x:c r="B78" s="117" t="inlineStr">
        <x:is>
          <x:t xml:space="preserve">Create feature discovery</x:t>
        </x:is>
      </x:c>
      <x:c r="C78" s="117" t="inlineStr">
        <x:is>
          <x:t xml:space="preserve">Watch the screen, then watch the road.</x:t>
        </x:is>
      </x:c>
      <x:c r="D78" s="117" t="inlineStr">
        <x:is>
          <x:t xml:space="preserve">Screen-record + road context</x:t>
        </x:is>
      </x:c>
      <x:c r="E78" s="117" t="inlineStr">
        <x:is>
          <x:t xml:space="preserve">Feature in the Wild</x:t>
        </x:is>
      </x:c>
      <x:c r="F78" s="117" t="inlineStr">
        <x:is>
          <x:t xml:space="preserve">Do not over-explain the UI.</x:t>
        </x:is>
      </x:c>
    </x:row>
    <x:row r="79" ht="38" customHeight="1">
      <x:c r="A79" s="110" t="inlineStr">
        <x:is>
          <x:t xml:space="preserve">Product Demo</x:t>
        </x:is>
      </x:c>
      <x:c r="B79" s="110" t="inlineStr">
        <x:is>
          <x:t xml:space="preserve">Create feature discovery</x:t>
        </x:is>
      </x:c>
      <x:c r="C79" s="110" t="inlineStr">
        <x:is>
          <x:t xml:space="preserve">One tap before you leave can change the drive.</x:t>
        </x:is>
      </x:c>
      <x:c r="D79" s="110" t="inlineStr">
        <x:is>
          <x:t xml:space="preserve">Screen-record + road context</x:t>
        </x:is>
      </x:c>
      <x:c r="E79" s="110" t="inlineStr">
        <x:is>
          <x:t xml:space="preserve">Feature in the Wild</x:t>
        </x:is>
      </x:c>
      <x:c r="F79" s="110" t="inlineStr">
        <x:is>
          <x:t xml:space="preserve">Do not over-explain the UI.</x:t>
        </x:is>
      </x:c>
    </x:row>
    <x:row r="80" ht="38" customHeight="1">
      <x:c r="A80" s="117" t="inlineStr">
        <x:is>
          <x:t xml:space="preserve">Product Demo</x:t>
        </x:is>
      </x:c>
      <x:c r="B80" s="117" t="inlineStr">
        <x:is>
          <x:t xml:space="preserve">Create feature discovery</x:t>
        </x:is>
      </x:c>
      <x:c r="C80" s="117" t="inlineStr">
        <x:is>
          <x:t xml:space="preserve">This is not a feature tour. It is a real driving moment.</x:t>
        </x:is>
      </x:c>
      <x:c r="D80" s="117" t="inlineStr">
        <x:is>
          <x:t xml:space="preserve">Screen-record + road context</x:t>
        </x:is>
      </x:c>
      <x:c r="E80" s="117" t="inlineStr">
        <x:is>
          <x:t xml:space="preserve">Feature in the Wild</x:t>
        </x:is>
      </x:c>
      <x:c r="F80" s="117" t="inlineStr">
        <x:is>
          <x:t xml:space="preserve">Do not over-explain the UI.</x:t>
        </x:is>
      </x:c>
    </x:row>
    <x:row r="81" ht="38" customHeight="1">
      <x:c r="A81" s="110" t="inlineStr">
        <x:is>
          <x:t xml:space="preserve">Product Demo</x:t>
        </x:is>
      </x:c>
      <x:c r="B81" s="110" t="inlineStr">
        <x:is>
          <x:t xml:space="preserve">Create feature discovery</x:t>
        </x:is>
      </x:c>
      <x:c r="C81" s="110" t="inlineStr">
        <x:is>
          <x:t xml:space="preserve">I opened Msafiri because the plan changed.</x:t>
        </x:is>
      </x:c>
      <x:c r="D81" s="110" t="inlineStr">
        <x:is>
          <x:t xml:space="preserve">Screen-record + road context</x:t>
        </x:is>
      </x:c>
      <x:c r="E81" s="110" t="inlineStr">
        <x:is>
          <x:t xml:space="preserve">Feature in the Wild</x:t>
        </x:is>
      </x:c>
      <x:c r="F81" s="110" t="inlineStr">
        <x:is>
          <x:t xml:space="preserve">Do not over-explain the UI.</x:t>
        </x:is>
      </x:c>
    </x:row>
    <x:row r="82" ht="38" customHeight="1">
      <x:c r="A82" s="117" t="inlineStr">
        <x:is>
          <x:t xml:space="preserve">Product Demo</x:t>
        </x:is>
      </x:c>
      <x:c r="B82" s="117" t="inlineStr">
        <x:is>
          <x:t xml:space="preserve">Create feature discovery</x:t>
        </x:is>
      </x:c>
      <x:c r="C82" s="117" t="inlineStr">
        <x:is>
          <x:t xml:space="preserve">The app is useful only if it works when the drive gets messy.</x:t>
        </x:is>
      </x:c>
      <x:c r="D82" s="117" t="inlineStr">
        <x:is>
          <x:t xml:space="preserve">Screen-record + road context</x:t>
        </x:is>
      </x:c>
      <x:c r="E82" s="117" t="inlineStr">
        <x:is>
          <x:t xml:space="preserve">Feature in the Wild</x:t>
        </x:is>
      </x:c>
      <x:c r="F82" s="117" t="inlineStr">
        <x:is>
          <x:t xml:space="preserve">Do not over-explain the UI.</x:t>
        </x:is>
      </x:c>
    </x:row>
    <x:row r="83" ht="38" customHeight="1">
      <x:c r="A83" s="110" t="inlineStr">
        <x:is>
          <x:t xml:space="preserve">Product Demo</x:t>
        </x:is>
      </x:c>
      <x:c r="B83" s="110" t="inlineStr">
        <x:is>
          <x:t xml:space="preserve">Create feature discovery</x:t>
        </x:is>
      </x:c>
      <x:c r="C83" s="110" t="inlineStr">
        <x:is>
          <x:t xml:space="preserve">Here is how I would use this on a normal Tuesday.</x:t>
        </x:is>
      </x:c>
      <x:c r="D83" s="110" t="inlineStr">
        <x:is>
          <x:t xml:space="preserve">Screen-record + road context</x:t>
        </x:is>
      </x:c>
      <x:c r="E83" s="110" t="inlineStr">
        <x:is>
          <x:t xml:space="preserve">Feature in the Wild</x:t>
        </x:is>
      </x:c>
      <x:c r="F83" s="110" t="inlineStr">
        <x:is>
          <x:t xml:space="preserve">Do not over-explain the UI.</x:t>
        </x:is>
      </x:c>
    </x:row>
    <x:row r="84" ht="38" customHeight="1">
      <x:c r="A84" s="117" t="inlineStr">
        <x:is>
          <x:t xml:space="preserve">Product Demo</x:t>
        </x:is>
      </x:c>
      <x:c r="B84" s="117" t="inlineStr">
        <x:is>
          <x:t xml:space="preserve">Create feature discovery</x:t>
        </x:is>
      </x:c>
      <x:c r="C84" s="117" t="inlineStr">
        <x:is>
          <x:t xml:space="preserve">The feature is simple; the situation is not.</x:t>
        </x:is>
      </x:c>
      <x:c r="D84" s="117" t="inlineStr">
        <x:is>
          <x:t xml:space="preserve">Screen-record + road context</x:t>
        </x:is>
      </x:c>
      <x:c r="E84" s="117" t="inlineStr">
        <x:is>
          <x:t xml:space="preserve">Feature in the Wild</x:t>
        </x:is>
      </x:c>
      <x:c r="F84" s="117" t="inlineStr">
        <x:is>
          <x:t xml:space="preserve">Do not over-explain the UI.</x:t>
        </x:is>
      </x:c>
    </x:row>
    <x:row r="85" ht="38" customHeight="1">
      <x:c r="A85" s="110" t="inlineStr">
        <x:is>
          <x:t xml:space="preserve">Product Demo</x:t>
        </x:is>
      </x:c>
      <x:c r="B85" s="110" t="inlineStr">
        <x:is>
          <x:t xml:space="preserve">Create feature discovery</x:t>
        </x:is>
      </x:c>
      <x:c r="C85" s="110" t="inlineStr">
        <x:is>
          <x:t xml:space="preserve">This is what I would show a friend before lending them my car.</x:t>
        </x:is>
      </x:c>
      <x:c r="D85" s="110" t="inlineStr">
        <x:is>
          <x:t xml:space="preserve">Screen-record + road context</x:t>
        </x:is>
      </x:c>
      <x:c r="E85" s="110" t="inlineStr">
        <x:is>
          <x:t xml:space="preserve">Feature in the Wild</x:t>
        </x:is>
      </x:c>
      <x:c r="F85" s="110" t="inlineStr">
        <x:is>
          <x:t xml:space="preserve">Do not over-explain the UI.</x:t>
        </x:is>
      </x:c>
    </x:row>
    <x:row r="86" ht="38" customHeight="1">
      <x:c r="A86" s="117" t="inlineStr">
        <x:is>
          <x:t xml:space="preserve">Product Demo</x:t>
        </x:is>
      </x:c>
      <x:c r="B86" s="117" t="inlineStr">
        <x:is>
          <x:t xml:space="preserve">Create feature discovery</x:t>
        </x:is>
      </x:c>
      <x:c r="C86" s="117" t="inlineStr">
        <x:is>
          <x:t xml:space="preserve">How fast can you set this up before leaving?</x:t>
        </x:is>
      </x:c>
      <x:c r="D86" s="117" t="inlineStr">
        <x:is>
          <x:t xml:space="preserve">Screen-record + road context</x:t>
        </x:is>
      </x:c>
      <x:c r="E86" s="117" t="inlineStr">
        <x:is>
          <x:t xml:space="preserve">Feature in the Wild</x:t>
        </x:is>
      </x:c>
      <x:c r="F86" s="117" t="inlineStr">
        <x:is>
          <x:t xml:space="preserve">Do not over-explain the UI.</x:t>
        </x:is>
      </x:c>
    </x:row>
    <x:row r="87" ht="38" customHeight="1">
      <x:c r="A87" s="110" t="inlineStr">
        <x:is>
          <x:t xml:space="preserve">Product Demo</x:t>
        </x:is>
      </x:c>
      <x:c r="B87" s="110" t="inlineStr">
        <x:is>
          <x:t xml:space="preserve">Create feature discovery</x:t>
        </x:is>
      </x:c>
      <x:c r="C87" s="110" t="inlineStr">
        <x:is>
          <x:t xml:space="preserve">Two features that work better together.</x:t>
        </x:is>
      </x:c>
      <x:c r="D87" s="110" t="inlineStr">
        <x:is>
          <x:t xml:space="preserve">Screen-record + road context</x:t>
        </x:is>
      </x:c>
      <x:c r="E87" s="110" t="inlineStr">
        <x:is>
          <x:t xml:space="preserve">Feature in the Wild</x:t>
        </x:is>
      </x:c>
      <x:c r="F87" s="110" t="inlineStr">
        <x:is>
          <x:t xml:space="preserve">Do not over-explain the UI.</x:t>
        </x:is>
      </x:c>
    </x:row>
    <x:row r="88" ht="38" customHeight="1">
      <x:c r="A88" s="117" t="inlineStr">
        <x:is>
          <x:t xml:space="preserve">Product Demo</x:t>
        </x:is>
      </x:c>
      <x:c r="B88" s="117" t="inlineStr">
        <x:is>
          <x:t xml:space="preserve">Create feature discovery</x:t>
        </x:is>
      </x:c>
      <x:c r="C88" s="117" t="inlineStr">
        <x:is>
          <x:t xml:space="preserve">The screen you want before the argument starts.</x:t>
        </x:is>
      </x:c>
      <x:c r="D88" s="117" t="inlineStr">
        <x:is>
          <x:t xml:space="preserve">Screen-record + road context</x:t>
        </x:is>
      </x:c>
      <x:c r="E88" s="117" t="inlineStr">
        <x:is>
          <x:t xml:space="preserve">Feature in the Wild</x:t>
        </x:is>
      </x:c>
      <x:c r="F88" s="117" t="inlineStr">
        <x:is>
          <x:t xml:space="preserve">Do not over-explain the UI.</x:t>
        </x:is>
      </x:c>
    </x:row>
    <x:row r="89" ht="38" customHeight="1">
      <x:c r="A89" s="110" t="inlineStr">
        <x:is>
          <x:t xml:space="preserve">Product Demo</x:t>
        </x:is>
      </x:c>
      <x:c r="B89" s="110" t="inlineStr">
        <x:is>
          <x:t xml:space="preserve">Create feature discovery</x:t>
        </x:is>
      </x:c>
      <x:c r="C89" s="110" t="inlineStr">
        <x:is>
          <x:t xml:space="preserve">Try this on your next drive and tell us what happened.</x:t>
        </x:is>
      </x:c>
      <x:c r="D89" s="110" t="inlineStr">
        <x:is>
          <x:t xml:space="preserve">Screen-record + road context</x:t>
        </x:is>
      </x:c>
      <x:c r="E89" s="110" t="inlineStr">
        <x:is>
          <x:t xml:space="preserve">Feature in the Wild</x:t>
        </x:is>
      </x:c>
      <x:c r="F89" s="110" t="inlineStr">
        <x:is>
          <x:t xml:space="preserve">Do not over-explain the UI.</x:t>
        </x:is>
      </x:c>
    </x:row>
    <x:row r="90" ht="38" customHeight="1">
      <x:c r="A90" s="117" t="inlineStr">
        <x:is>
          <x:t xml:space="preserve">Community</x:t>
        </x:is>
      </x:c>
      <x:c r="B90" s="117" t="inlineStr">
        <x:is>
          <x:t xml:space="preserve">Generate replies and UGC</x:t>
        </x:is>
      </x:c>
      <x:c r="C90" s="117" t="inlineStr">
        <x:is>
          <x:t xml:space="preserve">Which road should Msafiri check next?</x:t>
        </x:is>
      </x:c>
      <x:c r="D90" s="117" t="inlineStr">
        <x:is>
          <x:t xml:space="preserve">Street interviews / comments</x:t>
        </x:is>
      </x:c>
      <x:c r="E90" s="117" t="inlineStr">
        <x:is>
          <x:t xml:space="preserve">Ask a Kenyan Driver</x:t>
        </x:is>
      </x:c>
      <x:c r="F90" s="117" t="inlineStr">
        <x:is>
          <x:t xml:space="preserve">Pin best comments and reply with video.</x:t>
        </x:is>
      </x:c>
    </x:row>
    <x:row r="91" ht="38" customHeight="1">
      <x:c r="A91" s="110" t="inlineStr">
        <x:is>
          <x:t xml:space="preserve">Community</x:t>
        </x:is>
      </x:c>
      <x:c r="B91" s="110" t="inlineStr">
        <x:is>
          <x:t xml:space="preserve">Generate replies and UGC</x:t>
        </x:is>
      </x:c>
      <x:c r="C91" s="110" t="inlineStr">
        <x:is>
          <x:t xml:space="preserve">What is the one driving habit you wish people would stop defending?</x:t>
        </x:is>
      </x:c>
      <x:c r="D91" s="110" t="inlineStr">
        <x:is>
          <x:t xml:space="preserve">Street interviews / comments</x:t>
        </x:is>
      </x:c>
      <x:c r="E91" s="110" t="inlineStr">
        <x:is>
          <x:t xml:space="preserve">Ask a Kenyan Driver</x:t>
        </x:is>
      </x:c>
      <x:c r="F91" s="110" t="inlineStr">
        <x:is>
          <x:t xml:space="preserve">Pin best comments and reply with video.</x:t>
        </x:is>
      </x:c>
    </x:row>
    <x:row r="92" ht="38" customHeight="1">
      <x:c r="A92" s="117" t="inlineStr">
        <x:is>
          <x:t xml:space="preserve">Community</x:t>
        </x:is>
      </x:c>
      <x:c r="B92" s="117" t="inlineStr">
        <x:is>
          <x:t xml:space="preserve">Generate replies and UGC</x:t>
        </x:is>
      </x:c>
      <x:c r="C92" s="117" t="inlineStr">
        <x:is>
          <x:t xml:space="preserve">Have you ever wished you had video evidence?</x:t>
        </x:is>
      </x:c>
      <x:c r="D92" s="117" t="inlineStr">
        <x:is>
          <x:t xml:space="preserve">Street interviews / comments</x:t>
        </x:is>
      </x:c>
      <x:c r="E92" s="117" t="inlineStr">
        <x:is>
          <x:t xml:space="preserve">Ask a Kenyan Driver</x:t>
        </x:is>
      </x:c>
      <x:c r="F92" s="117" t="inlineStr">
        <x:is>
          <x:t xml:space="preserve">Pin best comments and reply with video.</x:t>
        </x:is>
      </x:c>
    </x:row>
    <x:row r="93" ht="38" customHeight="1">
      <x:c r="A93" s="110" t="inlineStr">
        <x:is>
          <x:t xml:space="preserve">Community</x:t>
        </x:is>
      </x:c>
      <x:c r="B93" s="110" t="inlineStr">
        <x:is>
          <x:t xml:space="preserve">Generate replies and UGC</x:t>
        </x:is>
      </x:c>
      <x:c r="C93" s="110" t="inlineStr">
        <x:is>
          <x:t xml:space="preserve">What is the road you respect the most?</x:t>
        </x:is>
      </x:c>
      <x:c r="D93" s="110" t="inlineStr">
        <x:is>
          <x:t xml:space="preserve">Street interviews / comments</x:t>
        </x:is>
      </x:c>
      <x:c r="E93" s="110" t="inlineStr">
        <x:is>
          <x:t xml:space="preserve">Ask a Kenyan Driver</x:t>
        </x:is>
      </x:c>
      <x:c r="F93" s="110" t="inlineStr">
        <x:is>
          <x:t xml:space="preserve">Pin best comments and reply with video.</x:t>
        </x:is>
      </x:c>
    </x:row>
    <x:row r="94" ht="38" customHeight="1">
      <x:c r="A94" s="117" t="inlineStr">
        <x:is>
          <x:t xml:space="preserve">Community</x:t>
        </x:is>
      </x:c>
      <x:c r="B94" s="117" t="inlineStr">
        <x:is>
          <x:t xml:space="preserve">Generate replies and UGC</x:t>
        </x:is>
      </x:c>
      <x:c r="C94" s="117" t="inlineStr">
        <x:is>
          <x:t xml:space="preserve">Tell us the car-care lesson you learned the hard way.</x:t>
        </x:is>
      </x:c>
      <x:c r="D94" s="117" t="inlineStr">
        <x:is>
          <x:t xml:space="preserve">Street interviews / comments</x:t>
        </x:is>
      </x:c>
      <x:c r="E94" s="117" t="inlineStr">
        <x:is>
          <x:t xml:space="preserve">Ask a Kenyan Driver</x:t>
        </x:is>
      </x:c>
      <x:c r="F94" s="117" t="inlineStr">
        <x:is>
          <x:t xml:space="preserve">Pin best comments and reply with video.</x:t>
        </x:is>
      </x:c>
    </x:row>
    <x:row r="95" ht="38" customHeight="1">
      <x:c r="A95" s="110" t="inlineStr">
        <x:is>
          <x:t xml:space="preserve">Community</x:t>
        </x:is>
      </x:c>
      <x:c r="B95" s="110" t="inlineStr">
        <x:is>
          <x:t xml:space="preserve">Generate replies and UGC</x:t>
        </x:is>
      </x:c>
      <x:c r="C95" s="110" t="inlineStr">
        <x:is>
          <x:t xml:space="preserve">Where do group trips start going wrong?</x:t>
        </x:is>
      </x:c>
      <x:c r="D95" s="110" t="inlineStr">
        <x:is>
          <x:t xml:space="preserve">Street interviews / comments</x:t>
        </x:is>
      </x:c>
      <x:c r="E95" s="110" t="inlineStr">
        <x:is>
          <x:t xml:space="preserve">Ask a Kenyan Driver</x:t>
        </x:is>
      </x:c>
      <x:c r="F95" s="110" t="inlineStr">
        <x:is>
          <x:t xml:space="preserve">Pin best comments and reply with video.</x:t>
        </x:is>
      </x:c>
    </x:row>
    <x:row r="96" ht="38" customHeight="1">
      <x:c r="A96" s="117" t="inlineStr">
        <x:is>
          <x:t xml:space="preserve">Community</x:t>
        </x:is>
      </x:c>
      <x:c r="B96" s="117" t="inlineStr">
        <x:is>
          <x:t xml:space="preserve">Generate replies and UGC</x:t>
        </x:is>
      </x:c>
      <x:c r="C96" s="117" t="inlineStr">
        <x:is>
          <x:t xml:space="preserve">What should a new driver learn before leaving the estate?</x:t>
        </x:is>
      </x:c>
      <x:c r="D96" s="117" t="inlineStr">
        <x:is>
          <x:t xml:space="preserve">Street interviews / comments</x:t>
        </x:is>
      </x:c>
      <x:c r="E96" s="117" t="inlineStr">
        <x:is>
          <x:t xml:space="preserve">Ask a Kenyan Driver</x:t>
        </x:is>
      </x:c>
      <x:c r="F96" s="117" t="inlineStr">
        <x:is>
          <x:t xml:space="preserve">Pin best comments and reply with video.</x:t>
        </x:is>
      </x:c>
    </x:row>
    <x:row r="97" ht="38" customHeight="1">
      <x:c r="A97" s="110" t="inlineStr">
        <x:is>
          <x:t xml:space="preserve">Community</x:t>
        </x:is>
      </x:c>
      <x:c r="B97" s="110" t="inlineStr">
        <x:is>
          <x:t xml:space="preserve">Generate replies and UGC</x:t>
        </x:is>
      </x:c>
      <x:c r="C97" s="110" t="inlineStr">
        <x:is>
          <x:t xml:space="preserve">What do you always check before a long drive?</x:t>
        </x:is>
      </x:c>
      <x:c r="D97" s="110" t="inlineStr">
        <x:is>
          <x:t xml:space="preserve">Street interviews / comments</x:t>
        </x:is>
      </x:c>
      <x:c r="E97" s="110" t="inlineStr">
        <x:is>
          <x:t xml:space="preserve">Ask a Kenyan Driver</x:t>
        </x:is>
      </x:c>
      <x:c r="F97" s="110" t="inlineStr">
        <x:is>
          <x:t xml:space="preserve">Pin best comments and reply with video.</x:t>
        </x:is>
      </x:c>
    </x:row>
    <x:row r="98" ht="38" customHeight="1">
      <x:c r="A98" s="117" t="inlineStr">
        <x:is>
          <x:t xml:space="preserve">Community</x:t>
        </x:is>
      </x:c>
      <x:c r="B98" s="117" t="inlineStr">
        <x:is>
          <x:t xml:space="preserve">Generate replies and UGC</x:t>
        </x:is>
      </x:c>
      <x:c r="C98" s="117" t="inlineStr">
        <x:is>
          <x:t xml:space="preserve">Which road feels different at night?</x:t>
        </x:is>
      </x:c>
      <x:c r="D98" s="117" t="inlineStr">
        <x:is>
          <x:t xml:space="preserve">Street interviews / comments</x:t>
        </x:is>
      </x:c>
      <x:c r="E98" s="117" t="inlineStr">
        <x:is>
          <x:t xml:space="preserve">Ask a Kenyan Driver</x:t>
        </x:is>
      </x:c>
      <x:c r="F98" s="117" t="inlineStr">
        <x:is>
          <x:t xml:space="preserve">Pin best comments and reply with video.</x:t>
        </x:is>
      </x:c>
    </x:row>
    <x:row r="99" ht="38" customHeight="1">
      <x:c r="A99" s="110" t="inlineStr">
        <x:is>
          <x:t xml:space="preserve">Community</x:t>
        </x:is>
      </x:c>
      <x:c r="B99" s="110" t="inlineStr">
        <x:is>
          <x:t xml:space="preserve">Generate replies and UGC</x:t>
        </x:is>
      </x:c>
      <x:c r="C99" s="110" t="inlineStr">
        <x:is>
          <x:t xml:space="preserve">What would make you trust a Kenyan driving app?</x:t>
        </x:is>
      </x:c>
      <x:c r="D99" s="110" t="inlineStr">
        <x:is>
          <x:t xml:space="preserve">Street interviews / comments</x:t>
        </x:is>
      </x:c>
      <x:c r="E99" s="110" t="inlineStr">
        <x:is>
          <x:t xml:space="preserve">Ask a Kenyan Driver</x:t>
        </x:is>
      </x:c>
      <x:c r="F99" s="110" t="inlineStr">
        <x:is>
          <x:t xml:space="preserve">Pin best comments and reply with video.</x:t>
        </x:is>
      </x:c>
    </x:row>
    <x:row r="100" ht="38" customHeight="1">
      <x:c r="A100" s="117" t="inlineStr">
        <x:is>
          <x:t xml:space="preserve">Community</x:t>
        </x:is>
      </x:c>
      <x:c r="B100" s="117" t="inlineStr">
        <x:is>
          <x:t xml:space="preserve">Generate replies and UGC</x:t>
        </x:is>
      </x:c>
      <x:c r="C100" s="117" t="inlineStr">
        <x:is>
          <x:t xml:space="preserve">Drop a road problem you want explained simply.</x:t>
        </x:is>
      </x:c>
      <x:c r="D100" s="117" t="inlineStr">
        <x:is>
          <x:t xml:space="preserve">Street interviews / comments</x:t>
        </x:is>
      </x:c>
      <x:c r="E100" s="117" t="inlineStr">
        <x:is>
          <x:t xml:space="preserve">Ask a Kenyan Driver</x:t>
        </x:is>
      </x:c>
      <x:c r="F100" s="117" t="inlineStr">
        <x:is>
          <x:t xml:space="preserve">Pin best comments and reply with video.</x:t>
        </x:is>
      </x:c>
    </x:row>
    <x:row r="101" ht="38" customHeight="1">
      <x:c r="A101" s="110" t="inlineStr">
        <x:is>
          <x:t xml:space="preserve">Community</x:t>
        </x:is>
      </x:c>
      <x:c r="B101" s="110" t="inlineStr">
        <x:is>
          <x:t xml:space="preserve">Generate replies and UGC</x:t>
        </x:is>
      </x:c>
      <x:c r="C101" s="110" t="inlineStr">
        <x:is>
          <x:t xml:space="preserve">What is the smartest thing a passenger can say to a driver?</x:t>
        </x:is>
      </x:c>
      <x:c r="D101" s="110" t="inlineStr">
        <x:is>
          <x:t xml:space="preserve">Street interviews / comments</x:t>
        </x:is>
      </x:c>
      <x:c r="E101" s="110" t="inlineStr">
        <x:is>
          <x:t xml:space="preserve">Ask a Kenyan Driver</x:t>
        </x:is>
      </x:c>
      <x:c r="F101" s="110" t="inlineStr">
        <x:is>
          <x:t xml:space="preserve">Pin best comments and reply with video.</x:t>
        </x:is>
      </x:c>
    </x:row>
    <x:row r="102" ht="38" customHeight="1">
      <x:c r="A102" s="117" t="inlineStr">
        <x:is>
          <x:t xml:space="preserve">Community</x:t>
        </x:is>
      </x:c>
      <x:c r="B102" s="117" t="inlineStr">
        <x:is>
          <x:t xml:space="preserve">Generate replies and UGC</x:t>
        </x:is>
      </x:c>
      <x:c r="C102" s="117" t="inlineStr">
        <x:is>
          <x:t xml:space="preserve">What is the most useful stop to find on a road trip?</x:t>
        </x:is>
      </x:c>
      <x:c r="D102" s="117" t="inlineStr">
        <x:is>
          <x:t xml:space="preserve">Street interviews / comments</x:t>
        </x:is>
      </x:c>
      <x:c r="E102" s="117" t="inlineStr">
        <x:is>
          <x:t xml:space="preserve">Ask a Kenyan Driver</x:t>
        </x:is>
      </x:c>
      <x:c r="F102" s="117" t="inlineStr">
        <x:is>
          <x:t xml:space="preserve">Pin best comments and reply with video.</x:t>
        </x:is>
      </x:c>
    </x:row>
    <x:row r="103" ht="38" customHeight="1">
      <x:c r="A103" s="110" t="inlineStr">
        <x:is>
          <x:t xml:space="preserve">Community</x:t>
        </x:is>
      </x:c>
      <x:c r="B103" s="110" t="inlineStr">
        <x:is>
          <x:t xml:space="preserve">Generate replies and UGC</x:t>
        </x:is>
      </x:c>
      <x:c r="C103" s="110" t="inlineStr">
        <x:is>
          <x:t xml:space="preserve">What feature should Peter test next?</x:t>
        </x:is>
      </x:c>
      <x:c r="D103" s="110" t="inlineStr">
        <x:is>
          <x:t xml:space="preserve">Street interviews / comments</x:t>
        </x:is>
      </x:c>
      <x:c r="E103" s="110" t="inlineStr">
        <x:is>
          <x:t xml:space="preserve">Ask a Kenyan Driver</x:t>
        </x:is>
      </x:c>
      <x:c r="F103" s="110" t="inlineStr">
        <x:is>
          <x:t xml:space="preserve">Pin best comments and reply with video.</x:t>
        </x:is>
      </x:c>
    </x:row>
    <x:row r="104" ht="38" customHeight="1">
      <x:c r="A104" s="117" t="inlineStr">
        <x:is>
          <x:t xml:space="preserve">Community</x:t>
        </x:is>
      </x:c>
      <x:c r="B104" s="117" t="inlineStr">
        <x:is>
          <x:t xml:space="preserve">Generate replies and UGC</x:t>
        </x:is>
      </x:c>
      <x:c r="C104" s="117" t="inlineStr">
        <x:is>
          <x:t xml:space="preserve">Tell us your road story; we may turn it into a video.</x:t>
        </x:is>
      </x:c>
      <x:c r="D104" s="117" t="inlineStr">
        <x:is>
          <x:t xml:space="preserve">Street interviews / comments</x:t>
        </x:is>
      </x:c>
      <x:c r="E104" s="117" t="inlineStr">
        <x:is>
          <x:t xml:space="preserve">Ask a Kenyan Driver</x:t>
        </x:is>
      </x:c>
      <x:c r="F104" s="117" t="inlineStr">
        <x:is>
          <x:t xml:space="preserve">Pin best comments and reply with video.</x:t>
        </x:is>
      </x:c>
    </x:row>
    <x:row r="105" ht="38" customHeight="1">
      <x:c r="A105" s="110" t="inlineStr">
        <x:is>
          <x:t xml:space="preserve">Seasonal</x:t>
        </x:is>
      </x:c>
      <x:c r="B105" s="110" t="inlineStr">
        <x:is>
          <x:t xml:space="preserve">Seasonal shareability</x:t>
        </x:is>
      </x:c>
      <x:c r="C105" s="110" t="inlineStr">
        <x:is>
          <x:t xml:space="preserve">Before the holiday drive, check this first.</x:t>
        </x:is>
      </x:c>
      <x:c r="D105" s="110" t="inlineStr">
        <x:is>
          <x:t xml:space="preserve">Holiday Road Prep</x:t>
        </x:is>
      </x:c>
      <x:c r="E105" s="110" t="inlineStr">
        <x:is>
          <x:t xml:space="preserve">Mashujaa, Jamhuri, Christmas, New Year</x:t>
        </x:is>
      </x:c>
      <x:c r="F105" s="110" t="inlineStr">
        <x:is>
          <x:t xml:space="preserve">Keep tone warm and safety-first.</x:t>
        </x:is>
      </x:c>
    </x:row>
    <x:row r="106" ht="38" customHeight="1">
      <x:c r="A106" s="117" t="inlineStr">
        <x:is>
          <x:t xml:space="preserve">Seasonal</x:t>
        </x:is>
      </x:c>
      <x:c r="B106" s="117" t="inlineStr">
        <x:is>
          <x:t xml:space="preserve">Seasonal shareability</x:t>
        </x:is>
      </x:c>
      <x:c r="C106" s="117" t="inlineStr">
        <x:is>
          <x:t xml:space="preserve">The best gift is arriving safely.</x:t>
        </x:is>
      </x:c>
      <x:c r="D106" s="117" t="inlineStr">
        <x:is>
          <x:t xml:space="preserve">Holiday Road Prep</x:t>
        </x:is>
      </x:c>
      <x:c r="E106" s="117" t="inlineStr">
        <x:is>
          <x:t xml:space="preserve">Mashujaa, Jamhuri, Christmas, New Year</x:t>
        </x:is>
      </x:c>
      <x:c r="F106" s="117" t="inlineStr">
        <x:is>
          <x:t xml:space="preserve">Keep tone warm and safety-first.</x:t>
        </x:is>
      </x:c>
    </x:row>
    <x:row r="107" ht="38" customHeight="1">
      <x:c r="A107" s="110" t="inlineStr">
        <x:is>
          <x:t xml:space="preserve">Seasonal</x:t>
        </x:is>
      </x:c>
      <x:c r="B107" s="110" t="inlineStr">
        <x:is>
          <x:t xml:space="preserve">Seasonal shareability</x:t>
        </x:is>
      </x:c>
      <x:c r="C107" s="110" t="inlineStr">
        <x:is>
          <x:t xml:space="preserve">Jamhuri drive? Send this to the person driving.</x:t>
        </x:is>
      </x:c>
      <x:c r="D107" s="110" t="inlineStr">
        <x:is>
          <x:t xml:space="preserve">Holiday Road Prep</x:t>
        </x:is>
      </x:c>
      <x:c r="E107" s="110" t="inlineStr">
        <x:is>
          <x:t xml:space="preserve">Mashujaa, Jamhuri, Christmas, New Year</x:t>
        </x:is>
      </x:c>
      <x:c r="F107" s="110" t="inlineStr">
        <x:is>
          <x:t xml:space="preserve">Keep tone warm and safety-first.</x:t>
        </x:is>
      </x:c>
    </x:row>
    <x:row r="108" ht="38" customHeight="1">
      <x:c r="A108" s="117" t="inlineStr">
        <x:is>
          <x:t xml:space="preserve">Seasonal</x:t>
        </x:is>
      </x:c>
      <x:c r="B108" s="117" t="inlineStr">
        <x:is>
          <x:t xml:space="preserve">Seasonal shareability</x:t>
        </x:is>
      </x:c>
      <x:c r="C108" s="117" t="inlineStr">
        <x:is>
          <x:t xml:space="preserve">December roads reward prepared drivers.</x:t>
        </x:is>
      </x:c>
      <x:c r="D108" s="117" t="inlineStr">
        <x:is>
          <x:t xml:space="preserve">Holiday Road Prep</x:t>
        </x:is>
      </x:c>
      <x:c r="E108" s="117" t="inlineStr">
        <x:is>
          <x:t xml:space="preserve">Mashujaa, Jamhuri, Christmas, New Year</x:t>
        </x:is>
      </x:c>
      <x:c r="F108" s="117" t="inlineStr">
        <x:is>
          <x:t xml:space="preserve">Keep tone warm and safety-first.</x:t>
        </x:is>
      </x:c>
    </x:row>
    <x:row r="109" ht="38" customHeight="1">
      <x:c r="A109" s="110" t="inlineStr">
        <x:is>
          <x:t xml:space="preserve">Seasonal</x:t>
        </x:is>
      </x:c>
      <x:c r="B109" s="110" t="inlineStr">
        <x:is>
          <x:t xml:space="preserve">Seasonal shareability</x:t>
        </x:is>
      </x:c>
      <x:c r="C109" s="110" t="inlineStr">
        <x:is>
          <x:t xml:space="preserve">Tonight, plan the ride before the celebration starts.</x:t>
        </x:is>
      </x:c>
      <x:c r="D109" s="110" t="inlineStr">
        <x:is>
          <x:t xml:space="preserve">Holiday Road Prep</x:t>
        </x:is>
      </x:c>
      <x:c r="E109" s="110" t="inlineStr">
        <x:is>
          <x:t xml:space="preserve">Mashujaa, Jamhuri, Christmas, New Year</x:t>
        </x:is>
      </x:c>
      <x:c r="F109" s="110" t="inlineStr">
        <x:is>
          <x:t xml:space="preserve">Keep tone warm and safety-first.</x:t>
        </x:is>
      </x:c>
    </x:row>
    <x:row r="110" ht="38" customHeight="1">
      <x:c r="A110" s="117" t="inlineStr">
        <x:is>
          <x:t xml:space="preserve">Seasonal</x:t>
        </x:is>
      </x:c>
      <x:c r="B110" s="117" t="inlineStr">
        <x:is>
          <x:t xml:space="preserve">Seasonal shareability</x:t>
        </x:is>
      </x:c>
      <x:c r="C110" s="117" t="inlineStr">
        <x:is>
          <x:t xml:space="preserve">Christmas travel does not need extra drama.</x:t>
        </x:is>
      </x:c>
      <x:c r="D110" s="117" t="inlineStr">
        <x:is>
          <x:t xml:space="preserve">Holiday Road Prep</x:t>
        </x:is>
      </x:c>
      <x:c r="E110" s="117" t="inlineStr">
        <x:is>
          <x:t xml:space="preserve">Mashujaa, Jamhuri, Christmas, New Year</x:t>
        </x:is>
      </x:c>
      <x:c r="F110" s="117" t="inlineStr">
        <x:is>
          <x:t xml:space="preserve">Keep tone warm and safety-first.</x:t>
        </x:is>
      </x:c>
    </x:row>
    <x:row r="111" ht="38" customHeight="1">
      <x:c r="A111" s="110" t="inlineStr">
        <x:is>
          <x:t xml:space="preserve">Seasonal</x:t>
        </x:is>
      </x:c>
      <x:c r="B111" s="110" t="inlineStr">
        <x:is>
          <x:t xml:space="preserve">Seasonal shareability</x:t>
        </x:is>
      </x:c>
      <x:c r="C111" s="110" t="inlineStr">
        <x:is>
          <x:t xml:space="preserve">The return trip is when many drivers get too confident.</x:t>
        </x:is>
      </x:c>
      <x:c r="D111" s="110" t="inlineStr">
        <x:is>
          <x:t xml:space="preserve">Holiday Road Prep</x:t>
        </x:is>
      </x:c>
      <x:c r="E111" s="110" t="inlineStr">
        <x:is>
          <x:t xml:space="preserve">Mashujaa, Jamhuri, Christmas, New Year</x:t>
        </x:is>
      </x:c>
      <x:c r="F111" s="110" t="inlineStr">
        <x:is>
          <x:t xml:space="preserve">Keep tone warm and safety-first.</x:t>
        </x:is>
      </x:c>
    </x:row>
    <x:row r="112" ht="38" customHeight="1">
      <x:c r="A112" s="117" t="inlineStr">
        <x:is>
          <x:t xml:space="preserve">Seasonal</x:t>
        </x:is>
      </x:c>
      <x:c r="B112" s="117" t="inlineStr">
        <x:is>
          <x:t xml:space="preserve">Seasonal shareability</x:t>
        </x:is>
      </x:c>
      <x:c r="C112" s="117" t="inlineStr">
        <x:is>
          <x:t xml:space="preserve">If you are tired, full, or celebrating, choose the safer plan.</x:t>
        </x:is>
      </x:c>
      <x:c r="D112" s="117" t="inlineStr">
        <x:is>
          <x:t xml:space="preserve">Holiday Road Prep</x:t>
        </x:is>
      </x:c>
      <x:c r="E112" s="117" t="inlineStr">
        <x:is>
          <x:t xml:space="preserve">Mashujaa, Jamhuri, Christmas, New Year</x:t>
        </x:is>
      </x:c>
      <x:c r="F112" s="117" t="inlineStr">
        <x:is>
          <x:t xml:space="preserve">Keep tone warm and safety-first.</x:t>
        </x:is>
      </x:c>
    </x:row>
    <x:row r="113" ht="38" customHeight="1">
      <x:c r="A113" s="110" t="inlineStr">
        <x:is>
          <x:t xml:space="preserve">Seasonal</x:t>
        </x:is>
      </x:c>
      <x:c r="B113" s="110" t="inlineStr">
        <x:is>
          <x:t xml:space="preserve">Seasonal shareability</x:t>
        </x:is>
      </x:c>
      <x:c r="C113" s="110" t="inlineStr">
        <x:is>
          <x:t xml:space="preserve">Your family is waiting. Drive like that matters.</x:t>
        </x:is>
      </x:c>
      <x:c r="D113" s="110" t="inlineStr">
        <x:is>
          <x:t xml:space="preserve">Holiday Road Prep</x:t>
        </x:is>
      </x:c>
      <x:c r="E113" s="110" t="inlineStr">
        <x:is>
          <x:t xml:space="preserve">Mashujaa, Jamhuri, Christmas, New Year</x:t>
        </x:is>
      </x:c>
      <x:c r="F113" s="110" t="inlineStr">
        <x:is>
          <x:t xml:space="preserve">Keep tone warm and safety-first.</x:t>
        </x:is>
      </x:c>
    </x:row>
    <x:row r="114" ht="38" customHeight="1">
      <x:c r="A114" s="117" t="inlineStr">
        <x:is>
          <x:t xml:space="preserve">Seasonal</x:t>
        </x:is>
      </x:c>
      <x:c r="B114" s="117" t="inlineStr">
        <x:is>
          <x:t xml:space="preserve">Seasonal shareability</x:t>
        </x:is>
      </x:c>
      <x:c r="C114" s="117" t="inlineStr">
        <x:is>
          <x:t xml:space="preserve">The long weekend checklist every driver should save.</x:t>
        </x:is>
      </x:c>
      <x:c r="D114" s="117" t="inlineStr">
        <x:is>
          <x:t xml:space="preserve">Holiday Road Prep</x:t>
        </x:is>
      </x:c>
      <x:c r="E114" s="117" t="inlineStr">
        <x:is>
          <x:t xml:space="preserve">Mashujaa, Jamhuri, Christmas, New Year</x:t>
        </x:is>
      </x:c>
      <x:c r="F114" s="117" t="inlineStr">
        <x:is>
          <x:t xml:space="preserve">Keep tone warm and safety-first.</x:t>
        </x:is>
      </x:c>
    </x:row>
    <x:row r="115" ht="38" customHeight="1">
      <x:c r="A115" s="110" t="inlineStr">
        <x:is>
          <x:t xml:space="preserve">Seasonal</x:t>
        </x:is>
      </x:c>
      <x:c r="B115" s="110" t="inlineStr">
        <x:is>
          <x:t xml:space="preserve">Seasonal shareability</x:t>
        </x:is>
      </x:c>
      <x:c r="C115" s="110" t="inlineStr">
        <x:is>
          <x:t xml:space="preserve">New Year’s Eve starts with a ride plan, not keys in hand.</x:t>
        </x:is>
      </x:c>
      <x:c r="D115" s="110" t="inlineStr">
        <x:is>
          <x:t xml:space="preserve">Holiday Road Prep</x:t>
        </x:is>
      </x:c>
      <x:c r="E115" s="110" t="inlineStr">
        <x:is>
          <x:t xml:space="preserve">Mashujaa, Jamhuri, Christmas, New Year</x:t>
        </x:is>
      </x:c>
      <x:c r="F115" s="110" t="inlineStr">
        <x:is>
          <x:t xml:space="preserve">Keep tone warm and safety-first.</x:t>
        </x:is>
      </x:c>
    </x:row>
    <x:row r="116" ht="38" customHeight="1">
      <x:c r="A116" s="117" t="inlineStr">
        <x:is>
          <x:t xml:space="preserve">Seasonal</x:t>
        </x:is>
      </x:c>
      <x:c r="B116" s="117" t="inlineStr">
        <x:is>
          <x:t xml:space="preserve">Seasonal shareability</x:t>
        </x:is>
      </x:c>
      <x:c r="C116" s="117" t="inlineStr">
        <x:is>
          <x:t xml:space="preserve">The road hero is the driver who arrives with patience.</x:t>
        </x:is>
      </x:c>
      <x:c r="D116" s="117" t="inlineStr">
        <x:is>
          <x:t xml:space="preserve">Holiday Road Prep</x:t>
        </x:is>
      </x:c>
      <x:c r="E116" s="117" t="inlineStr">
        <x:is>
          <x:t xml:space="preserve">Mashujaa, Jamhuri, Christmas, New Year</x:t>
        </x:is>
      </x:c>
      <x:c r="F116" s="117" t="inlineStr">
        <x:is>
          <x:t xml:space="preserve">Keep tone warm and safety-first.</x:t>
        </x:is>
      </x:c>
    </x:row>
    <x:row r="117" ht="38" customHeight="1">
      <x:c r="A117" s="110" t="inlineStr">
        <x:is>
          <x:t xml:space="preserve">Seasonal</x:t>
        </x:is>
      </x:c>
      <x:c r="B117" s="110" t="inlineStr">
        <x:is>
          <x:t xml:space="preserve">Seasonal shareability</x:t>
        </x:is>
      </x:c>
      <x:c r="C117" s="110" t="inlineStr">
        <x:is>
          <x:t xml:space="preserve">The trip is not successful until everyone gets home safely.</x:t>
        </x:is>
      </x:c>
      <x:c r="D117" s="110" t="inlineStr">
        <x:is>
          <x:t xml:space="preserve">Holiday Road Prep</x:t>
        </x:is>
      </x:c>
      <x:c r="E117" s="110" t="inlineStr">
        <x:is>
          <x:t xml:space="preserve">Mashujaa, Jamhuri, Christmas, New Year</x:t>
        </x:is>
      </x:c>
      <x:c r="F117" s="110" t="inlineStr">
        <x:is>
          <x:t xml:space="preserve">Keep tone warm and safety-first.</x:t>
        </x:is>
      </x:c>
    </x:row>
    <x:row r="118" ht="38" customHeight="1">
      <x:c r="A118" s="117" t="inlineStr">
        <x:is>
          <x:t xml:space="preserve">Seasonal</x:t>
        </x:is>
      </x:c>
      <x:c r="B118" s="117" t="inlineStr">
        <x:is>
          <x:t xml:space="preserve">Seasonal shareability</x:t>
        </x:is>
      </x:c>
      <x:c r="C118" s="117" t="inlineStr">
        <x:is>
          <x:t xml:space="preserve">Before you leave the family gathering, ask yourself this.</x:t>
        </x:is>
      </x:c>
      <x:c r="D118" s="117" t="inlineStr">
        <x:is>
          <x:t xml:space="preserve">Holiday Road Prep</x:t>
        </x:is>
      </x:c>
      <x:c r="E118" s="117" t="inlineStr">
        <x:is>
          <x:t xml:space="preserve">Mashujaa, Jamhuri, Christmas, New Year</x:t>
        </x:is>
      </x:c>
      <x:c r="F118" s="117" t="inlineStr">
        <x:is>
          <x:t xml:space="preserve">Keep tone warm and safety-first.</x:t>
        </x:is>
      </x:c>
    </x:row>
    <x:row r="119" ht="38" customHeight="1">
      <x:c r="A119" s="110" t="inlineStr">
        <x:is>
          <x:t xml:space="preserve">Seasonal</x:t>
        </x:is>
      </x:c>
      <x:c r="B119" s="110" t="inlineStr">
        <x:is>
          <x:t xml:space="preserve">Seasonal shareability</x:t>
        </x:is>
      </x:c>
      <x:c r="C119" s="110" t="inlineStr">
        <x:is>
          <x:t xml:space="preserve">End the year with better driving decisions than you started with.</x:t>
        </x:is>
      </x:c>
      <x:c r="D119" s="110" t="inlineStr">
        <x:is>
          <x:t xml:space="preserve">Holiday Road Prep</x:t>
        </x:is>
      </x:c>
      <x:c r="E119" s="110" t="inlineStr">
        <x:is>
          <x:t xml:space="preserve">Mashujaa, Jamhuri, Christmas, New Year</x:t>
        </x:is>
      </x:c>
      <x:c r="F119" s="110" t="inlineStr">
        <x:is>
          <x:t xml:space="preserve">Keep tone warm and safety-first.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56" customWidth="1"/>
    <x:col min="4" max="4" width="34" customWidth="1"/>
    <x:col min="5" max="5" width="42" customWidth="1"/>
    <x:col min="6" max="6" width="44" customWidth="1"/>
  </x:cols>
  <x:sheetData>
    <x:row r="1" ht="28" customHeight="1">
      <x:c r="A1" s="106" t="inlineStr">
        <x:is>
          <x:t xml:space="preserve">CTA BANK</x:t>
        </x:is>
      </x:c>
    </x:row>
    <x:row r="2" ht="34" customHeight="1">
      <x:c r="A2" s="107" t="inlineStr">
        <x:is>
          <x:t xml:space="preserve">Use CTA by funnel stage so every post asks for the right behavior.</x:t>
        </x:is>
      </x:c>
    </x:row>
    <x:row r="3"/>
    <x:row r="4" ht="36" customHeight="1">
      <x:c r="A4" s="108" t="inlineStr">
        <x:is>
          <x:t xml:space="preserve">Funnel Stage</x:t>
        </x:is>
      </x:c>
      <x:c r="B4" s="108" t="inlineStr">
        <x:is>
          <x:t xml:space="preserve">CTA Type</x:t>
        </x:is>
      </x:c>
      <x:c r="C4" s="108" t="inlineStr">
        <x:is>
          <x:t xml:space="preserve">CTA</x:t>
        </x:is>
      </x:c>
      <x:c r="D4" s="108" t="inlineStr">
        <x:is>
          <x:t xml:space="preserve">Best Use</x:t>
        </x:is>
      </x:c>
      <x:c r="E4" s="108" t="inlineStr">
        <x:is>
          <x:t xml:space="preserve">Stronger When</x:t>
        </x:is>
      </x:c>
      <x:c r="F4" s="108" t="inlineStr">
        <x:is>
          <x:t xml:space="preserve">Notes</x:t>
        </x:is>
      </x:c>
    </x:row>
    <x:row r="5" ht="44" customHeight="1">
      <x:c r="A5" s="110" t="inlineStr">
        <x:is>
          <x:t xml:space="preserve">Awareness</x:t>
        </x:is>
      </x:c>
      <x:c r="B5" s="110" t="inlineStr">
        <x:is>
          <x:t xml:space="preserve">Comment</x:t>
        </x:is>
      </x:c>
      <x:c r="C5" s="110" t="inlineStr">
        <x:is>
          <x:t xml:space="preserve">Tell us which road we should check next.</x:t>
        </x:is>
      </x:c>
      <x:c r="D5" s="110" t="inlineStr">
        <x:is>
          <x:t xml:space="preserve">Road checks</x:t>
        </x:is>
      </x:c>
      <x:c r="E5" s="110" t="inlineStr">
        <x:is>
          <x:t xml:space="preserve">Video shows a recognizable road.</x:t>
        </x:is>
      </x:c>
      <x:c r="F5" s="110" t="inlineStr">
        <x:is>
          <x:t xml:space="preserve">This trains the audience to help build the content queue.</x:t>
        </x:is>
      </x:c>
    </x:row>
    <x:row r="6" ht="44" customHeight="1">
      <x:c r="A6" s="117" t="inlineStr">
        <x:is>
          <x:t xml:space="preserve">Awareness</x:t>
        </x:is>
      </x:c>
      <x:c r="B6" s="117" t="inlineStr">
        <x:is>
          <x:t xml:space="preserve">Follow</x:t>
        </x:is>
      </x:c>
      <x:c r="C6" s="117" t="inlineStr">
        <x:is>
          <x:t xml:space="preserve">Follow Msafiri for Kenyan road intelligence.</x:t>
        </x:is>
      </x:c>
      <x:c r="D6" s="117" t="inlineStr">
        <x:is>
          <x:t xml:space="preserve">Authority content</x:t>
        </x:is>
      </x:c>
      <x:c r="E6" s="117" t="inlineStr">
        <x:is>
          <x:t xml:space="preserve">The video has a useful takeaway.</x:t>
        </x:is>
      </x:c>
      <x:c r="F6" s="117" t="inlineStr">
        <x:is>
          <x:t xml:space="preserve">Keep it simple and brand-linked.</x:t>
        </x:is>
      </x:c>
    </x:row>
    <x:row r="7" ht="44" customHeight="1">
      <x:c r="A7" s="110" t="inlineStr">
        <x:is>
          <x:t xml:space="preserve">Awareness</x:t>
        </x:is>
      </x:c>
      <x:c r="B7" s="110" t="inlineStr">
        <x:is>
          <x:t xml:space="preserve">Share</x:t>
        </x:is>
      </x:c>
      <x:c r="C7" s="110" t="inlineStr">
        <x:is>
          <x:t xml:space="preserve">Send this to someone who drives this route.</x:t>
        </x:is>
      </x:c>
      <x:c r="D7" s="110" t="inlineStr">
        <x:is>
          <x:t xml:space="preserve">Route-specific posts</x:t>
        </x:is>
      </x:c>
      <x:c r="E7" s="110" t="inlineStr">
        <x:is>
          <x:t xml:space="preserve">The route is named or visually obvious.</x:t>
        </x:is>
      </x:c>
      <x:c r="F7" s="110" t="inlineStr">
        <x:is>
          <x:t xml:space="preserve">Do not overuse if route is too niche.</x:t>
        </x:is>
      </x:c>
    </x:row>
    <x:row r="8" ht="44" customHeight="1">
      <x:c r="A8" s="117" t="inlineStr">
        <x:is>
          <x:t xml:space="preserve">Awareness</x:t>
        </x:is>
      </x:c>
      <x:c r="B8" s="117" t="inlineStr">
        <x:is>
          <x:t xml:space="preserve">Save</x:t>
        </x:is>
      </x:c>
      <x:c r="C8" s="117" t="inlineStr">
        <x:is>
          <x:t xml:space="preserve">Save this before your next commute.</x:t>
        </x:is>
      </x:c>
      <x:c r="D8" s="117" t="inlineStr">
        <x:is>
          <x:t xml:space="preserve">Checklists</x:t>
        </x:is>
      </x:c>
      <x:c r="E8" s="117" t="inlineStr">
        <x:is>
          <x:t xml:space="preserve">The advice is practical.</x:t>
        </x:is>
      </x:c>
      <x:c r="F8" s="117" t="inlineStr">
        <x:is>
          <x:t xml:space="preserve">Works best with final-frame checklist.</x:t>
        </x:is>
      </x:c>
    </x:row>
    <x:row r="9" ht="44" customHeight="1">
      <x:c r="A9" s="110" t="inlineStr">
        <x:is>
          <x:t xml:space="preserve">Awareness</x:t>
        </x:is>
      </x:c>
      <x:c r="B9" s="110" t="inlineStr">
        <x:is>
          <x:t xml:space="preserve">Poll</x:t>
        </x:is>
      </x:c>
      <x:c r="C9" s="110" t="inlineStr">
        <x:is>
          <x:t xml:space="preserve">Which should we test next: A or B?</x:t>
        </x:is>
      </x:c>
      <x:c r="D9" s="110" t="inlineStr">
        <x:is>
          <x:t xml:space="preserve">Stories/Shorts interactive</x:t>
        </x:is>
      </x:c>
      <x:c r="E9" s="110" t="inlineStr">
        <x:is>
          <x:t xml:space="preserve">You have two strong follow-up ideas.</x:t>
        </x:is>
      </x:c>
      <x:c r="F9" s="110" t="inlineStr">
        <x:is>
          <x:t xml:space="preserve">Use poll results for next video.</x:t>
        </x:is>
      </x:c>
    </x:row>
    <x:row r="10" ht="44" customHeight="1">
      <x:c r="A10" s="117" t="inlineStr">
        <x:is>
          <x:t xml:space="preserve">Engagement</x:t>
        </x:is>
      </x:c>
      <x:c r="B10" s="117" t="inlineStr">
        <x:is>
          <x:t xml:space="preserve">Comment</x:t>
        </x:is>
      </x:c>
      <x:c r="C10" s="117" t="inlineStr">
        <x:is>
          <x:t xml:space="preserve">Agree or disagree? Give your reason.</x:t>
        </x:is>
      </x:c>
      <x:c r="D10" s="117" t="inlineStr">
        <x:is>
          <x:t xml:space="preserve">Debate/mythbusters</x:t>
        </x:is>
      </x:c>
      <x:c r="E10" s="117" t="inlineStr">
        <x:is>
          <x:t xml:space="preserve">The debate is safe and non-inflammatory.</x:t>
        </x:is>
      </x:c>
      <x:c r="F10" s="117" t="inlineStr">
        <x:is>
          <x:t xml:space="preserve">Ask for reasoning to improve comment quality.</x:t>
        </x:is>
      </x:c>
    </x:row>
    <x:row r="11" ht="44" customHeight="1">
      <x:c r="A11" s="110" t="inlineStr">
        <x:is>
          <x:t xml:space="preserve">Engagement</x:t>
        </x:is>
      </x:c>
      <x:c r="B11" s="110" t="inlineStr">
        <x:is>
          <x:t xml:space="preserve">Tag</x:t>
        </x:is>
      </x:c>
      <x:c r="C11" s="110" t="inlineStr">
        <x:is>
          <x:t xml:space="preserve">Tag the driver who always does this.</x:t>
        </x:is>
      </x:c>
      <x:c r="D11" s="110" t="inlineStr">
        <x:is>
          <x:t xml:space="preserve">Relatable skits</x:t>
        </x:is>
      </x:c>
      <x:c r="E11" s="110" t="inlineStr">
        <x:is>
          <x:t xml:space="preserve">The skit has a funny, familiar behavior.</x:t>
        </x:is>
      </x:c>
      <x:c r="F11" s="110" t="inlineStr">
        <x:is>
          <x:t xml:space="preserve">Use lightly; avoid shame.</x:t>
        </x:is>
      </x:c>
    </x:row>
    <x:row r="12" ht="44" customHeight="1">
      <x:c r="A12" s="117" t="inlineStr">
        <x:is>
          <x:t xml:space="preserve">Engagement</x:t>
        </x:is>
      </x:c>
      <x:c r="B12" s="117" t="inlineStr">
        <x:is>
          <x:t xml:space="preserve">Story</x:t>
        </x:is>
      </x:c>
      <x:c r="C12" s="117" t="inlineStr">
        <x:is>
          <x:t xml:space="preserve">Tell us your road story and we may feature it.</x:t>
        </x:is>
      </x:c>
      <x:c r="D12" s="117" t="inlineStr">
        <x:is>
          <x:t xml:space="preserve">UGC prompts</x:t>
        </x:is>
      </x:c>
      <x:c r="E12" s="117" t="inlineStr">
        <x:is>
          <x:t xml:space="preserve">The topic is common and safe to share.</x:t>
        </x:is>
      </x:c>
      <x:c r="F12" s="117" t="inlineStr">
        <x:is>
          <x:t xml:space="preserve">Ask for permission before using stories.</x:t>
        </x:is>
      </x:c>
    </x:row>
    <x:row r="13" ht="44" customHeight="1">
      <x:c r="A13" s="110" t="inlineStr">
        <x:is>
          <x:t xml:space="preserve">Engagement</x:t>
        </x:is>
      </x:c>
      <x:c r="B13" s="110" t="inlineStr">
        <x:is>
          <x:t xml:space="preserve">Reply</x:t>
        </x:is>
      </x:c>
      <x:c r="C13" s="110" t="inlineStr">
        <x:is>
          <x:t xml:space="preserve">Drop your question for Peter.</x:t>
        </x:is>
      </x:c>
      <x:c r="D13" s="110" t="inlineStr">
        <x:is>
          <x:t xml:space="preserve">Founder trust</x:t>
        </x:is>
      </x:c>
      <x:c r="E13" s="110" t="inlineStr">
        <x:is>
          <x:t xml:space="preserve">Peter is ready to answer on camera.</x:t>
        </x:is>
      </x:c>
      <x:c r="F13" s="110" t="inlineStr">
        <x:is>
          <x:t xml:space="preserve">Turn good comments into videos.</x:t>
        </x:is>
      </x:c>
    </x:row>
    <x:row r="14" ht="44" customHeight="1">
      <x:c r="A14" s="117" t="inlineStr">
        <x:is>
          <x:t xml:space="preserve">Engagement</x:t>
        </x:is>
      </x:c>
      <x:c r="B14" s="117" t="inlineStr">
        <x:is>
          <x:t xml:space="preserve">Vote</x:t>
        </x:is>
      </x:c>
      <x:c r="C14" s="117" t="inlineStr">
        <x:is>
          <x:t xml:space="preserve">Should we make Part 2?</x:t>
        </x:is>
      </x:c>
      <x:c r="D14" s="117" t="inlineStr">
        <x:is>
          <x:t xml:space="preserve">Cliffhanger explainers</x:t>
        </x:is>
      </x:c>
      <x:c r="E14" s="117" t="inlineStr">
        <x:is>
          <x:t xml:space="preserve">There is a real follow-up angle.</x:t>
        </x:is>
      </x:c>
      <x:c r="F14" s="117" t="inlineStr">
        <x:is>
          <x:t xml:space="preserve">Post follow-up within 48 hours if comments are strong.</x:t>
        </x:is>
      </x:c>
    </x:row>
    <x:row r="15" ht="44" customHeight="1">
      <x:c r="A15" s="110" t="inlineStr">
        <x:is>
          <x:t xml:space="preserve">Trust</x:t>
        </x:is>
      </x:c>
      <x:c r="B15" s="110" t="inlineStr">
        <x:is>
          <x:t xml:space="preserve">Follow</x:t>
        </x:is>
      </x:c>
      <x:c r="C15" s="110" t="inlineStr">
        <x:is>
          <x:t xml:space="preserve">Follow the build as Peter tests Msafiri on Kenyan roads.</x:t>
        </x:is>
      </x:c>
      <x:c r="D15" s="110" t="inlineStr">
        <x:is>
          <x:t xml:space="preserve">Founder/BTS</x:t>
        </x:is>
      </x:c>
      <x:c r="E15" s="110" t="inlineStr">
        <x:is>
          <x:t xml:space="preserve">Peter shares a specific product decision.</x:t>
        </x:is>
      </x:c>
      <x:c r="F15" s="110" t="inlineStr">
        <x:is>
          <x:t xml:space="preserve">Founder-led brand building.</x:t>
        </x:is>
      </x:c>
    </x:row>
    <x:row r="16" ht="44" customHeight="1">
      <x:c r="A16" s="117" t="inlineStr">
        <x:is>
          <x:t xml:space="preserve">Trust</x:t>
        </x:is>
      </x:c>
      <x:c r="B16" s="117" t="inlineStr">
        <x:is>
          <x:t xml:space="preserve">Feedback</x:t>
        </x:is>
      </x:c>
      <x:c r="C16" s="117" t="inlineStr">
        <x:is>
          <x:t xml:space="preserve">What would make this feature more useful to you?</x:t>
        </x:is>
      </x:c>
      <x:c r="D16" s="117" t="inlineStr">
        <x:is>
          <x:t xml:space="preserve">Build-in-public</x:t>
        </x:is>
      </x:c>
      <x:c r="E16" s="117" t="inlineStr">
        <x:is>
          <x:t xml:space="preserve">You can actually use feedback.</x:t>
        </x:is>
      </x:c>
      <x:c r="F16" s="117" t="inlineStr">
        <x:is>
          <x:t xml:space="preserve">Avoid asking feedback if roadmap cannot absorb it.</x:t>
        </x:is>
      </x:c>
    </x:row>
    <x:row r="17" ht="44" customHeight="1">
      <x:c r="A17" s="110" t="inlineStr">
        <x:is>
          <x:t xml:space="preserve">Trust</x:t>
        </x:is>
      </x:c>
      <x:c r="B17" s="110" t="inlineStr">
        <x:is>
          <x:t xml:space="preserve">Save</x:t>
        </x:is>
      </x:c>
      <x:c r="C17" s="110" t="inlineStr">
        <x:is>
          <x:t xml:space="preserve">Keep this for the day you need it.</x:t>
        </x:is>
      </x:c>
      <x:c r="D17" s="110" t="inlineStr">
        <x:is>
          <x:t xml:space="preserve">Accident readiness</x:t>
        </x:is>
      </x:c>
      <x:c r="E17" s="110" t="inlineStr">
        <x:is>
          <x:t xml:space="preserve">The video has steps or a checklist.</x:t>
        </x:is>
      </x:c>
      <x:c r="F17" s="110" t="inlineStr">
        <x:is>
          <x:t xml:space="preserve">Good for trust without hard selling.</x:t>
        </x:is>
      </x:c>
    </x:row>
    <x:row r="18" ht="44" customHeight="1">
      <x:c r="A18" s="117" t="inlineStr">
        <x:is>
          <x:t xml:space="preserve">Trust</x:t>
        </x:is>
      </x:c>
      <x:c r="B18" s="117" t="inlineStr">
        <x:is>
          <x:t xml:space="preserve">Share</x:t>
        </x:is>
      </x:c>
      <x:c r="C18" s="117" t="inlineStr">
        <x:is>
          <x:t xml:space="preserve">Send this to a new driver.</x:t>
        </x:is>
      </x:c>
      <x:c r="D18" s="117" t="inlineStr">
        <x:is>
          <x:t xml:space="preserve">Educational safety</x:t>
        </x:is>
      </x:c>
      <x:c r="E18" s="117" t="inlineStr">
        <x:is>
          <x:t xml:space="preserve">The lesson is beginner-friendly.</x:t>
        </x:is>
      </x:c>
      <x:c r="F18" s="117" t="inlineStr">
        <x:is>
          <x:t xml:space="preserve">Creates social usefulness.</x:t>
        </x:is>
      </x:c>
    </x:row>
    <x:row r="19" ht="44" customHeight="1">
      <x:c r="A19" s="110" t="inlineStr">
        <x:is>
          <x:t xml:space="preserve">Trust</x:t>
        </x:is>
      </x:c>
      <x:c r="B19" s="110" t="inlineStr">
        <x:is>
          <x:t xml:space="preserve">Question</x:t>
        </x:is>
      </x:c>
      <x:c r="C19" s="110" t="inlineStr">
        <x:is>
          <x:t xml:space="preserve">What would you do differently?</x:t>
        </x:is>
      </x:c>
      <x:c r="D19" s="110" t="inlineStr">
        <x:is>
          <x:t xml:space="preserve">Explainers</x:t>
        </x:is>
      </x:c>
      <x:c r="E19" s="110" t="inlineStr">
        <x:is>
          <x:t xml:space="preserve">You want constructive comments.</x:t>
        </x:is>
      </x:c>
      <x:c r="F19" s="110" t="inlineStr">
        <x:is>
          <x:t xml:space="preserve">Moderate misinformation.</x:t>
        </x:is>
      </x:c>
    </x:row>
    <x:row r="20" ht="44" customHeight="1">
      <x:c r="A20" s="117" t="inlineStr">
        <x:is>
          <x:t xml:space="preserve">Feature Discovery</x:t>
        </x:is>
      </x:c>
      <x:c r="B20" s="117" t="inlineStr">
        <x:is>
          <x:t xml:space="preserve">Try</x:t>
        </x:is>
      </x:c>
      <x:c r="C20" s="117" t="inlineStr">
        <x:is>
          <x:t xml:space="preserve">Try Msafiri on your next drive.</x:t>
        </x:is>
      </x:c>
      <x:c r="D20" s="117" t="inlineStr">
        <x:is>
          <x:t xml:space="preserve">Feature demo</x:t>
        </x:is>
      </x:c>
      <x:c r="E20" s="117" t="inlineStr">
        <x:is>
          <x:t xml:space="preserve">The video clearly shows the use case.</x:t>
        </x:is>
      </x:c>
      <x:c r="F20" s="117" t="inlineStr">
        <x:is>
          <x:t xml:space="preserve">Best after proof, not before.</x:t>
        </x:is>
      </x:c>
    </x:row>
    <x:row r="21" ht="44" customHeight="1">
      <x:c r="A21" s="110" t="inlineStr">
        <x:is>
          <x:t xml:space="preserve">Feature Discovery</x:t>
        </x:is>
      </x:c>
      <x:c r="B21" s="110" t="inlineStr">
        <x:is>
          <x:t xml:space="preserve">Open App</x:t>
        </x:is>
      </x:c>
      <x:c r="C21" s="110" t="inlineStr">
        <x:is>
          <x:t xml:space="preserve">Open Msafiri before you start your route.</x:t>
        </x:is>
      </x:c>
      <x:c r="D21" s="110" t="inlineStr">
        <x:is>
          <x:t xml:space="preserve">Road alerts/trips</x:t>
        </x:is>
      </x:c>
      <x:c r="E21" s="110" t="inlineStr">
        <x:is>
          <x:t xml:space="preserve">The content is pre-drive oriented.</x:t>
        </x:is>
      </x:c>
      <x:c r="F21" s="110" t="inlineStr">
        <x:is>
          <x:t xml:space="preserve">Strong habit-building CTA.</x:t>
        </x:is>
      </x:c>
    </x:row>
    <x:row r="22" ht="44" customHeight="1">
      <x:c r="A22" s="117" t="inlineStr">
        <x:is>
          <x:t xml:space="preserve">Feature Discovery</x:t>
        </x:is>
      </x:c>
      <x:c r="B22" s="117" t="inlineStr">
        <x:is>
          <x:t xml:space="preserve">Test</x:t>
        </x:is>
      </x:c>
      <x:c r="C22" s="117" t="inlineStr">
        <x:is>
          <x:t xml:space="preserve">Test this feature and tell us what happened.</x:t>
        </x:is>
      </x:c>
      <x:c r="D22" s="117" t="inlineStr">
        <x:is>
          <x:t xml:space="preserve">Feature in the Wild</x:t>
        </x:is>
      </x:c>
      <x:c r="E22" s="117" t="inlineStr">
        <x:is>
          <x:t xml:space="preserve">The feature is available and easy to try.</x:t>
        </x:is>
      </x:c>
      <x:c r="F22" s="117" t="inlineStr">
        <x:is>
          <x:t xml:space="preserve">Use with safe features only.</x:t>
        </x:is>
      </x:c>
    </x:row>
    <x:row r="23" ht="44" customHeight="1">
      <x:c r="A23" s="110" t="inlineStr">
        <x:is>
          <x:t xml:space="preserve">Feature Discovery</x:t>
        </x:is>
      </x:c>
      <x:c r="B23" s="110" t="inlineStr">
        <x:is>
          <x:t xml:space="preserve">Compare</x:t>
        </x:is>
      </x:c>
      <x:c r="C23" s="110" t="inlineStr">
        <x:is>
          <x:t xml:space="preserve">Before your next road trip, compare your plan with Msafiri.</x:t>
        </x:is>
      </x:c>
      <x:c r="D23" s="110" t="inlineStr">
        <x:is>
          <x:t xml:space="preserve">Trip planning</x:t>
        </x:is>
      </x:c>
      <x:c r="E23" s="110" t="inlineStr">
        <x:is>
          <x:t xml:space="preserve">The video demonstrates planning.</x:t>
        </x:is>
      </x:c>
      <x:c r="F23" s="110" t="inlineStr">
        <x:is>
          <x:t xml:space="preserve">Avoid promising perfect routes.</x:t>
        </x:is>
      </x:c>
    </x:row>
    <x:row r="24" ht="44" customHeight="1">
      <x:c r="A24" s="117" t="inlineStr">
        <x:is>
          <x:t xml:space="preserve">Feature Discovery</x:t>
        </x:is>
      </x:c>
      <x:c r="B24" s="117" t="inlineStr">
        <x:is>
          <x:t xml:space="preserve">Question</x:t>
        </x:is>
      </x:c>
      <x:c r="C24" s="117" t="inlineStr">
        <x:is>
          <x:t xml:space="preserve">Would you use this on your normal commute?</x:t>
        </x:is>
      </x:c>
      <x:c r="D24" s="117" t="inlineStr">
        <x:is>
          <x:t xml:space="preserve">Feature poll</x:t>
        </x:is>
      </x:c>
      <x:c r="E24" s="117" t="inlineStr">
        <x:is>
          <x:t xml:space="preserve">Feature is easy to understand.</x:t>
        </x:is>
      </x:c>
      <x:c r="F24" s="117" t="inlineStr">
        <x:is>
          <x:t xml:space="preserve">Good for product feedback.</x:t>
        </x:is>
      </x:c>
    </x:row>
    <x:row r="25" ht="44" customHeight="1">
      <x:c r="A25" s="110" t="inlineStr">
        <x:is>
          <x:t xml:space="preserve">Conversion</x:t>
        </x:is>
      </x:c>
      <x:c r="B25" s="110" t="inlineStr">
        <x:is>
          <x:t xml:space="preserve">Download</x:t>
        </x:is>
      </x:c>
      <x:c r="C25" s="110" t="inlineStr">
        <x:is>
          <x:t xml:space="preserve">Download Msafiri before you need it.</x:t>
        </x:is>
      </x:c>
      <x:c r="D25" s="110" t="inlineStr">
        <x:is>
          <x:t xml:space="preserve">Accident/dashcam content</x:t>
        </x:is>
      </x:c>
      <x:c r="E25" s="110" t="inlineStr">
        <x:is>
          <x:t xml:space="preserve">The content creates preparedness.</x:t>
        </x:is>
      </x:c>
      <x:c r="F25" s="110" t="inlineStr">
        <x:is>
          <x:t xml:space="preserve">Use responsibly, not fearfully.</x:t>
        </x:is>
      </x:c>
    </x:row>
    <x:row r="26" ht="44" customHeight="1">
      <x:c r="A26" s="117" t="inlineStr">
        <x:is>
          <x:t xml:space="preserve">Conversion</x:t>
        </x:is>
      </x:c>
      <x:c r="B26" s="117" t="inlineStr">
        <x:is>
          <x:t xml:space="preserve">Install</x:t>
        </x:is>
      </x:c>
      <x:c r="C26" s="117" t="inlineStr">
        <x:is>
          <x:t xml:space="preserve">Install Msafiri and make your next drive more informed.</x:t>
        </x:is>
      </x:c>
      <x:c r="D26" s="117" t="inlineStr">
        <x:is>
          <x:t xml:space="preserve">Road intelligence hero</x:t>
        </x:is>
      </x:c>
      <x:c r="E26" s="117" t="inlineStr">
        <x:is>
          <x:t xml:space="preserve">The video has broad appeal.</x:t>
        </x:is>
      </x:c>
      <x:c r="F26" s="117" t="inlineStr">
        <x:is>
          <x:t xml:space="preserve">Main conversion CTA.</x:t>
        </x:is>
      </x:c>
    </x:row>
    <x:row r="27" ht="44" customHeight="1">
      <x:c r="A27" s="110" t="inlineStr">
        <x:is>
          <x:t xml:space="preserve">Conversion</x:t>
        </x:is>
      </x:c>
      <x:c r="B27" s="110" t="inlineStr">
        <x:is>
          <x:t xml:space="preserve">Try</x:t>
        </x:is>
      </x:c>
      <x:c r="C27" s="110" t="inlineStr">
        <x:is>
          <x:t xml:space="preserve">Use Msafiri on one real drive this week.</x:t>
        </x:is>
      </x:c>
      <x:c r="D27" s="110" t="inlineStr">
        <x:is>
          <x:t xml:space="preserve">Product proof</x:t>
        </x:is>
      </x:c>
      <x:c r="E27" s="110" t="inlineStr">
        <x:is>
          <x:t xml:space="preserve">You want low-friction behavior.</x:t>
        </x:is>
      </x:c>
      <x:c r="F27" s="110" t="inlineStr">
        <x:is>
          <x:t xml:space="preserve">Specific &gt; generic.</x:t>
        </x:is>
      </x:c>
    </x:row>
    <x:row r="28" ht="44" customHeight="1">
      <x:c r="A28" s="117" t="inlineStr">
        <x:is>
          <x:t xml:space="preserve">Conversion</x:t>
        </x:is>
      </x:c>
      <x:c r="B28" s="117" t="inlineStr">
        <x:is>
          <x:t xml:space="preserve">Store Click</x:t>
        </x:is>
      </x:c>
      <x:c r="C28" s="117" t="inlineStr">
        <x:is>
          <x:t xml:space="preserve">Tap the link and set up Msafiri before your next trip.</x:t>
        </x:is>
      </x:c>
      <x:c r="D28" s="117" t="inlineStr">
        <x:is>
          <x:t xml:space="preserve">Holiday travel</x:t>
        </x:is>
      </x:c>
      <x:c r="E28" s="117" t="inlineStr">
        <x:is>
          <x:t xml:space="preserve">Travel urgency is real.</x:t>
        </x:is>
      </x:c>
      <x:c r="F28" s="117" t="inlineStr">
        <x:is>
          <x:t xml:space="preserve">Use around December/Jamhuri moments.</x:t>
        </x:is>
      </x:c>
    </x:row>
    <x:row r="29" ht="44" customHeight="1">
      <x:c r="A29" s="110" t="inlineStr">
        <x:is>
          <x:t xml:space="preserve">Conversion</x:t>
        </x:is>
      </x:c>
      <x:c r="B29" s="110" t="inlineStr">
        <x:is>
          <x:t xml:space="preserve">Feature CTA</x:t>
        </x:is>
      </x:c>
      <x:c r="C29" s="110" t="inlineStr">
        <x:is>
          <x:t xml:space="preserve">Turn on the feature before you leave.</x:t>
        </x:is>
      </x:c>
      <x:c r="D29" s="110" t="inlineStr">
        <x:is>
          <x:t xml:space="preserve">Feature setup</x:t>
        </x:is>
      </x:c>
      <x:c r="E29" s="110" t="inlineStr">
        <x:is>
          <x:t xml:space="preserve">The setup is quick and visible.</x:t>
        </x:is>
      </x:c>
      <x:c r="F29" s="110" t="inlineStr">
        <x:is>
          <x:t xml:space="preserve">Only for available features.</x:t>
        </x:is>
      </x:c>
    </x:row>
    <x:row r="30" ht="44" customHeight="1">
      <x:c r="A30" s="117" t="inlineStr">
        <x:is>
          <x:t xml:space="preserve">Retention</x:t>
        </x:is>
      </x:c>
      <x:c r="B30" s="117" t="inlineStr">
        <x:is>
          <x:t xml:space="preserve">Habit</x:t>
        </x:is>
      </x:c>
      <x:c r="C30" s="117" t="inlineStr">
        <x:is>
          <x:t xml:space="preserve">Make this your before-drive habit.</x:t>
        </x:is>
      </x:c>
      <x:c r="D30" s="117" t="inlineStr">
        <x:is>
          <x:t xml:space="preserve">Before You Drive</x:t>
        </x:is>
      </x:c>
      <x:c r="E30" s="117" t="inlineStr">
        <x:is>
          <x:t xml:space="preserve">Checklist is easy.</x:t>
        </x:is>
      </x:c>
      <x:c r="F30" s="117" t="inlineStr">
        <x:is>
          <x:t xml:space="preserve">Build daily usage.</x:t>
        </x:is>
      </x:c>
    </x:row>
    <x:row r="31" ht="44" customHeight="1">
      <x:c r="A31" s="110" t="inlineStr">
        <x:is>
          <x:t xml:space="preserve">Retention</x:t>
        </x:is>
      </x:c>
      <x:c r="B31" s="110" t="inlineStr">
        <x:is>
          <x:t xml:space="preserve">Weekly</x:t>
        </x:is>
      </x:c>
      <x:c r="C31" s="110" t="inlineStr">
        <x:is>
          <x:t xml:space="preserve">Check Msafiri every Sunday before the week starts.</x:t>
        </x:is>
      </x:c>
      <x:c r="D31" s="110" t="inlineStr">
        <x:is>
          <x:t xml:space="preserve">Planning content</x:t>
        </x:is>
      </x:c>
      <x:c r="E31" s="110" t="inlineStr">
        <x:is>
          <x:t xml:space="preserve">The video is weekly prep.</x:t>
        </x:is>
      </x:c>
      <x:c r="F31" s="110" t="inlineStr">
        <x:is>
          <x:t xml:space="preserve">Good for Stories reminders.</x:t>
        </x:is>
      </x:c>
    </x:row>
    <x:row r="32" ht="44" customHeight="1">
      <x:c r="A32" s="117" t="inlineStr">
        <x:is>
          <x:t xml:space="preserve">Retention</x:t>
        </x:is>
      </x:c>
      <x:c r="B32" s="117" t="inlineStr">
        <x:is>
          <x:t xml:space="preserve">Save</x:t>
        </x:is>
      </x:c>
      <x:c r="C32" s="117" t="inlineStr">
        <x:is>
          <x:t xml:space="preserve">Save the checklist and use it again.</x:t>
        </x:is>
      </x:c>
      <x:c r="D32" s="117" t="inlineStr">
        <x:is>
          <x:t xml:space="preserve">Evergreen content</x:t>
        </x:is>
      </x:c>
      <x:c r="E32" s="117" t="inlineStr">
        <x:is>
          <x:t xml:space="preserve">The content is not time-sensitive.</x:t>
        </x:is>
      </x:c>
      <x:c r="F32" s="117" t="inlineStr">
        <x:is>
          <x:t xml:space="preserve">Boosts revisit behavior.</x:t>
        </x:is>
      </x:c>
    </x:row>
    <x:row r="33" ht="44" customHeight="1">
      <x:c r="A33" s="110" t="inlineStr">
        <x:is>
          <x:t xml:space="preserve">Retention</x:t>
        </x:is>
      </x:c>
      <x:c r="B33" s="110" t="inlineStr">
        <x:is>
          <x:t xml:space="preserve">Comment</x:t>
        </x:is>
      </x:c>
      <x:c r="C33" s="110" t="inlineStr">
        <x:is>
          <x:t xml:space="preserve">What should we improve next?</x:t>
        </x:is>
      </x:c>
      <x:c r="D33" s="110" t="inlineStr">
        <x:is>
          <x:t xml:space="preserve">Community roadmap</x:t>
        </x:is>
      </x:c>
      <x:c r="E33" s="110" t="inlineStr">
        <x:is>
          <x:t xml:space="preserve">You want product feedback.</x:t>
        </x:is>
      </x:c>
      <x:c r="F33" s="110" t="inlineStr">
        <x:is>
          <x:t xml:space="preserve">Close the loop later.</x:t>
        </x:is>
      </x:c>
    </x:row>
    <x:row r="34" ht="44" customHeight="1">
      <x:c r="A34" s="117" t="inlineStr">
        <x:is>
          <x:t xml:space="preserve">Retention</x:t>
        </x:is>
      </x:c>
      <x:c r="B34" s="117" t="inlineStr">
        <x:is>
          <x:t xml:space="preserve">Share</x:t>
        </x:is>
      </x:c>
      <x:c r="C34" s="117" t="inlineStr">
        <x:is>
          <x:t xml:space="preserve">Send this to your road-trip group before you leave.</x:t>
        </x:is>
      </x:c>
      <x:c r="D34" s="117" t="inlineStr">
        <x:is>
          <x:t xml:space="preserve">Trip-sharing content</x:t>
        </x:is>
      </x:c>
      <x:c r="E34" s="117" t="inlineStr">
        <x:is>
          <x:t xml:space="preserve">Group coordination matters.</x:t>
        </x:is>
      </x:c>
      <x:c r="F34" s="117" t="inlineStr">
        <x:is>
          <x:t xml:space="preserve">Natural retention loop.</x:t>
        </x:is>
      </x:c>
    </x:row>
    <x:row r="35" ht="44" customHeight="1">
      <x:c r="A35" s="110" t="inlineStr">
        <x:is>
          <x:t xml:space="preserve">Community</x:t>
        </x:is>
      </x:c>
      <x:c r="B35" s="110" t="inlineStr">
        <x:is>
          <x:t xml:space="preserve">Nominate</x:t>
        </x:is>
      </x:c>
      <x:c r="C35" s="110" t="inlineStr">
        <x:is>
          <x:t xml:space="preserve">Nominate a road for the next Road Check.</x:t>
        </x:is>
      </x:c>
      <x:c r="D35" s="110" t="inlineStr">
        <x:is>
          <x:t xml:space="preserve">Road checks</x:t>
        </x:is>
      </x:c>
      <x:c r="E35" s="110" t="inlineStr">
        <x:is>
          <x:t xml:space="preserve">The audience is active.</x:t>
        </x:is>
      </x:c>
      <x:c r="F35" s="110" t="inlineStr">
        <x:is>
          <x:t xml:space="preserve">Make a queue from comments.</x:t>
        </x:is>
      </x:c>
    </x:row>
    <x:row r="36" ht="44" customHeight="1">
      <x:c r="A36" s="117" t="inlineStr">
        <x:is>
          <x:t xml:space="preserve">Community</x:t>
        </x:is>
      </x:c>
      <x:c r="B36" s="117" t="inlineStr">
        <x:is>
          <x:t xml:space="preserve">Submit</x:t>
        </x:is>
      </x:c>
      <x:c r="C36" s="117" t="inlineStr">
        <x:is>
          <x:t xml:space="preserve">Send us a road story we can anonymize and feature.</x:t>
        </x:is>
      </x:c>
      <x:c r="D36" s="117" t="inlineStr">
        <x:is>
          <x:t xml:space="preserve">Driver Confessions</x:t>
        </x:is>
      </x:c>
      <x:c r="E36" s="117" t="inlineStr">
        <x:is>
          <x:t xml:space="preserve">You can manage consent.</x:t>
        </x:is>
      </x:c>
      <x:c r="F36" s="117" t="inlineStr">
        <x:is>
          <x:t xml:space="preserve">Protect privacy.</x:t>
        </x:is>
      </x:c>
    </x:row>
    <x:row r="37" ht="44" customHeight="1">
      <x:c r="A37" s="110" t="inlineStr">
        <x:is>
          <x:t xml:space="preserve">Community</x:t>
        </x:is>
      </x:c>
      <x:c r="B37" s="110" t="inlineStr">
        <x:is>
          <x:t xml:space="preserve">Vote</x:t>
        </x:is>
      </x:c>
      <x:c r="C37" s="110" t="inlineStr">
        <x:is>
          <x:t xml:space="preserve">Vote for the next feature Peter should explain.</x:t>
        </x:is>
      </x:c>
      <x:c r="D37" s="110" t="inlineStr">
        <x:is>
          <x:t xml:space="preserve">Founder Files</x:t>
        </x:is>
      </x:c>
      <x:c r="E37" s="110" t="inlineStr">
        <x:is>
          <x:t xml:space="preserve">There are multiple topics.</x:t>
        </x:is>
      </x:c>
      <x:c r="F37" s="110" t="inlineStr">
        <x:is>
          <x:t xml:space="preserve">Use polls.</x:t>
        </x:is>
      </x:c>
    </x:row>
    <x:row r="38" ht="44" customHeight="1">
      <x:c r="A38" s="117" t="inlineStr">
        <x:is>
          <x:t xml:space="preserve">Community</x:t>
        </x:is>
      </x:c>
      <x:c r="B38" s="117" t="inlineStr">
        <x:is>
          <x:t xml:space="preserve">Challenge</x:t>
        </x:is>
      </x:c>
      <x:c r="C38" s="117" t="inlineStr">
        <x:is>
          <x:t xml:space="preserve">Show us your before-drive checklist.</x:t>
        </x:is>
      </x:c>
      <x:c r="D38" s="117" t="inlineStr">
        <x:is>
          <x:t xml:space="preserve">UGC challenge</x:t>
        </x:is>
      </x:c>
      <x:c r="E38" s="117" t="inlineStr">
        <x:is>
          <x:t xml:space="preserve">Audience owns cars/drives.</x:t>
        </x:is>
      </x:c>
      <x:c r="F38" s="117" t="inlineStr">
        <x:is>
          <x:t xml:space="preserve">Request safe clips only.</x:t>
        </x:is>
      </x:c>
    </x:row>
    <x:row r="39" ht="44" customHeight="1">
      <x:c r="A39" s="110" t="inlineStr">
        <x:is>
          <x:t xml:space="preserve">Community</x:t>
        </x:is>
      </x:c>
      <x:c r="B39" s="110" t="inlineStr">
        <x:is>
          <x:t xml:space="preserve">Invite</x:t>
        </x:is>
      </x:c>
      <x:c r="C39" s="110" t="inlineStr">
        <x:is>
          <x:t xml:space="preserve">Join the Msafiri driver community by following and commenting your route.</x:t>
        </x:is>
      </x:c>
      <x:c r="D39" s="110" t="inlineStr">
        <x:is>
          <x:t xml:space="preserve">Community building</x:t>
        </x:is>
      </x:c>
      <x:c r="E39" s="110" t="inlineStr">
        <x:is>
          <x:t xml:space="preserve">You are seeking repeat engagement.</x:t>
        </x:is>
      </x:c>
      <x:c r="F39" s="110" t="inlineStr">
        <x:is>
          <x:t xml:space="preserve">CTA for early brand audience.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40" customWidth="1"/>
    <x:col min="3" max="3" width="44" customWidth="1"/>
    <x:col min="4" max="4" width="44" customWidth="1"/>
    <x:col min="5" max="5" width="50" customWidth="1"/>
    <x:col min="6" max="6" width="46" customWidth="1"/>
    <x:col min="7" max="7" width="34" customWidth="1"/>
    <x:col min="8" max="8" width="48" customWidth="1"/>
    <x:col min="9" max="9" width="44" customWidth="1"/>
  </x:cols>
  <x:sheetData>
    <x:row r="1" ht="28" customHeight="1">
      <x:c r="A1" s="106" t="inlineStr">
        <x:is>
          <x:t xml:space="preserve">SCRIPT TEMPLATES</x:t>
        </x:is>
      </x:c>
    </x:row>
    <x:row r="2" ht="34" customHeight="1">
      <x:c r="A2" s="107" t="inlineStr">
        <x:is>
          <x:t xml:space="preserve">Reusable structures for faster scripting and stronger retention.</x:t>
        </x:is>
      </x:c>
    </x:row>
    <x:row r="3"/>
    <x:row r="4" ht="36" customHeight="1">
      <x:c r="A4" s="108" t="inlineStr">
        <x:is>
          <x:t xml:space="preserve">Template</x:t>
        </x:is>
      </x:c>
      <x:c r="B4" s="108" t="inlineStr">
        <x:is>
          <x:t xml:space="preserve">Use When</x:t>
        </x:is>
      </x:c>
      <x:c r="C4" s="108" t="inlineStr">
        <x:is>
          <x:t xml:space="preserve">0–3 sec Hook</x:t>
        </x:is>
      </x:c>
      <x:c r="D4" s="108" t="inlineStr">
        <x:is>
          <x:t xml:space="preserve">3–10 sec Context</x:t>
        </x:is>
      </x:c>
      <x:c r="E4" s="108" t="inlineStr">
        <x:is>
          <x:t xml:space="preserve">10–30 sec Value / Story</x:t>
        </x:is>
      </x:c>
      <x:c r="F4" s="108" t="inlineStr">
        <x:is>
          <x:t xml:space="preserve">30–60 sec Payoff</x:t>
        </x:is>
      </x:c>
      <x:c r="G4" s="108" t="inlineStr">
        <x:is>
          <x:t xml:space="preserve">CTA</x:t>
        </x:is>
      </x:c>
      <x:c r="H4" s="108" t="inlineStr">
        <x:is>
          <x:t xml:space="preserve">Shot List</x:t>
        </x:is>
      </x:c>
      <x:c r="I4" s="108" t="inlineStr">
        <x:is>
          <x:t xml:space="preserve">Editing Notes</x:t>
        </x:is>
      </x:c>
    </x:row>
    <x:row r="5" ht="72" customHeight="1">
      <x:c r="A5" s="110" t="inlineStr">
        <x:is>
          <x:t xml:space="preserve">Road Check Hero</x:t>
        </x:is>
      </x:c>
      <x:c r="B5" s="110" t="inlineStr">
        <x:is>
          <x:t xml:space="preserve">You want to own a route or seasonal travel moment.</x:t>
        </x:is>
      </x:c>
      <x:c r="C5" s="110" t="inlineStr">
        <x:is>
          <x:t xml:space="preserve">Name the route + one tension: “We tested this road before the holiday rush.”</x:t>
        </x:is>
      </x:c>
      <x:c r="D5" s="110" t="inlineStr">
        <x:is>
          <x:t xml:space="preserve">Show where you are, why it matters, and what drivers usually miss.</x:t>
        </x:is>
      </x:c>
      <x:c r="E5" s="110" t="inlineStr">
        <x:is>
          <x:t xml:space="preserve">Three road moments with captions: risk, decision, Msafiri angle.</x:t>
        </x:is>
      </x:c>
      <x:c r="F5" s="110" t="inlineStr">
        <x:is>
          <x:t xml:space="preserve">Summarize what a driver should know before leaving.</x:t>
        </x:is>
      </x:c>
      <x:c r="G5" s="110" t="inlineStr">
        <x:is>
          <x:t xml:space="preserve">Tell us which road to check next.</x:t>
        </x:is>
      </x:c>
      <x:c r="H5" s="110" t="inlineStr">
        <x:is>
          <x:t xml:space="preserve">POV drive, road signs, map overlay, phone mount, Peter intro/outro.</x:t>
        </x:is>
      </x:c>
      <x:c r="I5" s="110" t="inlineStr">
        <x:is>
          <x:t xml:space="preserve">Keep the first road moment inside the first 5 seconds.</x:t>
        </x:is>
      </x:c>
    </x:row>
    <x:row r="6" ht="72" customHeight="1">
      <x:c r="A6" s="117" t="inlineStr">
        <x:is>
          <x:t xml:space="preserve">Feature in the Wild</x:t>
        </x:is>
      </x:c>
      <x:c r="B6" s="117" t="inlineStr">
        <x:is>
          <x:t xml:space="preserve">A feature solves one specific driving situation.</x:t>
        </x:is>
      </x:c>
      <x:c r="C6" s="117" t="inlineStr">
        <x:is>
          <x:t xml:space="preserve">Show the problem before the feature name.</x:t>
        </x:is>
      </x:c>
      <x:c r="D6" s="117" t="inlineStr">
        <x:is>
          <x:t xml:space="preserve">One sentence: “Here is why this matters on a normal drive.”</x:t>
        </x:is>
      </x:c>
      <x:c r="E6" s="117" t="inlineStr">
        <x:is>
          <x:t xml:space="preserve">Quick demo with real-world cutaway; no long UI tour.</x:t>
        </x:is>
      </x:c>
      <x:c r="F6" s="117" t="inlineStr">
        <x:is>
          <x:t xml:space="preserve">Return to the driver outcome.</x:t>
        </x:is>
      </x:c>
      <x:c r="G6" s="117" t="inlineStr">
        <x:is>
          <x:t xml:space="preserve">Try Msafiri on your next drive.</x:t>
        </x:is>
      </x:c>
      <x:c r="H6" s="117" t="inlineStr">
        <x:is>
          <x:t xml:space="preserve">Screen-record, phone mount, driver POV, end card.</x:t>
        </x:is>
      </x:c>
      <x:c r="I6" s="117" t="inlineStr">
        <x:is>
          <x:t xml:space="preserve">Use captions for every UI tap.</x:t>
        </x:is>
      </x:c>
    </x:row>
    <x:row r="7" ht="72" customHeight="1">
      <x:c r="A7" s="110" t="inlineStr">
        <x:is>
          <x:t xml:space="preserve">Founder Files</x:t>
        </x:is>
      </x:c>
      <x:c r="B7" s="110" t="inlineStr">
        <x:is>
          <x:t xml:space="preserve">Peter needs to build trust or explain a product decision.</x:t>
        </x:is>
      </x:c>
      <x:c r="C7" s="110" t="inlineStr">
        <x:is>
          <x:t xml:space="preserve">Peter starts with a specific truth or mistake.</x:t>
        </x:is>
      </x:c>
      <x:c r="D7" s="110" t="inlineStr">
        <x:is>
          <x:t xml:space="preserve">Explain the local Kenyan driving insight behind the feature.</x:t>
        </x:is>
      </x:c>
      <x:c r="E7" s="110" t="inlineStr">
        <x:is>
          <x:t xml:space="preserve">Show the feature or test footage as evidence.</x:t>
        </x:is>
      </x:c>
      <x:c r="F7" s="110" t="inlineStr">
        <x:is>
          <x:t xml:space="preserve">Ask for feedback or invite people into the build.</x:t>
        </x:is>
      </x:c>
      <x:c r="G7" s="110" t="inlineStr">
        <x:is>
          <x:t xml:space="preserve">Follow Msafiri as we build for Kenyan roads.</x:t>
        </x:is>
      </x:c>
      <x:c r="H7" s="110" t="inlineStr">
        <x:is>
          <x:t xml:space="preserve">Peter on camera, car B-roll, product screen, notes.</x:t>
        </x:is>
      </x:c>
      <x:c r="I7" s="110" t="inlineStr">
        <x:is>
          <x:t xml:space="preserve">Avoid generic founder speech; use one concrete example.</x:t>
        </x:is>
      </x:c>
    </x:row>
    <x:row r="8" ht="72" customHeight="1">
      <x:c r="A8" s="117" t="inlineStr">
        <x:is>
          <x:t xml:space="preserve">Would You Know What To Do?</x:t>
        </x:is>
      </x:c>
      <x:c r="B8" s="117" t="inlineStr">
        <x:is>
          <x:t xml:space="preserve">Accident/breakdown/safety education.</x:t>
        </x:is>
      </x:c>
      <x:c r="C8" s="117" t="inlineStr">
        <x:is>
          <x:t xml:space="preserve">Put the viewer inside the scenario.</x:t>
        </x:is>
      </x:c>
      <x:c r="D8" s="117" t="inlineStr">
        <x:is>
          <x:t xml:space="preserve">Ask the question and pause: “What do you do first?”</x:t>
        </x:is>
      </x:c>
      <x:c r="E8" s="117" t="inlineStr">
        <x:is>
          <x:t xml:space="preserve">Give 3 steps in order.</x:t>
        </x:is>
      </x:c>
      <x:c r="F8" s="117" t="inlineStr">
        <x:is>
          <x:t xml:space="preserve">Repeat the sequence as a final checklist.</x:t>
        </x:is>
      </x:c>
      <x:c r="G8" s="117" t="inlineStr">
        <x:is>
          <x:t xml:space="preserve">Save this checklist.</x:t>
        </x:is>
      </x:c>
      <x:c r="H8" s="117" t="inlineStr">
        <x:is>
          <x:t xml:space="preserve">Scenario B-roll, checklist overlay, calm voiceover.</x:t>
        </x:is>
      </x:c>
      <x:c r="I8" s="117" t="inlineStr">
        <x:is>
          <x:t xml:space="preserve">No fearbait; keep tone calm.</x:t>
        </x:is>
      </x:c>
    </x:row>
    <x:row r="9" ht="72" customHeight="1">
      <x:c r="A9" s="110" t="inlineStr">
        <x:is>
          <x:t xml:space="preserve">Street Interview</x:t>
        </x:is>
      </x:c>
      <x:c r="B9" s="110" t="inlineStr">
        <x:is>
          <x:t xml:space="preserve">You need community stories or road opinions.</x:t>
        </x:is>
      </x:c>
      <x:c r="C9" s="110" t="inlineStr">
        <x:is>
          <x:t xml:space="preserve">Question card on screen.</x:t>
        </x:is>
      </x:c>
      <x:c r="D9" s="110" t="inlineStr">
        <x:is>
          <x:t xml:space="preserve">Show the first answer quickly.</x:t>
        </x:is>
      </x:c>
      <x:c r="E9" s="110" t="inlineStr">
        <x:is>
          <x:t xml:space="preserve">Cut 3–5 short answers with subtitles.</x:t>
        </x:is>
      </x:c>
      <x:c r="F9" s="110" t="inlineStr">
        <x:is>
          <x:t xml:space="preserve">Peter or narrator summarizes pattern.</x:t>
        </x:is>
      </x:c>
      <x:c r="G9" s="110" t="inlineStr">
        <x:is>
          <x:t xml:space="preserve">Tell us your answer.</x:t>
        </x:is>
      </x:c>
      <x:c r="H9" s="110" t="inlineStr">
        <x:is>
          <x:t xml:space="preserve">Lapel mic, consent cue, subtitles, branded question card.</x:t>
        </x:is>
      </x:c>
      <x:c r="I9" s="110" t="inlineStr">
        <x:is>
          <x:t xml:space="preserve">Keep answers under 8 seconds each.</x:t>
        </x:is>
      </x:c>
    </x:row>
    <x:row r="10" ht="72" customHeight="1">
      <x:c r="A10" s="117" t="inlineStr">
        <x:is>
          <x:t xml:space="preserve">Road Mythbuster</x:t>
        </x:is>
      </x:c>
      <x:c r="B10" s="117" t="inlineStr">
        <x:is>
          <x:t xml:space="preserve">You want comments without losing trust.</x:t>
        </x:is>
      </x:c>
      <x:c r="C10" s="117" t="inlineStr">
        <x:is>
          <x:t xml:space="preserve">State the myth or hot take.</x:t>
        </x:is>
      </x:c>
      <x:c r="D10" s="117" t="inlineStr">
        <x:is>
          <x:t xml:space="preserve">Explain why people believe it.</x:t>
        </x:is>
      </x:c>
      <x:c r="E10" s="117" t="inlineStr">
        <x:is>
          <x:t xml:space="preserve">Show test, logic, or counterexample.</x:t>
        </x:is>
      </x:c>
      <x:c r="F10" s="117" t="inlineStr">
        <x:is>
          <x:t xml:space="preserve">Give verdict and safe takeaway.</x:t>
        </x:is>
      </x:c>
      <x:c r="G10" s="117" t="inlineStr">
        <x:is>
          <x:t xml:space="preserve">Agree or disagree? Give your reason.</x:t>
        </x:is>
      </x:c>
      <x:c r="H10" s="117" t="inlineStr">
        <x:is>
          <x:t xml:space="preserve">Split screen, poll sticker, road B-roll, founder close.</x:t>
        </x:is>
      </x:c>
      <x:c r="I10" s="117" t="inlineStr">
        <x:is>
          <x:t xml:space="preserve">Avoid unsafe demonstrations.</x:t>
        </x:is>
      </x:c>
    </x:row>
    <x:row r="11" ht="72" customHeight="1">
      <x:c r="A11" s="110" t="inlineStr">
        <x:is>
          <x:t xml:space="preserve">Checklist Carousel</x:t>
        </x:is>
      </x:c>
      <x:c r="B11" s="110" t="inlineStr">
        <x:is>
          <x:t xml:space="preserve">The idea is saveable and evergreen.</x:t>
        </x:is>
      </x:c>
      <x:c r="C11" s="110" t="inlineStr">
        <x:is>
          <x:t xml:space="preserve">Slide 1: direct problem + benefit.</x:t>
        </x:is>
      </x:c>
      <x:c r="D11" s="110" t="inlineStr">
        <x:is>
          <x:t xml:space="preserve">Slides 2–5: one step per slide.</x:t>
        </x:is>
      </x:c>
      <x:c r="E11" s="110" t="inlineStr">
        <x:is>
          <x:t xml:space="preserve">Add one example or common mistake.</x:t>
        </x:is>
      </x:c>
      <x:c r="F11" s="110" t="inlineStr">
        <x:is>
          <x:t xml:space="preserve">Final slide: recap and CTA.</x:t>
        </x:is>
      </x:c>
      <x:c r="G11" s="110" t="inlineStr">
        <x:is>
          <x:t xml:space="preserve">Save this before your next drive.</x:t>
        </x:is>
      </x:c>
      <x:c r="H11" s="110" t="inlineStr">
        <x:is>
          <x:t xml:space="preserve">Clean branded slides, simple icons, car/road photo background.</x:t>
        </x:is>
      </x:c>
      <x:c r="I11" s="110" t="inlineStr">
        <x:is>
          <x:t xml:space="preserve">Keep each slide under 12 words where possible.</x:t>
        </x:is>
      </x:c>
    </x:row>
    <x:row r="12" ht="72" customHeight="1">
      <x:c r="A12" s="117" t="inlineStr">
        <x:is>
          <x:t xml:space="preserve">Comment-to-Video</x:t>
        </x:is>
      </x:c>
      <x:c r="B12" s="117" t="inlineStr">
        <x:is>
          <x:t xml:space="preserve">A comment deserves a public answer.</x:t>
        </x:is>
      </x:c>
      <x:c r="C12" s="117" t="inlineStr">
        <x:is>
          <x:t xml:space="preserve">Show the comment sticker.</x:t>
        </x:is>
      </x:c>
      <x:c r="D12" s="117" t="inlineStr">
        <x:is>
          <x:t xml:space="preserve">Acknowledge the question briefly.</x:t>
        </x:is>
      </x:c>
      <x:c r="E12" s="117" t="inlineStr">
        <x:is>
          <x:t xml:space="preserve">Answer in 2–3 clear points.</x:t>
        </x:is>
      </x:c>
      <x:c r="F12" s="117" t="inlineStr">
        <x:is>
          <x:t xml:space="preserve">Ask the audience what to answer next.</x:t>
        </x:is>
      </x:c>
      <x:c r="G12" s="117" t="inlineStr">
        <x:is>
          <x:t xml:space="preserve">Drop your road question below.</x:t>
        </x:is>
      </x:c>
      <x:c r="H12" s="117" t="inlineStr">
        <x:is>
          <x:t xml:space="preserve">Comment sticker, Peter response, screen demo or B-roll.</x:t>
        </x:is>
      </x:c>
      <x:c r="I12" s="117" t="inlineStr">
        <x:is>
          <x:t xml:space="preserve">Post within 48 hours when possible.</x:t>
        </x:is>
      </x:c>
    </x:row>
    <x:row r="13" ht="72" customHeight="1">
      <x:c r="A13" s="110" t="inlineStr">
        <x:is>
          <x:t xml:space="preserve">Holiday Road Prep</x:t>
        </x:is>
      </x:c>
      <x:c r="B13" s="110" t="inlineStr">
        <x:is>
          <x:t xml:space="preserve">A public holiday or travel season is near.</x:t>
        </x:is>
      </x:c>
      <x:c r="C13" s="110" t="inlineStr">
        <x:is>
          <x:t xml:space="preserve">Name the moment and the emotional stakes.</x:t>
        </x:is>
      </x:c>
      <x:c r="D13" s="110" t="inlineStr">
        <x:is>
          <x:t xml:space="preserve">Frame it as preparation, not fear.</x:t>
        </x:is>
      </x:c>
      <x:c r="E13" s="110" t="inlineStr">
        <x:is>
          <x:t xml:space="preserve">Checklist + Msafiri use case + family/group context.</x:t>
        </x:is>
      </x:c>
      <x:c r="F13" s="110" t="inlineStr">
        <x:is>
          <x:t xml:space="preserve">Warm reminder: arrive safe.</x:t>
        </x:is>
      </x:c>
      <x:c r="G13" s="110" t="inlineStr">
        <x:is>
          <x:t xml:space="preserve">Send this to the person driving.</x:t>
        </x:is>
      </x:c>
      <x:c r="H13" s="110" t="inlineStr">
        <x:is>
          <x:t xml:space="preserve">Packing, tyre check, family/car shots, app screen, warm voiceover.</x:t>
        </x:is>
      </x:c>
      <x:c r="I13" s="110" t="inlineStr">
        <x:is>
          <x:t xml:space="preserve">Keep product presence soft on family holidays.</x:t>
        </x:is>
      </x:c>
    </x:row>
    <x:row r="14" ht="72" customHeight="1">
      <x:c r="A14" s="117" t="inlineStr">
        <x:is>
          <x:t xml:space="preserve">Sober-Driving Reminder</x:t>
        </x:is>
      </x:c>
      <x:c r="B14" s="117" t="inlineStr">
        <x:is>
          <x:t xml:space="preserve">Celebration or New Year content.</x:t>
        </x:is>
      </x:c>
      <x:c r="C14" s="117" t="inlineStr">
        <x:is>
          <x:t xml:space="preserve">Start with choice: “Plan the ride before the night starts.”</x:t>
        </x:is>
      </x:c>
      <x:c r="D14" s="117" t="inlineStr">
        <x:is>
          <x:t xml:space="preserve">Make it about responsibility and friends/family.</x:t>
        </x:is>
      </x:c>
      <x:c r="E14" s="117" t="inlineStr">
        <x:is>
          <x:t xml:space="preserve">Offer safe alternatives: designated driver, rest, ride, postpone.</x:t>
        </x:is>
      </x:c>
      <x:c r="F14" s="117" t="inlineStr">
        <x:is>
          <x:t xml:space="preserve">Close with a firm safety line.</x:t>
        </x:is>
      </x:c>
      <x:c r="G14" s="117" t="inlineStr">
        <x:is>
          <x:t xml:space="preserve">Choose the safe ride.</x:t>
        </x:is>
      </x:c>
      <x:c r="H14" s="117" t="inlineStr">
        <x:is>
          <x:t xml:space="preserve">Keys away, group planning, night city B-roll, Peter voiceover.</x:t>
        </x:is>
      </x:c>
      <x:c r="I14" s="117" t="inlineStr">
        <x:is>
          <x:t xml:space="preserve">No checkpoint/evasion details.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34" customWidth="1"/>
    <x:col min="3" max="3" width="42" customWidth="1"/>
    <x:col min="4" max="4" width="46" customWidth="1"/>
    <x:col min="5" max="5" width="14" customWidth="1"/>
    <x:col min="6" max="6" width="18" customWidth="1"/>
    <x:col min="7" max="7" width="52" customWidth="1"/>
    <x:col min="8" max="8" width="54" customWidth="1"/>
  </x:cols>
  <x:sheetData>
    <x:row r="1" ht="28" customHeight="1">
      <x:c r="A1" s="106" t="inlineStr">
        <x:is>
          <x:t xml:space="preserve">SHOT &amp; B-ROLL BANK</x:t>
        </x:is>
      </x:c>
    </x:row>
    <x:row r="2" ht="34" customHeight="1">
      <x:c r="A2" s="107" t="inlineStr">
        <x:is>
          <x:t xml:space="preserve">Capture these reusable clips so the plan is easier to execute without filming from scratch every day.</x:t>
        </x:is>
      </x:c>
    </x:row>
    <x:row r="3"/>
    <x:row r="4" ht="36" customHeight="1">
      <x:c r="A4" s="108" t="inlineStr">
        <x:is>
          <x:t xml:space="preserve">Asset Category</x:t>
        </x:is>
      </x:c>
      <x:c r="B4" s="108" t="inlineStr">
        <x:is>
          <x:t xml:space="preserve">Shot / Clip to Capture</x:t>
        </x:is>
      </x:c>
      <x:c r="C4" s="108" t="inlineStr">
        <x:is>
          <x:t xml:space="preserve">Where / When</x:t>
        </x:is>
      </x:c>
      <x:c r="D4" s="108" t="inlineStr">
        <x:is>
          <x:t xml:space="preserve">Uses</x:t>
        </x:is>
      </x:c>
      <x:c r="E4" s="108" t="inlineStr">
        <x:is>
          <x:t xml:space="preserve">Priority</x:t>
        </x:is>
      </x:c>
      <x:c r="F4" s="108" t="inlineStr">
        <x:is>
          <x:t xml:space="preserve">Reuse Count Goal</x:t>
        </x:is>
      </x:c>
      <x:c r="G4" s="108" t="inlineStr">
        <x:is>
          <x:t xml:space="preserve">Capture Notes</x:t>
        </x:is>
      </x:c>
      <x:c r="H4" s="108" t="inlineStr">
        <x:is>
          <x:t xml:space="preserve">Safety / Privacy Notes</x:t>
        </x:is>
      </x:c>
    </x:row>
    <x:row r="5" ht="52" customHeight="1">
      <x:c r="A5" s="110" t="inlineStr">
        <x:is>
          <x:t xml:space="preserve">Road B-roll</x:t>
        </x:is>
      </x:c>
      <x:c r="B5" s="110" t="inlineStr">
        <x:is>
          <x:t xml:space="preserve">POV through windscreen</x:t>
        </x:is>
      </x:c>
      <x:c r="C5" s="110" t="inlineStr">
        <x:is>
          <x:t xml:space="preserve">Capture during weekly filming block or whenever safely parked.</x:t>
        </x:is>
      </x:c>
      <x:c r="D5" s="110" t="inlineStr">
        <x:is>
          <x:t xml:space="preserve">Calendar posts, cutdowns, Stories, carousels and branded end cards.</x:t>
        </x:is>
      </x:c>
      <x:c r="E5" s="110" t="inlineStr">
        <x:is>
          <x:t xml:space="preserve">Must-have</x:t>
        </x:is>
      </x:c>
      <x:c r="F5" s="110" t="n">
        <x:v>8</x:v>
      </x:c>
      <x:c r="G5" s="110" t="inlineStr">
        <x:is>
          <x:t xml:space="preserve">Shoot vertical 9:16, hold steady 5–8 seconds, capture clean natural sound when useful.</x:t>
        </x:is>
      </x:c>
      <x:c r="H5" s="110" t="inlineStr">
        <x:is>
          <x:t xml:space="preserve">Do not film while driving handheld. Blur plates/faces when needed; get consent for interviews.</x:t>
        </x:is>
      </x:c>
    </x:row>
    <x:row r="6" ht="52" customHeight="1">
      <x:c r="A6" s="117" t="inlineStr">
        <x:is>
          <x:t xml:space="preserve">Road B-roll</x:t>
        </x:is>
      </x:c>
      <x:c r="B6" s="117" t="inlineStr">
        <x:is>
          <x:t xml:space="preserve">approaching junction</x:t>
        </x:is>
      </x:c>
      <x:c r="C6" s="117" t="inlineStr">
        <x:is>
          <x:t xml:space="preserve">Capture during weekly filming block or whenever safely parked.</x:t>
        </x:is>
      </x:c>
      <x:c r="D6" s="117" t="inlineStr">
        <x:is>
          <x:t xml:space="preserve">Calendar posts, cutdowns, Stories, carousels and branded end cards.</x:t>
        </x:is>
      </x:c>
      <x:c r="E6" s="117" t="inlineStr">
        <x:is>
          <x:t xml:space="preserve">Must-have</x:t>
        </x:is>
      </x:c>
      <x:c r="F6" s="117" t="n">
        <x:v>8</x:v>
      </x:c>
      <x:c r="G6" s="117" t="inlineStr">
        <x:is>
          <x:t xml:space="preserve">Shoot vertical 9:16, hold steady 5–8 seconds, capture clean natural sound when useful.</x:t>
        </x:is>
      </x:c>
      <x:c r="H6" s="117" t="inlineStr">
        <x:is>
          <x:t xml:space="preserve">Do not film while driving handheld. Blur plates/faces when needed; get consent for interviews.</x:t>
        </x:is>
      </x:c>
    </x:row>
    <x:row r="7" ht="52" customHeight="1">
      <x:c r="A7" s="110" t="inlineStr">
        <x:is>
          <x:t xml:space="preserve">Road B-roll</x:t>
        </x:is>
      </x:c>
      <x:c r="B7" s="110" t="inlineStr">
        <x:is>
          <x:t xml:space="preserve">speed-limit sign</x:t>
        </x:is>
      </x:c>
      <x:c r="C7" s="110" t="inlineStr">
        <x:is>
          <x:t xml:space="preserve">Capture during weekly filming block or whenever safely parked.</x:t>
        </x:is>
      </x:c>
      <x:c r="D7" s="110" t="inlineStr">
        <x:is>
          <x:t xml:space="preserve">Calendar posts, cutdowns, Stories, carousels and branded end cards.</x:t>
        </x:is>
      </x:c>
      <x:c r="E7" s="110" t="inlineStr">
        <x:is>
          <x:t xml:space="preserve">Must-have</x:t>
        </x:is>
      </x:c>
      <x:c r="F7" s="110" t="n">
        <x:v>8</x:v>
      </x:c>
      <x:c r="G7" s="110" t="inlineStr">
        <x:is>
          <x:t xml:space="preserve">Shoot vertical 9:16, hold steady 5–8 seconds, capture clean natural sound when useful.</x:t>
        </x:is>
      </x:c>
      <x:c r="H7" s="110" t="inlineStr">
        <x:is>
          <x:t xml:space="preserve">Do not film while driving handheld. Blur plates/faces when needed; get consent for interviews.</x:t>
        </x:is>
      </x:c>
    </x:row>
    <x:row r="8" ht="52" customHeight="1">
      <x:c r="A8" s="117" t="inlineStr">
        <x:is>
          <x:t xml:space="preserve">Road B-roll</x:t>
        </x:is>
      </x:c>
      <x:c r="B8" s="117" t="inlineStr">
        <x:is>
          <x:t xml:space="preserve">traffic flow wide shot</x:t>
        </x:is>
      </x:c>
      <x:c r="C8" s="117" t="inlineStr">
        <x:is>
          <x:t xml:space="preserve">Capture during weekly filming block or whenever safely parked.</x:t>
        </x:is>
      </x:c>
      <x:c r="D8" s="117" t="inlineStr">
        <x:is>
          <x:t xml:space="preserve">Calendar posts, cutdowns, Stories, carousels and branded end cards.</x:t>
        </x:is>
      </x:c>
      <x:c r="E8" s="117" t="inlineStr">
        <x:is>
          <x:t xml:space="preserve">Must-have</x:t>
        </x:is>
      </x:c>
      <x:c r="F8" s="117" t="n">
        <x:v>8</x:v>
      </x:c>
      <x:c r="G8" s="117" t="inlineStr">
        <x:is>
          <x:t xml:space="preserve">Shoot vertical 9:16, hold steady 5–8 seconds, capture clean natural sound when useful.</x:t>
        </x:is>
      </x:c>
      <x:c r="H8" s="117" t="inlineStr">
        <x:is>
          <x:t xml:space="preserve">Do not film while driving handheld. Blur plates/faces when needed; get consent for interviews.</x:t>
        </x:is>
      </x:c>
    </x:row>
    <x:row r="9" ht="52" customHeight="1">
      <x:c r="A9" s="110" t="inlineStr">
        <x:is>
          <x:t xml:space="preserve">Road B-roll</x:t>
        </x:is>
      </x:c>
      <x:c r="B9" s="110" t="inlineStr">
        <x:is>
          <x:t xml:space="preserve">rain on windscreen</x:t>
        </x:is>
      </x:c>
      <x:c r="C9" s="110" t="inlineStr">
        <x:is>
          <x:t xml:space="preserve">Capture during weekly filming block or whenever safely parked.</x:t>
        </x:is>
      </x:c>
      <x:c r="D9" s="110" t="inlineStr">
        <x:is>
          <x:t xml:space="preserve">Calendar posts, cutdowns, Stories, carousels and branded end cards.</x:t>
        </x:is>
      </x:c>
      <x:c r="E9" s="110" t="inlineStr">
        <x:is>
          <x:t xml:space="preserve">High</x:t>
        </x:is>
      </x:c>
      <x:c r="F9" s="110" t="n">
        <x:v>8</x:v>
      </x:c>
      <x:c r="G9" s="110" t="inlineStr">
        <x:is>
          <x:t xml:space="preserve">Shoot vertical 9:16, hold steady 5–8 seconds, capture clean natural sound when useful.</x:t>
        </x:is>
      </x:c>
      <x:c r="H9" s="110" t="inlineStr">
        <x:is>
          <x:t xml:space="preserve">Do not film while driving handheld. Blur plates/faces when needed; get consent for interviews.</x:t>
        </x:is>
      </x:c>
    </x:row>
    <x:row r="10" ht="52" customHeight="1">
      <x:c r="A10" s="117" t="inlineStr">
        <x:is>
          <x:t xml:space="preserve">Road B-roll</x:t>
        </x:is>
      </x:c>
      <x:c r="B10" s="117" t="inlineStr">
        <x:is>
          <x:t xml:space="preserve">night road reflections</x:t>
        </x:is>
      </x:c>
      <x:c r="C10" s="117" t="inlineStr">
        <x:is>
          <x:t xml:space="preserve">Capture during weekly filming block or whenever safely parked.</x:t>
        </x:is>
      </x:c>
      <x:c r="D10" s="117" t="inlineStr">
        <x:is>
          <x:t xml:space="preserve">Calendar posts, cutdowns, Stories, carousels and branded end cards.</x:t>
        </x:is>
      </x:c>
      <x:c r="E10" s="117" t="inlineStr">
        <x:is>
          <x:t xml:space="preserve">High</x:t>
        </x:is>
      </x:c>
      <x:c r="F10" s="117" t="n">
        <x:v>8</x:v>
      </x:c>
      <x:c r="G10" s="117" t="inlineStr">
        <x:is>
          <x:t xml:space="preserve">Shoot vertical 9:16, hold steady 5–8 seconds, capture clean natural sound when useful.</x:t>
        </x:is>
      </x:c>
      <x:c r="H10" s="117" t="inlineStr">
        <x:is>
          <x:t xml:space="preserve">Do not film while driving handheld. Blur plates/faces when needed; get consent for interviews.</x:t>
        </x:is>
      </x:c>
    </x:row>
    <x:row r="11" ht="52" customHeight="1">
      <x:c r="A11" s="110" t="inlineStr">
        <x:is>
          <x:t xml:space="preserve">Road B-roll</x:t>
        </x:is>
      </x:c>
      <x:c r="B11" s="110" t="inlineStr">
        <x:is>
          <x:t xml:space="preserve">rest-stop entrance</x:t>
        </x:is>
      </x:c>
      <x:c r="C11" s="110" t="inlineStr">
        <x:is>
          <x:t xml:space="preserve">Capture during weekly filming block or whenever safely parked.</x:t>
        </x:is>
      </x:c>
      <x:c r="D11" s="110" t="inlineStr">
        <x:is>
          <x:t xml:space="preserve">Calendar posts, cutdowns, Stories, carousels and branded end cards.</x:t>
        </x:is>
      </x:c>
      <x:c r="E11" s="110" t="inlineStr">
        <x:is>
          <x:t xml:space="preserve">High</x:t>
        </x:is>
      </x:c>
      <x:c r="F11" s="110" t="n">
        <x:v>8</x:v>
      </x:c>
      <x:c r="G11" s="110" t="inlineStr">
        <x:is>
          <x:t xml:space="preserve">Shoot vertical 9:16, hold steady 5–8 seconds, capture clean natural sound when useful.</x:t>
        </x:is>
      </x:c>
      <x:c r="H11" s="110" t="inlineStr">
        <x:is>
          <x:t xml:space="preserve">Do not film while driving handheld. Blur plates/faces when needed; get consent for interviews.</x:t>
        </x:is>
      </x:c>
    </x:row>
    <x:row r="12" ht="52" customHeight="1">
      <x:c r="A12" s="117" t="inlineStr">
        <x:is>
          <x:t xml:space="preserve">Road B-roll</x:t>
        </x:is>
      </x:c>
      <x:c r="B12" s="117" t="inlineStr">
        <x:is>
          <x:t xml:space="preserve">family arrival driveway</x:t>
        </x:is>
      </x:c>
      <x:c r="C12" s="117" t="inlineStr">
        <x:is>
          <x:t xml:space="preserve">Capture during weekly filming block or whenever safely parked.</x:t>
        </x:is>
      </x:c>
      <x:c r="D12" s="117" t="inlineStr">
        <x:is>
          <x:t xml:space="preserve">Calendar posts, cutdowns, Stories, carousels and branded end cards.</x:t>
        </x:is>
      </x:c>
      <x:c r="E12" s="117" t="inlineStr">
        <x:is>
          <x:t xml:space="preserve">Medium</x:t>
        </x:is>
      </x:c>
      <x:c r="F12" s="117" t="n">
        <x:v>8</x:v>
      </x:c>
      <x:c r="G12" s="117" t="inlineStr">
        <x:is>
          <x:t xml:space="preserve">Shoot vertical 9:16, hold steady 5–8 seconds, capture clean natural sound when useful.</x:t>
        </x:is>
      </x:c>
      <x:c r="H12" s="117" t="inlineStr">
        <x:is>
          <x:t xml:space="preserve">Do not film while driving handheld. Blur plates/faces when needed; get consent for interviews.</x:t>
        </x:is>
      </x:c>
    </x:row>
    <x:row r="13" ht="52" customHeight="1">
      <x:c r="A13" s="110" t="inlineStr">
        <x:is>
          <x:t xml:space="preserve">Road B-roll</x:t>
        </x:is>
      </x:c>
      <x:c r="B13" s="110" t="inlineStr">
        <x:is>
          <x:t xml:space="preserve">parking-lot slow maneuver</x:t>
        </x:is>
      </x:c>
      <x:c r="C13" s="110" t="inlineStr">
        <x:is>
          <x:t xml:space="preserve">Capture during weekly filming block or whenever safely parked.</x:t>
        </x:is>
      </x:c>
      <x:c r="D13" s="110" t="inlineStr">
        <x:is>
          <x:t xml:space="preserve">Calendar posts, cutdowns, Stories, carousels and branded end cards.</x:t>
        </x:is>
      </x:c>
      <x:c r="E13" s="110" t="inlineStr">
        <x:is>
          <x:t xml:space="preserve">Medium</x:t>
        </x:is>
      </x:c>
      <x:c r="F13" s="110" t="n">
        <x:v>8</x:v>
      </x:c>
      <x:c r="G13" s="110" t="inlineStr">
        <x:is>
          <x:t xml:space="preserve">Shoot vertical 9:16, hold steady 5–8 seconds, capture clean natural sound when useful.</x:t>
        </x:is>
      </x:c>
      <x:c r="H13" s="110" t="inlineStr">
        <x:is>
          <x:t xml:space="preserve">Do not film while driving handheld. Blur plates/faces when needed; get consent for interviews.</x:t>
        </x:is>
      </x:c>
    </x:row>
    <x:row r="14" ht="52" customHeight="1">
      <x:c r="A14" s="117" t="inlineStr">
        <x:is>
          <x:t xml:space="preserve">Road B-roll</x:t>
        </x:is>
      </x:c>
      <x:c r="B14" s="117" t="inlineStr">
        <x:is>
          <x:t xml:space="preserve">roadside hazard wide shot</x:t>
        </x:is>
      </x:c>
      <x:c r="C14" s="117" t="inlineStr">
        <x:is>
          <x:t xml:space="preserve">Capture during weekly filming block or whenever safely parked.</x:t>
        </x:is>
      </x:c>
      <x:c r="D14" s="117" t="inlineStr">
        <x:is>
          <x:t xml:space="preserve">Calendar posts, cutdowns, Stories, carousels and branded end cards.</x:t>
        </x:is>
      </x:c>
      <x:c r="E14" s="117" t="inlineStr">
        <x:is>
          <x:t xml:space="preserve">Medium</x:t>
        </x:is>
      </x:c>
      <x:c r="F14" s="117" t="n">
        <x:v>8</x:v>
      </x:c>
      <x:c r="G14" s="117" t="inlineStr">
        <x:is>
          <x:t xml:space="preserve">Shoot vertical 9:16, hold steady 5–8 seconds, capture clean natural sound when useful.</x:t>
        </x:is>
      </x:c>
      <x:c r="H14" s="117" t="inlineStr">
        <x:is>
          <x:t xml:space="preserve">Do not film while driving handheld. Blur plates/faces when needed; get consent for interviews.</x:t>
        </x:is>
      </x:c>
    </x:row>
    <x:row r="15" ht="52" customHeight="1">
      <x:c r="A15" s="110" t="inlineStr">
        <x:is>
          <x:t xml:space="preserve">App / UI</x:t>
        </x:is>
      </x:c>
      <x:c r="B15" s="110" t="inlineStr">
        <x:is>
          <x:t xml:space="preserve">Msafiri home screen</x:t>
        </x:is>
      </x:c>
      <x:c r="C15" s="110" t="inlineStr">
        <x:is>
          <x:t xml:space="preserve">Capture during weekly filming block or whenever safely parked.</x:t>
        </x:is>
      </x:c>
      <x:c r="D15" s="110" t="inlineStr">
        <x:is>
          <x:t xml:space="preserve">Calendar posts, cutdowns, Stories, carousels and branded end cards.</x:t>
        </x:is>
      </x:c>
      <x:c r="E15" s="110" t="inlineStr">
        <x:is>
          <x:t xml:space="preserve">Must-have</x:t>
        </x:is>
      </x:c>
      <x:c r="F15" s="110" t="n">
        <x:v>8</x:v>
      </x:c>
      <x:c r="G15" s="110" t="inlineStr">
        <x:is>
          <x:t xml:space="preserve">Shoot vertical 9:16, hold steady 5–8 seconds, capture clean natural sound when useful.</x:t>
        </x:is>
      </x:c>
      <x:c r="H15" s="110" t="inlineStr">
        <x:is>
          <x:t xml:space="preserve">Do not film while driving handheld. Blur plates/faces when needed; get consent for interviews.</x:t>
        </x:is>
      </x:c>
    </x:row>
    <x:row r="16" ht="52" customHeight="1">
      <x:c r="A16" s="117" t="inlineStr">
        <x:is>
          <x:t xml:space="preserve">App / UI</x:t>
        </x:is>
      </x:c>
      <x:c r="B16" s="117" t="inlineStr">
        <x:is>
          <x:t xml:space="preserve">speed awareness alert</x:t>
        </x:is>
      </x:c>
      <x:c r="C16" s="117" t="inlineStr">
        <x:is>
          <x:t xml:space="preserve">Capture during weekly filming block or whenever safely parked.</x:t>
        </x:is>
      </x:c>
      <x:c r="D16" s="117" t="inlineStr">
        <x:is>
          <x:t xml:space="preserve">Calendar posts, cutdowns, Stories, carousels and branded end cards.</x:t>
        </x:is>
      </x:c>
      <x:c r="E16" s="117" t="inlineStr">
        <x:is>
          <x:t xml:space="preserve">Must-have</x:t>
        </x:is>
      </x:c>
      <x:c r="F16" s="117" t="n">
        <x:v>8</x:v>
      </x:c>
      <x:c r="G16" s="117" t="inlineStr">
        <x:is>
          <x:t xml:space="preserve">Shoot vertical 9:16, hold steady 5–8 seconds, capture clean natural sound when useful.</x:t>
        </x:is>
      </x:c>
      <x:c r="H16" s="117" t="inlineStr">
        <x:is>
          <x:t xml:space="preserve">Do not film while driving handheld. Blur plates/faces when needed; get consent for interviews.</x:t>
        </x:is>
      </x:c>
    </x:row>
    <x:row r="17" ht="52" customHeight="1">
      <x:c r="A17" s="110" t="inlineStr">
        <x:is>
          <x:t xml:space="preserve">App / UI</x:t>
        </x:is>
      </x:c>
      <x:c r="B17" s="110" t="inlineStr">
        <x:is>
          <x:t xml:space="preserve">dashcam recording screen</x:t>
        </x:is>
      </x:c>
      <x:c r="C17" s="110" t="inlineStr">
        <x:is>
          <x:t xml:space="preserve">Capture during weekly filming block or whenever safely parked.</x:t>
        </x:is>
      </x:c>
      <x:c r="D17" s="110" t="inlineStr">
        <x:is>
          <x:t xml:space="preserve">Calendar posts, cutdowns, Stories, carousels and branded end cards.</x:t>
        </x:is>
      </x:c>
      <x:c r="E17" s="110" t="inlineStr">
        <x:is>
          <x:t xml:space="preserve">Must-have</x:t>
        </x:is>
      </x:c>
      <x:c r="F17" s="110" t="n">
        <x:v>8</x:v>
      </x:c>
      <x:c r="G17" s="110" t="inlineStr">
        <x:is>
          <x:t xml:space="preserve">Shoot vertical 9:16, hold steady 5–8 seconds, capture clean natural sound when useful.</x:t>
        </x:is>
      </x:c>
      <x:c r="H17" s="110" t="inlineStr">
        <x:is>
          <x:t xml:space="preserve">Do not film while driving handheld. Blur plates/faces when needed; get consent for interviews.</x:t>
        </x:is>
      </x:c>
    </x:row>
    <x:row r="18" ht="52" customHeight="1">
      <x:c r="A18" s="117" t="inlineStr">
        <x:is>
          <x:t xml:space="preserve">App / UI</x:t>
        </x:is>
      </x:c>
      <x:c r="B18" s="117" t="inlineStr">
        <x:is>
          <x:t xml:space="preserve">dashcam replay</x:t>
        </x:is>
      </x:c>
      <x:c r="C18" s="117" t="inlineStr">
        <x:is>
          <x:t xml:space="preserve">Capture during weekly filming block or whenever safely parked.</x:t>
        </x:is>
      </x:c>
      <x:c r="D18" s="117" t="inlineStr">
        <x:is>
          <x:t xml:space="preserve">Calendar posts, cutdowns, Stories, carousels and branded end cards.</x:t>
        </x:is>
      </x:c>
      <x:c r="E18" s="117" t="inlineStr">
        <x:is>
          <x:t xml:space="preserve">Must-have</x:t>
        </x:is>
      </x:c>
      <x:c r="F18" s="117" t="n">
        <x:v>8</x:v>
      </x:c>
      <x:c r="G18" s="117" t="inlineStr">
        <x:is>
          <x:t xml:space="preserve">Shoot vertical 9:16, hold steady 5–8 seconds, capture clean natural sound when useful.</x:t>
        </x:is>
      </x:c>
      <x:c r="H18" s="117" t="inlineStr">
        <x:is>
          <x:t xml:space="preserve">Do not film while driving handheld. Blur plates/faces when needed; get consent for interviews.</x:t>
        </x:is>
      </x:c>
    </x:row>
    <x:row r="19" ht="52" customHeight="1">
      <x:c r="A19" s="110" t="inlineStr">
        <x:is>
          <x:t xml:space="preserve">App / UI</x:t>
        </x:is>
      </x:c>
      <x:c r="B19" s="110" t="inlineStr">
        <x:is>
          <x:t xml:space="preserve">Accident Assistant flow</x:t>
        </x:is>
      </x:c>
      <x:c r="C19" s="110" t="inlineStr">
        <x:is>
          <x:t xml:space="preserve">Capture during weekly filming block or whenever safely parked.</x:t>
        </x:is>
      </x:c>
      <x:c r="D19" s="110" t="inlineStr">
        <x:is>
          <x:t xml:space="preserve">Calendar posts, cutdowns, Stories, carousels and branded end cards.</x:t>
        </x:is>
      </x:c>
      <x:c r="E19" s="110" t="inlineStr">
        <x:is>
          <x:t xml:space="preserve">High</x:t>
        </x:is>
      </x:c>
      <x:c r="F19" s="110" t="n">
        <x:v>8</x:v>
      </x:c>
      <x:c r="G19" s="110" t="inlineStr">
        <x:is>
          <x:t xml:space="preserve">Shoot vertical 9:16, hold steady 5–8 seconds, capture clean natural sound when useful.</x:t>
        </x:is>
      </x:c>
      <x:c r="H19" s="110" t="inlineStr">
        <x:is>
          <x:t xml:space="preserve">Do not film while driving handheld. Blur plates/faces when needed; get consent for interviews.</x:t>
        </x:is>
      </x:c>
    </x:row>
    <x:row r="20" ht="52" customHeight="1">
      <x:c r="A20" s="117" t="inlineStr">
        <x:is>
          <x:t xml:space="preserve">App / UI</x:t>
        </x:is>
      </x:c>
      <x:c r="B20" s="117" t="inlineStr">
        <x:is>
          <x:t xml:space="preserve">incident report preview with data blurred</x:t>
        </x:is>
      </x:c>
      <x:c r="C20" s="117" t="inlineStr">
        <x:is>
          <x:t xml:space="preserve">Capture during weekly filming block or whenever safely parked.</x:t>
        </x:is>
      </x:c>
      <x:c r="D20" s="117" t="inlineStr">
        <x:is>
          <x:t xml:space="preserve">Calendar posts, cutdowns, Stories, carousels and branded end cards.</x:t>
        </x:is>
      </x:c>
      <x:c r="E20" s="117" t="inlineStr">
        <x:is>
          <x:t xml:space="preserve">High</x:t>
        </x:is>
      </x:c>
      <x:c r="F20" s="117" t="n">
        <x:v>8</x:v>
      </x:c>
      <x:c r="G20" s="117" t="inlineStr">
        <x:is>
          <x:t xml:space="preserve">Shoot vertical 9:16, hold steady 5–8 seconds, capture clean natural sound when useful.</x:t>
        </x:is>
      </x:c>
      <x:c r="H20" s="117" t="inlineStr">
        <x:is>
          <x:t xml:space="preserve">Do not film while driving handheld. Blur plates/faces when needed; get consent for interviews.</x:t>
        </x:is>
      </x:c>
    </x:row>
    <x:row r="21" ht="52" customHeight="1">
      <x:c r="A21" s="110" t="inlineStr">
        <x:is>
          <x:t xml:space="preserve">App / UI</x:t>
        </x:is>
      </x:c>
      <x:c r="B21" s="110" t="inlineStr">
        <x:is>
          <x:t xml:space="preserve">trip-sharing screen</x:t>
        </x:is>
      </x:c>
      <x:c r="C21" s="110" t="inlineStr">
        <x:is>
          <x:t xml:space="preserve">Capture during weekly filming block or whenever safely parked.</x:t>
        </x:is>
      </x:c>
      <x:c r="D21" s="110" t="inlineStr">
        <x:is>
          <x:t xml:space="preserve">Calendar posts, cutdowns, Stories, carousels and branded end cards.</x:t>
        </x:is>
      </x:c>
      <x:c r="E21" s="110" t="inlineStr">
        <x:is>
          <x:t xml:space="preserve">High</x:t>
        </x:is>
      </x:c>
      <x:c r="F21" s="110" t="n">
        <x:v>8</x:v>
      </x:c>
      <x:c r="G21" s="110" t="inlineStr">
        <x:is>
          <x:t xml:space="preserve">Shoot vertical 9:16, hold steady 5–8 seconds, capture clean natural sound when useful.</x:t>
        </x:is>
      </x:c>
      <x:c r="H21" s="110" t="inlineStr">
        <x:is>
          <x:t xml:space="preserve">Do not film while driving handheld. Blur plates/faces when needed; get consent for interviews.</x:t>
        </x:is>
      </x:c>
    </x:row>
    <x:row r="22" ht="52" customHeight="1">
      <x:c r="A22" s="117" t="inlineStr">
        <x:is>
          <x:t xml:space="preserve">App / UI</x:t>
        </x:is>
      </x:c>
      <x:c r="B22" s="117" t="inlineStr">
        <x:is>
          <x:t xml:space="preserve">Find Nearby search</x:t>
        </x:is>
      </x:c>
      <x:c r="C22" s="117" t="inlineStr">
        <x:is>
          <x:t xml:space="preserve">Capture during weekly filming block or whenever safely parked.</x:t>
        </x:is>
      </x:c>
      <x:c r="D22" s="117" t="inlineStr">
        <x:is>
          <x:t xml:space="preserve">Calendar posts, cutdowns, Stories, carousels and branded end cards.</x:t>
        </x:is>
      </x:c>
      <x:c r="E22" s="117" t="inlineStr">
        <x:is>
          <x:t xml:space="preserve">Medium</x:t>
        </x:is>
      </x:c>
      <x:c r="F22" s="117" t="n">
        <x:v>8</x:v>
      </x:c>
      <x:c r="G22" s="117" t="inlineStr">
        <x:is>
          <x:t xml:space="preserve">Shoot vertical 9:16, hold steady 5–8 seconds, capture clean natural sound when useful.</x:t>
        </x:is>
      </x:c>
      <x:c r="H22" s="117" t="inlineStr">
        <x:is>
          <x:t xml:space="preserve">Do not film while driving handheld. Blur plates/faces when needed; get consent for interviews.</x:t>
        </x:is>
      </x:c>
    </x:row>
    <x:row r="23" ht="52" customHeight="1">
      <x:c r="A23" s="110" t="inlineStr">
        <x:is>
          <x:t xml:space="preserve">App / UI</x:t>
        </x:is>
      </x:c>
      <x:c r="B23" s="110" t="inlineStr">
        <x:is>
          <x:t xml:space="preserve">road alert card</x:t>
        </x:is>
      </x:c>
      <x:c r="C23" s="110" t="inlineStr">
        <x:is>
          <x:t xml:space="preserve">Capture during weekly filming block or whenever safely parked.</x:t>
        </x:is>
      </x:c>
      <x:c r="D23" s="110" t="inlineStr">
        <x:is>
          <x:t xml:space="preserve">Calendar posts, cutdowns, Stories, carousels and branded end cards.</x:t>
        </x:is>
      </x:c>
      <x:c r="E23" s="110" t="inlineStr">
        <x:is>
          <x:t xml:space="preserve">Medium</x:t>
        </x:is>
      </x:c>
      <x:c r="F23" s="110" t="n">
        <x:v>8</x:v>
      </x:c>
      <x:c r="G23" s="110" t="inlineStr">
        <x:is>
          <x:t xml:space="preserve">Shoot vertical 9:16, hold steady 5–8 seconds, capture clean natural sound when useful.</x:t>
        </x:is>
      </x:c>
      <x:c r="H23" s="110" t="inlineStr">
        <x:is>
          <x:t xml:space="preserve">Do not film while driving handheld. Blur plates/faces when needed; get consent for interviews.</x:t>
        </x:is>
      </x:c>
    </x:row>
    <x:row r="24" ht="52" customHeight="1">
      <x:c r="A24" s="117" t="inlineStr">
        <x:is>
          <x:t xml:space="preserve">App / UI</x:t>
        </x:is>
      </x:c>
      <x:c r="B24" s="117" t="inlineStr">
        <x:is>
          <x:t xml:space="preserve">settings/permissions setup</x:t>
        </x:is>
      </x:c>
      <x:c r="C24" s="117" t="inlineStr">
        <x:is>
          <x:t xml:space="preserve">Capture during weekly filming block or whenever safely parked.</x:t>
        </x:is>
      </x:c>
      <x:c r="D24" s="117" t="inlineStr">
        <x:is>
          <x:t xml:space="preserve">Calendar posts, cutdowns, Stories, carousels and branded end cards.</x:t>
        </x:is>
      </x:c>
      <x:c r="E24" s="117" t="inlineStr">
        <x:is>
          <x:t xml:space="preserve">Medium</x:t>
        </x:is>
      </x:c>
      <x:c r="F24" s="117" t="n">
        <x:v>8</x:v>
      </x:c>
      <x:c r="G24" s="117" t="inlineStr">
        <x:is>
          <x:t xml:space="preserve">Shoot vertical 9:16, hold steady 5–8 seconds, capture clean natural sound when useful.</x:t>
        </x:is>
      </x:c>
      <x:c r="H24" s="117" t="inlineStr">
        <x:is>
          <x:t xml:space="preserve">Do not film while driving handheld. Blur plates/faces when needed; get consent for interviews.</x:t>
        </x:is>
      </x:c>
    </x:row>
    <x:row r="25" ht="52" customHeight="1">
      <x:c r="A25" s="110" t="inlineStr">
        <x:is>
          <x:t xml:space="preserve">Founder / Human</x:t>
        </x:is>
      </x:c>
      <x:c r="B25" s="110" t="inlineStr">
        <x:is>
          <x:t xml:space="preserve">Peter in driver seat intro</x:t>
        </x:is>
      </x:c>
      <x:c r="C25" s="110" t="inlineStr">
        <x:is>
          <x:t xml:space="preserve">Capture during weekly filming block or whenever safely parked.</x:t>
        </x:is>
      </x:c>
      <x:c r="D25" s="110" t="inlineStr">
        <x:is>
          <x:t xml:space="preserve">Calendar posts, cutdowns, Stories, carousels and branded end cards.</x:t>
        </x:is>
      </x:c>
      <x:c r="E25" s="110" t="inlineStr">
        <x:is>
          <x:t xml:space="preserve">Must-have</x:t>
        </x:is>
      </x:c>
      <x:c r="F25" s="110" t="n">
        <x:v>5</x:v>
      </x:c>
      <x:c r="G25" s="110" t="inlineStr">
        <x:is>
          <x:t xml:space="preserve">Shoot vertical 9:16, hold steady 5–8 seconds, capture clean natural sound when useful.</x:t>
        </x:is>
      </x:c>
      <x:c r="H25" s="110" t="inlineStr">
        <x:is>
          <x:t xml:space="preserve">Do not film while driving handheld. Blur plates/faces when needed; get consent for interviews.</x:t>
        </x:is>
      </x:c>
    </x:row>
    <x:row r="26" ht="52" customHeight="1">
      <x:c r="A26" s="117" t="inlineStr">
        <x:is>
          <x:t xml:space="preserve">Founder / Human</x:t>
        </x:is>
      </x:c>
      <x:c r="B26" s="117" t="inlineStr">
        <x:is>
          <x:t xml:space="preserve">Peter walking to car</x:t>
        </x:is>
      </x:c>
      <x:c r="C26" s="117" t="inlineStr">
        <x:is>
          <x:t xml:space="preserve">Capture during weekly filming block or whenever safely parked.</x:t>
        </x:is>
      </x:c>
      <x:c r="D26" s="117" t="inlineStr">
        <x:is>
          <x:t xml:space="preserve">Calendar posts, cutdowns, Stories, carousels and branded end cards.</x:t>
        </x:is>
      </x:c>
      <x:c r="E26" s="117" t="inlineStr">
        <x:is>
          <x:t xml:space="preserve">Must-have</x:t>
        </x:is>
      </x:c>
      <x:c r="F26" s="117" t="n">
        <x:v>5</x:v>
      </x:c>
      <x:c r="G26" s="117" t="inlineStr">
        <x:is>
          <x:t xml:space="preserve">Shoot vertical 9:16, hold steady 5–8 seconds, capture clean natural sound when useful.</x:t>
        </x:is>
      </x:c>
      <x:c r="H26" s="117" t="inlineStr">
        <x:is>
          <x:t xml:space="preserve">Do not film while driving handheld. Blur plates/faces when needed; get consent for interviews.</x:t>
        </x:is>
      </x:c>
    </x:row>
    <x:row r="27" ht="52" customHeight="1">
      <x:c r="A27" s="110" t="inlineStr">
        <x:is>
          <x:t xml:space="preserve">Founder / Human</x:t>
        </x:is>
      </x:c>
      <x:c r="B27" s="110" t="inlineStr">
        <x:is>
          <x:t xml:space="preserve">Peter reviewing road notes</x:t>
        </x:is>
      </x:c>
      <x:c r="C27" s="110" t="inlineStr">
        <x:is>
          <x:t xml:space="preserve">Capture during weekly filming block or whenever safely parked.</x:t>
        </x:is>
      </x:c>
      <x:c r="D27" s="110" t="inlineStr">
        <x:is>
          <x:t xml:space="preserve">Calendar posts, cutdowns, Stories, carousels and branded end cards.</x:t>
        </x:is>
      </x:c>
      <x:c r="E27" s="110" t="inlineStr">
        <x:is>
          <x:t xml:space="preserve">Must-have</x:t>
        </x:is>
      </x:c>
      <x:c r="F27" s="110" t="n">
        <x:v>5</x:v>
      </x:c>
      <x:c r="G27" s="110" t="inlineStr">
        <x:is>
          <x:t xml:space="preserve">Shoot vertical 9:16, hold steady 5–8 seconds, capture clean natural sound when useful.</x:t>
        </x:is>
      </x:c>
      <x:c r="H27" s="110" t="inlineStr">
        <x:is>
          <x:t xml:space="preserve">Do not film while driving handheld. Blur plates/faces when needed; get consent for interviews.</x:t>
        </x:is>
      </x:c>
    </x:row>
    <x:row r="28" ht="52" customHeight="1">
      <x:c r="A28" s="117" t="inlineStr">
        <x:is>
          <x:t xml:space="preserve">Founder / Human</x:t>
        </x:is>
      </x:c>
      <x:c r="B28" s="117" t="inlineStr">
        <x:is>
          <x:t xml:space="preserve">Peter explaining product tradeoff</x:t>
        </x:is>
      </x:c>
      <x:c r="C28" s="117" t="inlineStr">
        <x:is>
          <x:t xml:space="preserve">Capture during weekly filming block or whenever safely parked.</x:t>
        </x:is>
      </x:c>
      <x:c r="D28" s="117" t="inlineStr">
        <x:is>
          <x:t xml:space="preserve">Calendar posts, cutdowns, Stories, carousels and branded end cards.</x:t>
        </x:is>
      </x:c>
      <x:c r="E28" s="117" t="inlineStr">
        <x:is>
          <x:t xml:space="preserve">Must-have</x:t>
        </x:is>
      </x:c>
      <x:c r="F28" s="117" t="n">
        <x:v>5</x:v>
      </x:c>
      <x:c r="G28" s="117" t="inlineStr">
        <x:is>
          <x:t xml:space="preserve">Shoot vertical 9:16, hold steady 5–8 seconds, capture clean natural sound when useful.</x:t>
        </x:is>
      </x:c>
      <x:c r="H28" s="117" t="inlineStr">
        <x:is>
          <x:t xml:space="preserve">Do not film while driving handheld. Blur plates/faces when needed; get consent for interviews.</x:t>
        </x:is>
      </x:c>
    </x:row>
    <x:row r="29" ht="52" customHeight="1">
      <x:c r="A29" s="110" t="inlineStr">
        <x:is>
          <x:t xml:space="preserve">Founder / Human</x:t>
        </x:is>
      </x:c>
      <x:c r="B29" s="110" t="inlineStr">
        <x:is>
          <x:t xml:space="preserve">Peter responding to comment</x:t>
        </x:is>
      </x:c>
      <x:c r="C29" s="110" t="inlineStr">
        <x:is>
          <x:t xml:space="preserve">Capture during weekly filming block or whenever safely parked.</x:t>
        </x:is>
      </x:c>
      <x:c r="D29" s="110" t="inlineStr">
        <x:is>
          <x:t xml:space="preserve">Calendar posts, cutdowns, Stories, carousels and branded end cards.</x:t>
        </x:is>
      </x:c>
      <x:c r="E29" s="110" t="inlineStr">
        <x:is>
          <x:t xml:space="preserve">High</x:t>
        </x:is>
      </x:c>
      <x:c r="F29" s="110" t="n">
        <x:v>5</x:v>
      </x:c>
      <x:c r="G29" s="110" t="inlineStr">
        <x:is>
          <x:t xml:space="preserve">Shoot vertical 9:16, hold steady 5–8 seconds, capture clean natural sound when useful.</x:t>
        </x:is>
      </x:c>
      <x:c r="H29" s="110" t="inlineStr">
        <x:is>
          <x:t xml:space="preserve">Do not film while driving handheld. Blur plates/faces when needed; get consent for interviews.</x:t>
        </x:is>
      </x:c>
    </x:row>
    <x:row r="30" ht="52" customHeight="1">
      <x:c r="A30" s="117" t="inlineStr">
        <x:is>
          <x:t xml:space="preserve">Founder / Human</x:t>
        </x:is>
      </x:c>
      <x:c r="B30" s="117" t="inlineStr">
        <x:is>
          <x:t xml:space="preserve">driver reaction close-up</x:t>
        </x:is>
      </x:c>
      <x:c r="C30" s="117" t="inlineStr">
        <x:is>
          <x:t xml:space="preserve">Capture during weekly filming block or whenever safely parked.</x:t>
        </x:is>
      </x:c>
      <x:c r="D30" s="117" t="inlineStr">
        <x:is>
          <x:t xml:space="preserve">Calendar posts, cutdowns, Stories, carousels and branded end cards.</x:t>
        </x:is>
      </x:c>
      <x:c r="E30" s="117" t="inlineStr">
        <x:is>
          <x:t xml:space="preserve">High</x:t>
        </x:is>
      </x:c>
      <x:c r="F30" s="117" t="n">
        <x:v>5</x:v>
      </x:c>
      <x:c r="G30" s="117" t="inlineStr">
        <x:is>
          <x:t xml:space="preserve">Shoot vertical 9:16, hold steady 5–8 seconds, capture clean natural sound when useful.</x:t>
        </x:is>
      </x:c>
      <x:c r="H30" s="117" t="inlineStr">
        <x:is>
          <x:t xml:space="preserve">Do not film while driving handheld. Blur plates/faces when needed; get consent for interviews.</x:t>
        </x:is>
      </x:c>
    </x:row>
    <x:row r="31" ht="52" customHeight="1">
      <x:c r="A31" s="110" t="inlineStr">
        <x:is>
          <x:t xml:space="preserve">Founder / Human</x:t>
        </x:is>
      </x:c>
      <x:c r="B31" s="110" t="inlineStr">
        <x:is>
          <x:t xml:space="preserve">passenger perspective</x:t>
        </x:is>
      </x:c>
      <x:c r="C31" s="110" t="inlineStr">
        <x:is>
          <x:t xml:space="preserve">Capture during weekly filming block or whenever safely parked.</x:t>
        </x:is>
      </x:c>
      <x:c r="D31" s="110" t="inlineStr">
        <x:is>
          <x:t xml:space="preserve">Calendar posts, cutdowns, Stories, carousels and branded end cards.</x:t>
        </x:is>
      </x:c>
      <x:c r="E31" s="110" t="inlineStr">
        <x:is>
          <x:t xml:space="preserve">High</x:t>
        </x:is>
      </x:c>
      <x:c r="F31" s="110" t="n">
        <x:v>5</x:v>
      </x:c>
      <x:c r="G31" s="110" t="inlineStr">
        <x:is>
          <x:t xml:space="preserve">Shoot vertical 9:16, hold steady 5–8 seconds, capture clean natural sound when useful.</x:t>
        </x:is>
      </x:c>
      <x:c r="H31" s="110" t="inlineStr">
        <x:is>
          <x:t xml:space="preserve">Do not film while driving handheld. Blur plates/faces when needed; get consent for interviews.</x:t>
        </x:is>
      </x:c>
    </x:row>
    <x:row r="32" ht="52" customHeight="1">
      <x:c r="A32" s="117" t="inlineStr">
        <x:is>
          <x:t xml:space="preserve">Founder / Human</x:t>
        </x:is>
      </x:c>
      <x:c r="B32" s="117" t="inlineStr">
        <x:is>
          <x:t xml:space="preserve">family packing car</x:t>
        </x:is>
      </x:c>
      <x:c r="C32" s="117" t="inlineStr">
        <x:is>
          <x:t xml:space="preserve">Capture during weekly filming block or whenever safely parked.</x:t>
        </x:is>
      </x:c>
      <x:c r="D32" s="117" t="inlineStr">
        <x:is>
          <x:t xml:space="preserve">Calendar posts, cutdowns, Stories, carousels and branded end cards.</x:t>
        </x:is>
      </x:c>
      <x:c r="E32" s="117" t="inlineStr">
        <x:is>
          <x:t xml:space="preserve">Medium</x:t>
        </x:is>
      </x:c>
      <x:c r="F32" s="117" t="n">
        <x:v>5</x:v>
      </x:c>
      <x:c r="G32" s="117" t="inlineStr">
        <x:is>
          <x:t xml:space="preserve">Shoot vertical 9:16, hold steady 5–8 seconds, capture clean natural sound when useful.</x:t>
        </x:is>
      </x:c>
      <x:c r="H32" s="117" t="inlineStr">
        <x:is>
          <x:t xml:space="preserve">Do not film while driving handheld. Blur plates/faces when needed; get consent for interviews.</x:t>
        </x:is>
      </x:c>
    </x:row>
    <x:row r="33" ht="52" customHeight="1">
      <x:c r="A33" s="110" t="inlineStr">
        <x:is>
          <x:t xml:space="preserve">Founder / Human</x:t>
        </x:is>
      </x:c>
      <x:c r="B33" s="110" t="inlineStr">
        <x:is>
          <x:t xml:space="preserve">friend group planning trip</x:t>
        </x:is>
      </x:c>
      <x:c r="C33" s="110" t="inlineStr">
        <x:is>
          <x:t xml:space="preserve">Capture during weekly filming block or whenever safely parked.</x:t>
        </x:is>
      </x:c>
      <x:c r="D33" s="110" t="inlineStr">
        <x:is>
          <x:t xml:space="preserve">Calendar posts, cutdowns, Stories, carousels and branded end cards.</x:t>
        </x:is>
      </x:c>
      <x:c r="E33" s="110" t="inlineStr">
        <x:is>
          <x:t xml:space="preserve">Medium</x:t>
        </x:is>
      </x:c>
      <x:c r="F33" s="110" t="n">
        <x:v>5</x:v>
      </x:c>
      <x:c r="G33" s="110" t="inlineStr">
        <x:is>
          <x:t xml:space="preserve">Shoot vertical 9:16, hold steady 5–8 seconds, capture clean natural sound when useful.</x:t>
        </x:is>
      </x:c>
      <x:c r="H33" s="110" t="inlineStr">
        <x:is>
          <x:t xml:space="preserve">Do not film while driving handheld. Blur plates/faces when needed; get consent for interviews.</x:t>
        </x:is>
      </x:c>
    </x:row>
    <x:row r="34" ht="52" customHeight="1">
      <x:c r="A34" s="117" t="inlineStr">
        <x:is>
          <x:t xml:space="preserve">Founder / Human</x:t>
        </x:is>
      </x:c>
      <x:c r="B34" s="117" t="inlineStr">
        <x:is>
          <x:t xml:space="preserve">professional driver routine</x:t>
        </x:is>
      </x:c>
      <x:c r="C34" s="117" t="inlineStr">
        <x:is>
          <x:t xml:space="preserve">Capture during weekly filming block or whenever safely parked.</x:t>
        </x:is>
      </x:c>
      <x:c r="D34" s="117" t="inlineStr">
        <x:is>
          <x:t xml:space="preserve">Calendar posts, cutdowns, Stories, carousels and branded end cards.</x:t>
        </x:is>
      </x:c>
      <x:c r="E34" s="117" t="inlineStr">
        <x:is>
          <x:t xml:space="preserve">Medium</x:t>
        </x:is>
      </x:c>
      <x:c r="F34" s="117" t="n">
        <x:v>5</x:v>
      </x:c>
      <x:c r="G34" s="117" t="inlineStr">
        <x:is>
          <x:t xml:space="preserve">Shoot vertical 9:16, hold steady 5–8 seconds, capture clean natural sound when useful.</x:t>
        </x:is>
      </x:c>
      <x:c r="H34" s="117" t="inlineStr">
        <x:is>
          <x:t xml:space="preserve">Do not film while driving handheld. Blur plates/faces when needed; get consent for interviews.</x:t>
        </x:is>
      </x:c>
    </x:row>
    <x:row r="35" ht="52" customHeight="1">
      <x:c r="A35" s="110" t="inlineStr">
        <x:is>
          <x:t xml:space="preserve">Car Care</x:t>
        </x:is>
      </x:c>
      <x:c r="B35" s="110" t="inlineStr">
        <x:is>
          <x:t xml:space="preserve">tyre tread check</x:t>
        </x:is>
      </x:c>
      <x:c r="C35" s="110" t="inlineStr">
        <x:is>
          <x:t xml:space="preserve">Capture during weekly filming block or whenever safely parked.</x:t>
        </x:is>
      </x:c>
      <x:c r="D35" s="110" t="inlineStr">
        <x:is>
          <x:t xml:space="preserve">Calendar posts, cutdowns, Stories, carousels and branded end cards.</x:t>
        </x:is>
      </x:c>
      <x:c r="E35" s="110" t="inlineStr">
        <x:is>
          <x:t xml:space="preserve">Must-have</x:t>
        </x:is>
      </x:c>
      <x:c r="F35" s="110" t="n">
        <x:v>5</x:v>
      </x:c>
      <x:c r="G35" s="110" t="inlineStr">
        <x:is>
          <x:t xml:space="preserve">Shoot vertical 9:16, hold steady 5–8 seconds, capture clean natural sound when useful.</x:t>
        </x:is>
      </x:c>
      <x:c r="H35" s="110" t="inlineStr">
        <x:is>
          <x:t xml:space="preserve">Do not film while driving handheld. Blur plates/faces when needed; get consent for interviews.</x:t>
        </x:is>
      </x:c>
    </x:row>
    <x:row r="36" ht="52" customHeight="1">
      <x:c r="A36" s="117" t="inlineStr">
        <x:is>
          <x:t xml:space="preserve">Car Care</x:t>
        </x:is>
      </x:c>
      <x:c r="B36" s="117" t="inlineStr">
        <x:is>
          <x:t xml:space="preserve">tyre pressure check</x:t>
        </x:is>
      </x:c>
      <x:c r="C36" s="117" t="inlineStr">
        <x:is>
          <x:t xml:space="preserve">Capture during weekly filming block or whenever safely parked.</x:t>
        </x:is>
      </x:c>
      <x:c r="D36" s="117" t="inlineStr">
        <x:is>
          <x:t xml:space="preserve">Calendar posts, cutdowns, Stories, carousels and branded end cards.</x:t>
        </x:is>
      </x:c>
      <x:c r="E36" s="117" t="inlineStr">
        <x:is>
          <x:t xml:space="preserve">Must-have</x:t>
        </x:is>
      </x:c>
      <x:c r="F36" s="117" t="n">
        <x:v>5</x:v>
      </x:c>
      <x:c r="G36" s="117" t="inlineStr">
        <x:is>
          <x:t xml:space="preserve">Shoot vertical 9:16, hold steady 5–8 seconds, capture clean natural sound when useful.</x:t>
        </x:is>
      </x:c>
      <x:c r="H36" s="117" t="inlineStr">
        <x:is>
          <x:t xml:space="preserve">Do not film while driving handheld. Blur plates/faces when needed; get consent for interviews.</x:t>
        </x:is>
      </x:c>
    </x:row>
    <x:row r="37" ht="52" customHeight="1">
      <x:c r="A37" s="110" t="inlineStr">
        <x:is>
          <x:t xml:space="preserve">Car Care</x:t>
        </x:is>
      </x:c>
      <x:c r="B37" s="110" t="inlineStr">
        <x:is>
          <x:t xml:space="preserve">fluids check</x:t>
        </x:is>
      </x:c>
      <x:c r="C37" s="110" t="inlineStr">
        <x:is>
          <x:t xml:space="preserve">Capture during weekly filming block or whenever safely parked.</x:t>
        </x:is>
      </x:c>
      <x:c r="D37" s="110" t="inlineStr">
        <x:is>
          <x:t xml:space="preserve">Calendar posts, cutdowns, Stories, carousels and branded end cards.</x:t>
        </x:is>
      </x:c>
      <x:c r="E37" s="110" t="inlineStr">
        <x:is>
          <x:t xml:space="preserve">Must-have</x:t>
        </x:is>
      </x:c>
      <x:c r="F37" s="110" t="n">
        <x:v>5</x:v>
      </x:c>
      <x:c r="G37" s="110" t="inlineStr">
        <x:is>
          <x:t xml:space="preserve">Shoot vertical 9:16, hold steady 5–8 seconds, capture clean natural sound when useful.</x:t>
        </x:is>
      </x:c>
      <x:c r="H37" s="110" t="inlineStr">
        <x:is>
          <x:t xml:space="preserve">Do not film while driving handheld. Blur plates/faces when needed; get consent for interviews.</x:t>
        </x:is>
      </x:c>
    </x:row>
    <x:row r="38" ht="52" customHeight="1">
      <x:c r="A38" s="117" t="inlineStr">
        <x:is>
          <x:t xml:space="preserve">Car Care</x:t>
        </x:is>
      </x:c>
      <x:c r="B38" s="117" t="inlineStr">
        <x:is>
          <x:t xml:space="preserve">lights check</x:t>
        </x:is>
      </x:c>
      <x:c r="C38" s="117" t="inlineStr">
        <x:is>
          <x:t xml:space="preserve">Capture during weekly filming block or whenever safely parked.</x:t>
        </x:is>
      </x:c>
      <x:c r="D38" s="117" t="inlineStr">
        <x:is>
          <x:t xml:space="preserve">Calendar posts, cutdowns, Stories, carousels and branded end cards.</x:t>
        </x:is>
      </x:c>
      <x:c r="E38" s="117" t="inlineStr">
        <x:is>
          <x:t xml:space="preserve">Must-have</x:t>
        </x:is>
      </x:c>
      <x:c r="F38" s="117" t="n">
        <x:v>5</x:v>
      </x:c>
      <x:c r="G38" s="117" t="inlineStr">
        <x:is>
          <x:t xml:space="preserve">Shoot vertical 9:16, hold steady 5–8 seconds, capture clean natural sound when useful.</x:t>
        </x:is>
      </x:c>
      <x:c r="H38" s="117" t="inlineStr">
        <x:is>
          <x:t xml:space="preserve">Do not film while driving handheld. Blur plates/faces when needed; get consent for interviews.</x:t>
        </x:is>
      </x:c>
    </x:row>
    <x:row r="39" ht="52" customHeight="1">
      <x:c r="A39" s="110" t="inlineStr">
        <x:is>
          <x:t xml:space="preserve">Car Care</x:t>
        </x:is>
      </x:c>
      <x:c r="B39" s="110" t="inlineStr">
        <x:is>
          <x:t xml:space="preserve">wiper check</x:t>
        </x:is>
      </x:c>
      <x:c r="C39" s="110" t="inlineStr">
        <x:is>
          <x:t xml:space="preserve">Capture during weekly filming block or whenever safely parked.</x:t>
        </x:is>
      </x:c>
      <x:c r="D39" s="110" t="inlineStr">
        <x:is>
          <x:t xml:space="preserve">Calendar posts, cutdowns, Stories, carousels and branded end cards.</x:t>
        </x:is>
      </x:c>
      <x:c r="E39" s="110" t="inlineStr">
        <x:is>
          <x:t xml:space="preserve">High</x:t>
        </x:is>
      </x:c>
      <x:c r="F39" s="110" t="n">
        <x:v>5</x:v>
      </x:c>
      <x:c r="G39" s="110" t="inlineStr">
        <x:is>
          <x:t xml:space="preserve">Shoot vertical 9:16, hold steady 5–8 seconds, capture clean natural sound when useful.</x:t>
        </x:is>
      </x:c>
      <x:c r="H39" s="110" t="inlineStr">
        <x:is>
          <x:t xml:space="preserve">Do not film while driving handheld. Blur plates/faces when needed; get consent for interviews.</x:t>
        </x:is>
      </x:c>
    </x:row>
    <x:row r="40" ht="52" customHeight="1">
      <x:c r="A40" s="117" t="inlineStr">
        <x:is>
          <x:t xml:space="preserve">Car Care</x:t>
        </x:is>
      </x:c>
      <x:c r="B40" s="117" t="inlineStr">
        <x:is>
          <x:t xml:space="preserve">phone mount setup</x:t>
        </x:is>
      </x:c>
      <x:c r="C40" s="117" t="inlineStr">
        <x:is>
          <x:t xml:space="preserve">Capture during weekly filming block or whenever safely parked.</x:t>
        </x:is>
      </x:c>
      <x:c r="D40" s="117" t="inlineStr">
        <x:is>
          <x:t xml:space="preserve">Calendar posts, cutdowns, Stories, carousels and branded end cards.</x:t>
        </x:is>
      </x:c>
      <x:c r="E40" s="117" t="inlineStr">
        <x:is>
          <x:t xml:space="preserve">High</x:t>
        </x:is>
      </x:c>
      <x:c r="F40" s="117" t="n">
        <x:v>5</x:v>
      </x:c>
      <x:c r="G40" s="117" t="inlineStr">
        <x:is>
          <x:t xml:space="preserve">Shoot vertical 9:16, hold steady 5–8 seconds, capture clean natural sound when useful.</x:t>
        </x:is>
      </x:c>
      <x:c r="H40" s="117" t="inlineStr">
        <x:is>
          <x:t xml:space="preserve">Do not film while driving handheld. Blur plates/faces when needed; get consent for interviews.</x:t>
        </x:is>
      </x:c>
    </x:row>
    <x:row r="41" ht="52" customHeight="1">
      <x:c r="A41" s="110" t="inlineStr">
        <x:is>
          <x:t xml:space="preserve">Car Care</x:t>
        </x:is>
      </x:c>
      <x:c r="B41" s="110" t="inlineStr">
        <x:is>
          <x:t xml:space="preserve">seatbelt close-up</x:t>
        </x:is>
      </x:c>
      <x:c r="C41" s="110" t="inlineStr">
        <x:is>
          <x:t xml:space="preserve">Capture during weekly filming block or whenever safely parked.</x:t>
        </x:is>
      </x:c>
      <x:c r="D41" s="110" t="inlineStr">
        <x:is>
          <x:t xml:space="preserve">Calendar posts, cutdowns, Stories, carousels and branded end cards.</x:t>
        </x:is>
      </x:c>
      <x:c r="E41" s="110" t="inlineStr">
        <x:is>
          <x:t xml:space="preserve">High</x:t>
        </x:is>
      </x:c>
      <x:c r="F41" s="110" t="n">
        <x:v>5</x:v>
      </x:c>
      <x:c r="G41" s="110" t="inlineStr">
        <x:is>
          <x:t xml:space="preserve">Shoot vertical 9:16, hold steady 5–8 seconds, capture clean natural sound when useful.</x:t>
        </x:is>
      </x:c>
      <x:c r="H41" s="110" t="inlineStr">
        <x:is>
          <x:t xml:space="preserve">Do not film while driving handheld. Blur plates/faces when needed; get consent for interviews.</x:t>
        </x:is>
      </x:c>
    </x:row>
    <x:row r="42" ht="52" customHeight="1">
      <x:c r="A42" s="117" t="inlineStr">
        <x:is>
          <x:t xml:space="preserve">Car Care</x:t>
        </x:is>
      </x:c>
      <x:c r="B42" s="117" t="inlineStr">
        <x:is>
          <x:t xml:space="preserve">warning triangle prop</x:t>
        </x:is>
      </x:c>
      <x:c r="C42" s="117" t="inlineStr">
        <x:is>
          <x:t xml:space="preserve">Capture during weekly filming block or whenever safely parked.</x:t>
        </x:is>
      </x:c>
      <x:c r="D42" s="117" t="inlineStr">
        <x:is>
          <x:t xml:space="preserve">Calendar posts, cutdowns, Stories, carousels and branded end cards.</x:t>
        </x:is>
      </x:c>
      <x:c r="E42" s="117" t="inlineStr">
        <x:is>
          <x:t xml:space="preserve">Medium</x:t>
        </x:is>
      </x:c>
      <x:c r="F42" s="117" t="n">
        <x:v>5</x:v>
      </x:c>
      <x:c r="G42" s="117" t="inlineStr">
        <x:is>
          <x:t xml:space="preserve">Shoot vertical 9:16, hold steady 5–8 seconds, capture clean natural sound when useful.</x:t>
        </x:is>
      </x:c>
      <x:c r="H42" s="117" t="inlineStr">
        <x:is>
          <x:t xml:space="preserve">Do not film while driving handheld. Blur plates/faces when needed; get consent for interviews.</x:t>
        </x:is>
      </x:c>
    </x:row>
    <x:row r="43" ht="52" customHeight="1">
      <x:c r="A43" s="110" t="inlineStr">
        <x:is>
          <x:t xml:space="preserve">Car Care</x:t>
        </x:is>
      </x:c>
      <x:c r="B43" s="110" t="inlineStr">
        <x:is>
          <x:t xml:space="preserve">fuel gauge close-up</x:t>
        </x:is>
      </x:c>
      <x:c r="C43" s="110" t="inlineStr">
        <x:is>
          <x:t xml:space="preserve">Capture during weekly filming block or whenever safely parked.</x:t>
        </x:is>
      </x:c>
      <x:c r="D43" s="110" t="inlineStr">
        <x:is>
          <x:t xml:space="preserve">Calendar posts, cutdowns, Stories, carousels and branded end cards.</x:t>
        </x:is>
      </x:c>
      <x:c r="E43" s="110" t="inlineStr">
        <x:is>
          <x:t xml:space="preserve">Medium</x:t>
        </x:is>
      </x:c>
      <x:c r="F43" s="110" t="n">
        <x:v>5</x:v>
      </x:c>
      <x:c r="G43" s="110" t="inlineStr">
        <x:is>
          <x:t xml:space="preserve">Shoot vertical 9:16, hold steady 5–8 seconds, capture clean natural sound when useful.</x:t>
        </x:is>
      </x:c>
      <x:c r="H43" s="110" t="inlineStr">
        <x:is>
          <x:t xml:space="preserve">Do not film while driving handheld. Blur plates/faces when needed; get consent for interviews.</x:t>
        </x:is>
      </x:c>
    </x:row>
    <x:row r="44" ht="52" customHeight="1">
      <x:c r="A44" s="117" t="inlineStr">
        <x:is>
          <x:t xml:space="preserve">Car Care</x:t>
        </x:is>
      </x:c>
      <x:c r="B44" s="117" t="inlineStr">
        <x:is>
          <x:t xml:space="preserve">garage B-roll</x:t>
        </x:is>
      </x:c>
      <x:c r="C44" s="117" t="inlineStr">
        <x:is>
          <x:t xml:space="preserve">Capture during weekly filming block or whenever safely parked.</x:t>
        </x:is>
      </x:c>
      <x:c r="D44" s="117" t="inlineStr">
        <x:is>
          <x:t xml:space="preserve">Calendar posts, cutdowns, Stories, carousels and branded end cards.</x:t>
        </x:is>
      </x:c>
      <x:c r="E44" s="117" t="inlineStr">
        <x:is>
          <x:t xml:space="preserve">Medium</x:t>
        </x:is>
      </x:c>
      <x:c r="F44" s="117" t="n">
        <x:v>5</x:v>
      </x:c>
      <x:c r="G44" s="117" t="inlineStr">
        <x:is>
          <x:t xml:space="preserve">Shoot vertical 9:16, hold steady 5–8 seconds, capture clean natural sound when useful.</x:t>
        </x:is>
      </x:c>
      <x:c r="H44" s="117" t="inlineStr">
        <x:is>
          <x:t xml:space="preserve">Do not film while driving handheld. Blur plates/faces when needed; get consent for interviews.</x:t>
        </x:is>
      </x:c>
    </x:row>
    <x:row r="45" ht="52" customHeight="1">
      <x:c r="A45" s="110" t="inlineStr">
        <x:is>
          <x:t xml:space="preserve">Community</x:t>
        </x:is>
      </x:c>
      <x:c r="B45" s="110" t="inlineStr">
        <x:is>
          <x:t xml:space="preserve">street interview wide shot</x:t>
        </x:is>
      </x:c>
      <x:c r="C45" s="110" t="inlineStr">
        <x:is>
          <x:t xml:space="preserve">Capture during weekly filming block or whenever safely parked.</x:t>
        </x:is>
      </x:c>
      <x:c r="D45" s="110" t="inlineStr">
        <x:is>
          <x:t xml:space="preserve">Calendar posts, cutdowns, Stories, carousels and branded end cards.</x:t>
        </x:is>
      </x:c>
      <x:c r="E45" s="110" t="inlineStr">
        <x:is>
          <x:t xml:space="preserve">Must-have</x:t>
        </x:is>
      </x:c>
      <x:c r="F45" s="110" t="n">
        <x:v>3</x:v>
      </x:c>
      <x:c r="G45" s="110" t="inlineStr">
        <x:is>
          <x:t xml:space="preserve">Shoot vertical 9:16, hold steady 5–8 seconds, capture clean natural sound when useful.</x:t>
        </x:is>
      </x:c>
      <x:c r="H45" s="110" t="inlineStr">
        <x:is>
          <x:t xml:space="preserve">Do not film while driving handheld. Blur plates/faces when needed; get consent for interviews.</x:t>
        </x:is>
      </x:c>
    </x:row>
    <x:row r="46" ht="52" customHeight="1">
      <x:c r="A46" s="117" t="inlineStr">
        <x:is>
          <x:t xml:space="preserve">Community</x:t>
        </x:is>
      </x:c>
      <x:c r="B46" s="117" t="inlineStr">
        <x:is>
          <x:t xml:space="preserve">lapel mic setup</x:t>
        </x:is>
      </x:c>
      <x:c r="C46" s="117" t="inlineStr">
        <x:is>
          <x:t xml:space="preserve">Capture during weekly filming block or whenever safely parked.</x:t>
        </x:is>
      </x:c>
      <x:c r="D46" s="117" t="inlineStr">
        <x:is>
          <x:t xml:space="preserve">Calendar posts, cutdowns, Stories, carousels and branded end cards.</x:t>
        </x:is>
      </x:c>
      <x:c r="E46" s="117" t="inlineStr">
        <x:is>
          <x:t xml:space="preserve">Must-have</x:t>
        </x:is>
      </x:c>
      <x:c r="F46" s="117" t="n">
        <x:v>3</x:v>
      </x:c>
      <x:c r="G46" s="117" t="inlineStr">
        <x:is>
          <x:t xml:space="preserve">Shoot vertical 9:16, hold steady 5–8 seconds, capture clean natural sound when useful.</x:t>
        </x:is>
      </x:c>
      <x:c r="H46" s="117" t="inlineStr">
        <x:is>
          <x:t xml:space="preserve">Do not film while driving handheld. Blur plates/faces when needed; get consent for interviews.</x:t>
        </x:is>
      </x:c>
    </x:row>
    <x:row r="47" ht="52" customHeight="1">
      <x:c r="A47" s="110" t="inlineStr">
        <x:is>
          <x:t xml:space="preserve">Community</x:t>
        </x:is>
      </x:c>
      <x:c r="B47" s="110" t="inlineStr">
        <x:is>
          <x:t xml:space="preserve">question card close-up</x:t>
        </x:is>
      </x:c>
      <x:c r="C47" s="110" t="inlineStr">
        <x:is>
          <x:t xml:space="preserve">Capture during weekly filming block or whenever safely parked.</x:t>
        </x:is>
      </x:c>
      <x:c r="D47" s="110" t="inlineStr">
        <x:is>
          <x:t xml:space="preserve">Calendar posts, cutdowns, Stories, carousels and branded end cards.</x:t>
        </x:is>
      </x:c>
      <x:c r="E47" s="110" t="inlineStr">
        <x:is>
          <x:t xml:space="preserve">Must-have</x:t>
        </x:is>
      </x:c>
      <x:c r="F47" s="110" t="n">
        <x:v>3</x:v>
      </x:c>
      <x:c r="G47" s="110" t="inlineStr">
        <x:is>
          <x:t xml:space="preserve">Shoot vertical 9:16, hold steady 5–8 seconds, capture clean natural sound when useful.</x:t>
        </x:is>
      </x:c>
      <x:c r="H47" s="110" t="inlineStr">
        <x:is>
          <x:t xml:space="preserve">Do not film while driving handheld. Blur plates/faces when needed; get consent for interviews.</x:t>
        </x:is>
      </x:c>
    </x:row>
    <x:row r="48" ht="52" customHeight="1">
      <x:c r="A48" s="117" t="inlineStr">
        <x:is>
          <x:t xml:space="preserve">Community</x:t>
        </x:is>
      </x:c>
      <x:c r="B48" s="117" t="inlineStr">
        <x:is>
          <x:t xml:space="preserve">driver hands on wheel</x:t>
        </x:is>
      </x:c>
      <x:c r="C48" s="117" t="inlineStr">
        <x:is>
          <x:t xml:space="preserve">Capture during weekly filming block or whenever safely parked.</x:t>
        </x:is>
      </x:c>
      <x:c r="D48" s="117" t="inlineStr">
        <x:is>
          <x:t xml:space="preserve">Calendar posts, cutdowns, Stories, carousels and branded end cards.</x:t>
        </x:is>
      </x:c>
      <x:c r="E48" s="117" t="inlineStr">
        <x:is>
          <x:t xml:space="preserve">Must-have</x:t>
        </x:is>
      </x:c>
      <x:c r="F48" s="117" t="n">
        <x:v>3</x:v>
      </x:c>
      <x:c r="G48" s="117" t="inlineStr">
        <x:is>
          <x:t xml:space="preserve">Shoot vertical 9:16, hold steady 5–8 seconds, capture clean natural sound when useful.</x:t>
        </x:is>
      </x:c>
      <x:c r="H48" s="117" t="inlineStr">
        <x:is>
          <x:t xml:space="preserve">Do not film while driving handheld. Blur plates/faces when needed; get consent for interviews.</x:t>
        </x:is>
      </x:c>
    </x:row>
    <x:row r="49" ht="52" customHeight="1">
      <x:c r="A49" s="110" t="inlineStr">
        <x:is>
          <x:t xml:space="preserve">Community</x:t>
        </x:is>
      </x:c>
      <x:c r="B49" s="110" t="inlineStr">
        <x:is>
          <x:t xml:space="preserve">comment screenshot template</x:t>
        </x:is>
      </x:c>
      <x:c r="C49" s="110" t="inlineStr">
        <x:is>
          <x:t xml:space="preserve">Capture during weekly filming block or whenever safely parked.</x:t>
        </x:is>
      </x:c>
      <x:c r="D49" s="110" t="inlineStr">
        <x:is>
          <x:t xml:space="preserve">Calendar posts, cutdowns, Stories, carousels and branded end cards.</x:t>
        </x:is>
      </x:c>
      <x:c r="E49" s="110" t="inlineStr">
        <x:is>
          <x:t xml:space="preserve">High</x:t>
        </x:is>
      </x:c>
      <x:c r="F49" s="110" t="n">
        <x:v>3</x:v>
      </x:c>
      <x:c r="G49" s="110" t="inlineStr">
        <x:is>
          <x:t xml:space="preserve">Shoot vertical 9:16, hold steady 5–8 seconds, capture clean natural sound when useful.</x:t>
        </x:is>
      </x:c>
      <x:c r="H49" s="110" t="inlineStr">
        <x:is>
          <x:t xml:space="preserve">Do not film while driving handheld. Blur plates/faces when needed; get consent for interviews.</x:t>
        </x:is>
      </x:c>
    </x:row>
    <x:row r="50" ht="52" customHeight="1">
      <x:c r="A50" s="117" t="inlineStr">
        <x:is>
          <x:t xml:space="preserve">Community</x:t>
        </x:is>
      </x:c>
      <x:c r="B50" s="117" t="inlineStr">
        <x:is>
          <x:t xml:space="preserve">UGC prompt graphic</x:t>
        </x:is>
      </x:c>
      <x:c r="C50" s="117" t="inlineStr">
        <x:is>
          <x:t xml:space="preserve">Capture during weekly filming block or whenever safely parked.</x:t>
        </x:is>
      </x:c>
      <x:c r="D50" s="117" t="inlineStr">
        <x:is>
          <x:t xml:space="preserve">Calendar posts, cutdowns, Stories, carousels and branded end cards.</x:t>
        </x:is>
      </x:c>
      <x:c r="E50" s="117" t="inlineStr">
        <x:is>
          <x:t xml:space="preserve">High</x:t>
        </x:is>
      </x:c>
      <x:c r="F50" s="117" t="n">
        <x:v>3</x:v>
      </x:c>
      <x:c r="G50" s="117" t="inlineStr">
        <x:is>
          <x:t xml:space="preserve">Shoot vertical 9:16, hold steady 5–8 seconds, capture clean natural sound when useful.</x:t>
        </x:is>
      </x:c>
      <x:c r="H50" s="117" t="inlineStr">
        <x:is>
          <x:t xml:space="preserve">Do not film while driving handheld. Blur plates/faces when needed; get consent for interviews.</x:t>
        </x:is>
      </x:c>
    </x:row>
    <x:row r="51" ht="52" customHeight="1">
      <x:c r="A51" s="110" t="inlineStr">
        <x:is>
          <x:t xml:space="preserve">Community</x:t>
        </x:is>
      </x:c>
      <x:c r="B51" s="110" t="inlineStr">
        <x:is>
          <x:t xml:space="preserve">poll sticker screen</x:t>
        </x:is>
      </x:c>
      <x:c r="C51" s="110" t="inlineStr">
        <x:is>
          <x:t xml:space="preserve">Capture during weekly filming block or whenever safely parked.</x:t>
        </x:is>
      </x:c>
      <x:c r="D51" s="110" t="inlineStr">
        <x:is>
          <x:t xml:space="preserve">Calendar posts, cutdowns, Stories, carousels and branded end cards.</x:t>
        </x:is>
      </x:c>
      <x:c r="E51" s="110" t="inlineStr">
        <x:is>
          <x:t xml:space="preserve">High</x:t>
        </x:is>
      </x:c>
      <x:c r="F51" s="110" t="n">
        <x:v>3</x:v>
      </x:c>
      <x:c r="G51" s="110" t="inlineStr">
        <x:is>
          <x:t xml:space="preserve">Shoot vertical 9:16, hold steady 5–8 seconds, capture clean natural sound when useful.</x:t>
        </x:is>
      </x:c>
      <x:c r="H51" s="110" t="inlineStr">
        <x:is>
          <x:t xml:space="preserve">Do not film while driving handheld. Blur plates/faces when needed; get consent for interviews.</x:t>
        </x:is>
      </x:c>
    </x:row>
    <x:row r="52" ht="52" customHeight="1">
      <x:c r="A52" s="117" t="inlineStr">
        <x:is>
          <x:t xml:space="preserve">Community</x:t>
        </x:is>
      </x:c>
      <x:c r="B52" s="117" t="inlineStr">
        <x:is>
          <x:t xml:space="preserve">reply-to-comment sticker</x:t>
        </x:is>
      </x:c>
      <x:c r="C52" s="117" t="inlineStr">
        <x:is>
          <x:t xml:space="preserve">Capture during weekly filming block or whenever safely parked.</x:t>
        </x:is>
      </x:c>
      <x:c r="D52" s="117" t="inlineStr">
        <x:is>
          <x:t xml:space="preserve">Calendar posts, cutdowns, Stories, carousels and branded end cards.</x:t>
        </x:is>
      </x:c>
      <x:c r="E52" s="117" t="inlineStr">
        <x:is>
          <x:t xml:space="preserve">Medium</x:t>
        </x:is>
      </x:c>
      <x:c r="F52" s="117" t="n">
        <x:v>3</x:v>
      </x:c>
      <x:c r="G52" s="117" t="inlineStr">
        <x:is>
          <x:t xml:space="preserve">Shoot vertical 9:16, hold steady 5–8 seconds, capture clean natural sound when useful.</x:t>
        </x:is>
      </x:c>
      <x:c r="H52" s="117" t="inlineStr">
        <x:is>
          <x:t xml:space="preserve">Do not film while driving handheld. Blur plates/faces when needed; get consent for interviews.</x:t>
        </x:is>
      </x:c>
    </x:row>
    <x:row r="53" ht="52" customHeight="1">
      <x:c r="A53" s="110" t="inlineStr">
        <x:is>
          <x:t xml:space="preserve">Community</x:t>
        </x:is>
      </x:c>
      <x:c r="B53" s="110" t="inlineStr">
        <x:is>
          <x:t xml:space="preserve">anonymous confession text</x:t>
        </x:is>
      </x:c>
      <x:c r="C53" s="110" t="inlineStr">
        <x:is>
          <x:t xml:space="preserve">Capture during weekly filming block or whenever safely parked.</x:t>
        </x:is>
      </x:c>
      <x:c r="D53" s="110" t="inlineStr">
        <x:is>
          <x:t xml:space="preserve">Calendar posts, cutdowns, Stories, carousels and branded end cards.</x:t>
        </x:is>
      </x:c>
      <x:c r="E53" s="110" t="inlineStr">
        <x:is>
          <x:t xml:space="preserve">Medium</x:t>
        </x:is>
      </x:c>
      <x:c r="F53" s="110" t="n">
        <x:v>3</x:v>
      </x:c>
      <x:c r="G53" s="110" t="inlineStr">
        <x:is>
          <x:t xml:space="preserve">Shoot vertical 9:16, hold steady 5–8 seconds, capture clean natural sound when useful.</x:t>
        </x:is>
      </x:c>
      <x:c r="H53" s="110" t="inlineStr">
        <x:is>
          <x:t xml:space="preserve">Do not film while driving handheld. Blur plates/faces when needed; get consent for interviews.</x:t>
        </x:is>
      </x:c>
    </x:row>
    <x:row r="54" ht="52" customHeight="1">
      <x:c r="A54" s="117" t="inlineStr">
        <x:is>
          <x:t xml:space="preserve">Community</x:t>
        </x:is>
      </x:c>
      <x:c r="B54" s="117" t="inlineStr">
        <x:is>
          <x:t xml:space="preserve">road nomination map card</x:t>
        </x:is>
      </x:c>
      <x:c r="C54" s="117" t="inlineStr">
        <x:is>
          <x:t xml:space="preserve">Capture during weekly filming block or whenever safely parked.</x:t>
        </x:is>
      </x:c>
      <x:c r="D54" s="117" t="inlineStr">
        <x:is>
          <x:t xml:space="preserve">Calendar posts, cutdowns, Stories, carousels and branded end cards.</x:t>
        </x:is>
      </x:c>
      <x:c r="E54" s="117" t="inlineStr">
        <x:is>
          <x:t xml:space="preserve">Medium</x:t>
        </x:is>
      </x:c>
      <x:c r="F54" s="117" t="n">
        <x:v>3</x:v>
      </x:c>
      <x:c r="G54" s="117" t="inlineStr">
        <x:is>
          <x:t xml:space="preserve">Shoot vertical 9:16, hold steady 5–8 seconds, capture clean natural sound when useful.</x:t>
        </x:is>
      </x:c>
      <x:c r="H54" s="117" t="inlineStr">
        <x:is>
          <x:t xml:space="preserve">Do not film while driving handheld. Blur plates/faces when needed; get consent for interviews.</x:t>
        </x:is>
      </x:c>
    </x:row>
    <x:row r="55" ht="52" customHeight="1">
      <x:c r="A55" s="110" t="inlineStr">
        <x:is>
          <x:t xml:space="preserve">Seasonal</x:t>
        </x:is>
      </x:c>
      <x:c r="B55" s="110" t="inlineStr">
        <x:is>
          <x:t xml:space="preserve">holiday bags in boot</x:t>
        </x:is>
      </x:c>
      <x:c r="C55" s="110" t="inlineStr">
        <x:is>
          <x:t xml:space="preserve">Capture during weekly filming block or whenever safely parked.</x:t>
        </x:is>
      </x:c>
      <x:c r="D55" s="110" t="inlineStr">
        <x:is>
          <x:t xml:space="preserve">Calendar posts, cutdowns, Stories, carousels and branded end cards.</x:t>
        </x:is>
      </x:c>
      <x:c r="E55" s="110" t="inlineStr">
        <x:is>
          <x:t xml:space="preserve">Must-have</x:t>
        </x:is>
      </x:c>
      <x:c r="F55" s="110" t="n">
        <x:v>3</x:v>
      </x:c>
      <x:c r="G55" s="110" t="inlineStr">
        <x:is>
          <x:t xml:space="preserve">Shoot vertical 9:16, hold steady 5–8 seconds, capture clean natural sound when useful.</x:t>
        </x:is>
      </x:c>
      <x:c r="H55" s="110" t="inlineStr">
        <x:is>
          <x:t xml:space="preserve">Do not film while driving handheld. Blur plates/faces when needed; get consent for interviews.</x:t>
        </x:is>
      </x:c>
    </x:row>
    <x:row r="56" ht="52" customHeight="1">
      <x:c r="A56" s="117" t="inlineStr">
        <x:is>
          <x:t xml:space="preserve">Seasonal</x:t>
        </x:is>
      </x:c>
      <x:c r="B56" s="117" t="inlineStr">
        <x:is>
          <x:t xml:space="preserve">family waving before departure</x:t>
        </x:is>
      </x:c>
      <x:c r="C56" s="117" t="inlineStr">
        <x:is>
          <x:t xml:space="preserve">Capture during weekly filming block or whenever safely parked.</x:t>
        </x:is>
      </x:c>
      <x:c r="D56" s="117" t="inlineStr">
        <x:is>
          <x:t xml:space="preserve">Calendar posts, cutdowns, Stories, carousels and branded end cards.</x:t>
        </x:is>
      </x:c>
      <x:c r="E56" s="117" t="inlineStr">
        <x:is>
          <x:t xml:space="preserve">Must-have</x:t>
        </x:is>
      </x:c>
      <x:c r="F56" s="117" t="n">
        <x:v>3</x:v>
      </x:c>
      <x:c r="G56" s="117" t="inlineStr">
        <x:is>
          <x:t xml:space="preserve">Shoot vertical 9:16, hold steady 5–8 seconds, capture clean natural sound when useful.</x:t>
        </x:is>
      </x:c>
      <x:c r="H56" s="117" t="inlineStr">
        <x:is>
          <x:t xml:space="preserve">Do not film while driving handheld. Blur plates/faces when needed; get consent for interviews.</x:t>
        </x:is>
      </x:c>
    </x:row>
    <x:row r="57" ht="52" customHeight="1">
      <x:c r="A57" s="110" t="inlineStr">
        <x:is>
          <x:t xml:space="preserve">Seasonal</x:t>
        </x:is>
      </x:c>
      <x:c r="B57" s="110" t="inlineStr">
        <x:is>
          <x:t xml:space="preserve">Christmas arrival hug</x:t>
        </x:is>
      </x:c>
      <x:c r="C57" s="110" t="inlineStr">
        <x:is>
          <x:t xml:space="preserve">Capture during weekly filming block or whenever safely parked.</x:t>
        </x:is>
      </x:c>
      <x:c r="D57" s="110" t="inlineStr">
        <x:is>
          <x:t xml:space="preserve">Calendar posts, cutdowns, Stories, carousels and branded end cards.</x:t>
        </x:is>
      </x:c>
      <x:c r="E57" s="110" t="inlineStr">
        <x:is>
          <x:t xml:space="preserve">Must-have</x:t>
        </x:is>
      </x:c>
      <x:c r="F57" s="110" t="n">
        <x:v>3</x:v>
      </x:c>
      <x:c r="G57" s="110" t="inlineStr">
        <x:is>
          <x:t xml:space="preserve">Shoot vertical 9:16, hold steady 5–8 seconds, capture clean natural sound when useful.</x:t>
        </x:is>
      </x:c>
      <x:c r="H57" s="110" t="inlineStr">
        <x:is>
          <x:t xml:space="preserve">Do not film while driving handheld. Blur plates/faces when needed; get consent for interviews.</x:t>
        </x:is>
      </x:c>
    </x:row>
    <x:row r="58" ht="52" customHeight="1">
      <x:c r="A58" s="117" t="inlineStr">
        <x:is>
          <x:t xml:space="preserve">Seasonal</x:t>
        </x:is>
      </x:c>
      <x:c r="B58" s="117" t="inlineStr">
        <x:is>
          <x:t xml:space="preserve">keys placed on table</x:t>
        </x:is>
      </x:c>
      <x:c r="C58" s="117" t="inlineStr">
        <x:is>
          <x:t xml:space="preserve">Capture during weekly filming block or whenever safely parked.</x:t>
        </x:is>
      </x:c>
      <x:c r="D58" s="117" t="inlineStr">
        <x:is>
          <x:t xml:space="preserve">Calendar posts, cutdowns, Stories, carousels and branded end cards.</x:t>
        </x:is>
      </x:c>
      <x:c r="E58" s="117" t="inlineStr">
        <x:is>
          <x:t xml:space="preserve">Must-have</x:t>
        </x:is>
      </x:c>
      <x:c r="F58" s="117" t="n">
        <x:v>3</x:v>
      </x:c>
      <x:c r="G58" s="117" t="inlineStr">
        <x:is>
          <x:t xml:space="preserve">Shoot vertical 9:16, hold steady 5–8 seconds, capture clean natural sound when useful.</x:t>
        </x:is>
      </x:c>
      <x:c r="H58" s="117" t="inlineStr">
        <x:is>
          <x:t xml:space="preserve">Do not film while driving handheld. Blur plates/faces when needed; get consent for interviews.</x:t>
        </x:is>
      </x:c>
    </x:row>
    <x:row r="59" ht="52" customHeight="1">
      <x:c r="A59" s="110" t="inlineStr">
        <x:is>
          <x:t xml:space="preserve">Seasonal</x:t>
        </x:is>
      </x:c>
      <x:c r="B59" s="110" t="inlineStr">
        <x:is>
          <x:t xml:space="preserve">water/rest break</x:t>
        </x:is>
      </x:c>
      <x:c r="C59" s="110" t="inlineStr">
        <x:is>
          <x:t xml:space="preserve">Capture during weekly filming block or whenever safely parked.</x:t>
        </x:is>
      </x:c>
      <x:c r="D59" s="110" t="inlineStr">
        <x:is>
          <x:t xml:space="preserve">Calendar posts, cutdowns, Stories, carousels and branded end cards.</x:t>
        </x:is>
      </x:c>
      <x:c r="E59" s="110" t="inlineStr">
        <x:is>
          <x:t xml:space="preserve">High</x:t>
        </x:is>
      </x:c>
      <x:c r="F59" s="110" t="n">
        <x:v>3</x:v>
      </x:c>
      <x:c r="G59" s="110" t="inlineStr">
        <x:is>
          <x:t xml:space="preserve">Shoot vertical 9:16, hold steady 5–8 seconds, capture clean natural sound when useful.</x:t>
        </x:is>
      </x:c>
      <x:c r="H59" s="110" t="inlineStr">
        <x:is>
          <x:t xml:space="preserve">Do not film while driving handheld. Blur plates/faces when needed; get consent for interviews.</x:t>
        </x:is>
      </x:c>
    </x:row>
    <x:row r="60" ht="52" customHeight="1">
      <x:c r="A60" s="117" t="inlineStr">
        <x:is>
          <x:t xml:space="preserve">Seasonal</x:t>
        </x:is>
      </x:c>
      <x:c r="B60" s="117" t="inlineStr">
        <x:is>
          <x:t xml:space="preserve">night city safe-ride shot</x:t>
        </x:is>
      </x:c>
      <x:c r="C60" s="117" t="inlineStr">
        <x:is>
          <x:t xml:space="preserve">Capture during weekly filming block or whenever safely parked.</x:t>
        </x:is>
      </x:c>
      <x:c r="D60" s="117" t="inlineStr">
        <x:is>
          <x:t xml:space="preserve">Calendar posts, cutdowns, Stories, carousels and branded end cards.</x:t>
        </x:is>
      </x:c>
      <x:c r="E60" s="117" t="inlineStr">
        <x:is>
          <x:t xml:space="preserve">High</x:t>
        </x:is>
      </x:c>
      <x:c r="F60" s="117" t="n">
        <x:v>3</x:v>
      </x:c>
      <x:c r="G60" s="117" t="inlineStr">
        <x:is>
          <x:t xml:space="preserve">Shoot vertical 9:16, hold steady 5–8 seconds, capture clean natural sound when useful.</x:t>
        </x:is>
      </x:c>
      <x:c r="H60" s="117" t="inlineStr">
        <x:is>
          <x:t xml:space="preserve">Do not film while driving handheld. Blur plates/faces when needed; get consent for interviews.</x:t>
        </x:is>
      </x:c>
    </x:row>
    <x:row r="61" ht="52" customHeight="1">
      <x:c r="A61" s="110" t="inlineStr">
        <x:is>
          <x:t xml:space="preserve">Seasonal</x:t>
        </x:is>
      </x:c>
      <x:c r="B61" s="110" t="inlineStr">
        <x:is>
          <x:t xml:space="preserve">Jamhuri flag detail</x:t>
        </x:is>
      </x:c>
      <x:c r="C61" s="110" t="inlineStr">
        <x:is>
          <x:t xml:space="preserve">Capture during weekly filming block or whenever safely parked.</x:t>
        </x:is>
      </x:c>
      <x:c r="D61" s="110" t="inlineStr">
        <x:is>
          <x:t xml:space="preserve">Calendar posts, cutdowns, Stories, carousels and branded end cards.</x:t>
        </x:is>
      </x:c>
      <x:c r="E61" s="110" t="inlineStr">
        <x:is>
          <x:t xml:space="preserve">High</x:t>
        </x:is>
      </x:c>
      <x:c r="F61" s="110" t="n">
        <x:v>3</x:v>
      </x:c>
      <x:c r="G61" s="110" t="inlineStr">
        <x:is>
          <x:t xml:space="preserve">Shoot vertical 9:16, hold steady 5–8 seconds, capture clean natural sound when useful.</x:t>
        </x:is>
      </x:c>
      <x:c r="H61" s="110" t="inlineStr">
        <x:is>
          <x:t xml:space="preserve">Do not film while driving handheld. Blur plates/faces when needed; get consent for interviews.</x:t>
        </x:is>
      </x:c>
    </x:row>
    <x:row r="62" ht="52" customHeight="1">
      <x:c r="A62" s="117" t="inlineStr">
        <x:is>
          <x:t xml:space="preserve">Seasonal</x:t>
        </x:is>
      </x:c>
      <x:c r="B62" s="117" t="inlineStr">
        <x:is>
          <x:t xml:space="preserve">road-trip snacks</x:t>
        </x:is>
      </x:c>
      <x:c r="C62" s="117" t="inlineStr">
        <x:is>
          <x:t xml:space="preserve">Capture during weekly filming block or whenever safely parked.</x:t>
        </x:is>
      </x:c>
      <x:c r="D62" s="117" t="inlineStr">
        <x:is>
          <x:t xml:space="preserve">Calendar posts, cutdowns, Stories, carousels and branded end cards.</x:t>
        </x:is>
      </x:c>
      <x:c r="E62" s="117" t="inlineStr">
        <x:is>
          <x:t xml:space="preserve">Medium</x:t>
        </x:is>
      </x:c>
      <x:c r="F62" s="117" t="n">
        <x:v>3</x:v>
      </x:c>
      <x:c r="G62" s="117" t="inlineStr">
        <x:is>
          <x:t xml:space="preserve">Shoot vertical 9:16, hold steady 5–8 seconds, capture clean natural sound when useful.</x:t>
        </x:is>
      </x:c>
      <x:c r="H62" s="117" t="inlineStr">
        <x:is>
          <x:t xml:space="preserve">Do not film while driving handheld. Blur plates/faces when needed; get consent for interviews.</x:t>
        </x:is>
      </x:c>
    </x:row>
    <x:row r="63" ht="52" customHeight="1">
      <x:c r="A63" s="110" t="inlineStr">
        <x:is>
          <x:t xml:space="preserve">Seasonal</x:t>
        </x:is>
      </x:c>
      <x:c r="B63" s="110" t="inlineStr">
        <x:is>
          <x:t xml:space="preserve">return-trip fatigue cue</x:t>
        </x:is>
      </x:c>
      <x:c r="C63" s="110" t="inlineStr">
        <x:is>
          <x:t xml:space="preserve">Capture during weekly filming block or whenever safely parked.</x:t>
        </x:is>
      </x:c>
      <x:c r="D63" s="110" t="inlineStr">
        <x:is>
          <x:t xml:space="preserve">Calendar posts, cutdowns, Stories, carousels and branded end cards.</x:t>
        </x:is>
      </x:c>
      <x:c r="E63" s="110" t="inlineStr">
        <x:is>
          <x:t xml:space="preserve">Medium</x:t>
        </x:is>
      </x:c>
      <x:c r="F63" s="110" t="n">
        <x:v>3</x:v>
      </x:c>
      <x:c r="G63" s="110" t="inlineStr">
        <x:is>
          <x:t xml:space="preserve">Shoot vertical 9:16, hold steady 5–8 seconds, capture clean natural sound when useful.</x:t>
        </x:is>
      </x:c>
      <x:c r="H63" s="110" t="inlineStr">
        <x:is>
          <x:t xml:space="preserve">Do not film while driving handheld. Blur plates/faces when needed; get consent for interviews.</x:t>
        </x:is>
      </x:c>
    </x:row>
    <x:row r="64" ht="52" customHeight="1">
      <x:c r="A64" s="117" t="inlineStr">
        <x:is>
          <x:t xml:space="preserve">Seasonal</x:t>
        </x:is>
      </x:c>
      <x:c r="B64" s="117" t="inlineStr">
        <x:is>
          <x:t xml:space="preserve">year-end recap montage</x:t>
        </x:is>
      </x:c>
      <x:c r="C64" s="117" t="inlineStr">
        <x:is>
          <x:t xml:space="preserve">Capture during weekly filming block or whenever safely parked.</x:t>
        </x:is>
      </x:c>
      <x:c r="D64" s="117" t="inlineStr">
        <x:is>
          <x:t xml:space="preserve">Calendar posts, cutdowns, Stories, carousels and branded end cards.</x:t>
        </x:is>
      </x:c>
      <x:c r="E64" s="117" t="inlineStr">
        <x:is>
          <x:t xml:space="preserve">Medium</x:t>
        </x:is>
      </x:c>
      <x:c r="F64" s="117" t="n">
        <x:v>3</x:v>
      </x:c>
      <x:c r="G64" s="117" t="inlineStr">
        <x:is>
          <x:t xml:space="preserve">Shoot vertical 9:16, hold steady 5–8 seconds, capture clean natural sound when useful.</x:t>
        </x:is>
      </x:c>
      <x:c r="H64" s="117" t="inlineStr">
        <x:is>
          <x:t xml:space="preserve">Do not film while driving handheld. Blur plates/faces when needed; get consent for interviews.</x:t>
        </x:is>
      </x:c>
    </x:row>
  </x:sheetData>
  <x:mergeCells>
    <x:mergeCell ref="A2:H2"/>
    <x:mergeCell ref="A1:H1"/>
  </x:mergeCells>
  <x:dataValidations count="2">
    <x:dataValidation type="list" allowBlank="1" showDropDown="0" showInputMessage="0" showErrorMessage="0" sqref="E5:E64">
      <x:formula1>"Low,Medium,High,Must-have"</x:formula1>
    </x:dataValidation>
    <x:dataValidation type="list" allowBlank="1" showDropDown="0" showInputMessage="0" showErrorMessage="0" sqref="E5:E64">
      <x:formula1>"Low,Medium,High,Must-have"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30" customWidth="1"/>
    <x:col min="4" max="4" width="12" customWidth="1"/>
    <x:col min="5" max="5" width="12" customWidth="1"/>
    <x:col min="6" max="6" width="18" customWidth="1"/>
    <x:col min="7" max="7" width="20" customWidth="1"/>
    <x:col min="8" max="8" width="16" customWidth="1"/>
    <x:col min="9" max="9" width="16" customWidth="1"/>
    <x:col min="10" max="10" width="48" customWidth="1"/>
    <x:col min="11" max="11" width="14" customWidth="1"/>
    <x:col min="12" max="12" width="14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34" customWidth="1"/>
    <x:col min="18" max="18" width="34" customWidth="1"/>
  </x:cols>
  <x:sheetData>
    <x:row r="1" ht="28" customHeight="1">
      <x:c r="A1" s="106" t="inlineStr">
        <x:is>
          <x:t xml:space="preserve">WEEKLY PRODUCTION TRACKER</x:t>
        </x:is>
      </x:c>
    </x:row>
    <x:row r="2" ht="34" customHeight="1">
      <x:c r="A2" s="107" t="inlineStr">
        <x:is>
          <x:t xml:space="preserve">Track the four core weekly posts. Optional content should not become a hidden obligation for the founder.</x:t>
        </x:is>
      </x:c>
    </x:row>
    <x:row r="3"/>
    <x:row r="4" ht="36" customHeight="1">
      <x:c r="A4" s="108" t="inlineStr">
        <x:is>
          <x:t xml:space="preserve">Week #</x:t>
        </x:is>
      </x:c>
      <x:c r="B4" s="108" t="inlineStr">
        <x:is>
          <x:t xml:space="preserve">Week Starting</x:t>
        </x:is>
      </x:c>
      <x:c r="C4" s="108" t="inlineStr">
        <x:is>
          <x:t xml:space="preserve">Theme</x:t>
        </x:is>
      </x:c>
      <x:c r="D4" s="108" t="inlineStr">
        <x:is>
          <x:t xml:space="preserve">Hero Due</x:t>
        </x:is>
      </x:c>
      <x:c r="E4" s="108" t="inlineStr">
        <x:is>
          <x:t xml:space="preserve">Shorts Due</x:t>
        </x:is>
      </x:c>
      <x:c r="F4" s="108" t="inlineStr">
        <x:is>
          <x:t xml:space="preserve">Carousel/Checklist Due</x:t>
        </x:is>
      </x:c>
      <x:c r="G4" s="108" t="inlineStr">
        <x:is>
          <x:t xml:space="preserve">Stories/Community Due</x:t>
        </x:is>
      </x:c>
      <x:c r="H4" s="108" t="inlineStr">
        <x:is>
          <x:t xml:space="preserve">Filming Batch</x:t>
        </x:is>
      </x:c>
      <x:c r="I4" s="108" t="inlineStr">
        <x:is>
          <x:t xml:space="preserve">Editing Batch</x:t>
        </x:is>
      </x:c>
      <x:c r="J4" s="108" t="inlineStr">
        <x:is>
          <x:t xml:space="preserve">Assets to Capture</x:t>
        </x:is>
      </x:c>
      <x:c r="K4" s="108" t="inlineStr">
        <x:is>
          <x:t xml:space="preserve">Planned Posts</x:t>
        </x:is>
      </x:c>
      <x:c r="L4" s="108" t="inlineStr">
        <x:is>
          <x:t xml:space="preserve">Scripts Done</x:t>
        </x:is>
      </x:c>
      <x:c r="M4" s="108" t="inlineStr">
        <x:is>
          <x:t xml:space="preserve">Shot</x:t>
        </x:is>
      </x:c>
      <x:c r="N4" s="108" t="inlineStr">
        <x:is>
          <x:t xml:space="preserve">Edited</x:t>
        </x:is>
      </x:c>
      <x:c r="O4" s="108" t="inlineStr">
        <x:is>
          <x:t xml:space="preserve">Scheduled</x:t>
        </x:is>
      </x:c>
      <x:c r="P4" s="108" t="inlineStr">
        <x:is>
          <x:t xml:space="preserve">Posted</x:t>
        </x:is>
      </x:c>
      <x:c r="Q4" s="108" t="inlineStr">
        <x:is>
          <x:t xml:space="preserve">Blockers</x:t>
        </x:is>
      </x:c>
      <x:c r="R4" s="108" t="inlineStr">
        <x:is>
          <x:t xml:space="preserve">Next Action</x:t>
        </x:is>
      </x:c>
    </x:row>
    <x:row r="5" ht="52" customHeight="1">
      <x:c r="A5" s="110" t="n">
        <x:v>1</x:v>
      </x:c>
      <x:c r="B5" s="109" t="n">
        <x:v>46251</x:v>
      </x:c>
      <x:c r="C5" s="110" t="inlineStr">
        <x:is>
          <x:t xml:space="preserve">Launch the road-intelligence promise</x:t>
        </x:is>
      </x:c>
      <x:c r="D5" s="110" t="n">
        <x:v>1</x:v>
      </x:c>
      <x:c r="E5" s="110" t="inlineStr">
        <x:is>
          <x:t xml:space="preserve">3</x:t>
        </x:is>
      </x:c>
      <x:c r="F5" s="110" t="inlineStr">
        <x:is>
          <x:t xml:space="preserve">0–1</x:t>
        </x:is>
      </x:c>
      <x:c r="G5" s="110" t="inlineStr">
        <x:is>
          <x:t xml:space="preserve">Optional</x:t>
        </x:is>
      </x:c>
      <x:c r="H5" s="110" t="inlineStr">
        <x:is>
          <x:t xml:space="preserve">1 field/recording block</x:t>
        </x:is>
      </x:c>
      <x:c r="I5" s="110" t="inlineStr">
        <x:is>
          <x:t xml:space="preserve">1 edit/schedule block</x:t>
        </x:is>
      </x:c>
      <x:c r="J5" s="110" t="inlineStr">
        <x:is>
          <x:t xml:space="preserve">Mombasa Road / city commute B-roll; Speed camera alerts demo; Peter clip; branded checklist.</x:t>
        </x:is>
      </x:c>
      <x:c r="K5" s="110" t="n">
        <x:f>COUNTIFS('Phase 1 Calendar'!$D$5:$D$300,A5,'Phase 1 Calendar'!$AF$5:$AF$300,"Core")</x:f>
        <x:v>4</x:v>
      </x:c>
      <x:c r="L5" s="110" t="n">
        <x:f>COUNTIFS('Phase 1 Calendar'!$D$5:$D$300,A5,'Phase 1 Calendar'!$AF$5:$AF$300,"Core",'Phase 1 Calendar'!$X$5:$X$300,"Approved")+COUNTIFS('Phase 1 Calendar'!$D$5:$D$300,A5,'Phase 1 Calendar'!$AF$5:$AF$300,"Core",'Phase 1 Calendar'!$X$5:$X$300,"Filmed")+COUNTIFS('Phase 1 Calendar'!$D$5:$D$300,A5,'Phase 1 Calendar'!$AF$5:$AF$300,"Core",'Phase 1 Calendar'!$X$5:$X$300,"Cutdown Ready")</x:f>
        <x:v>0</x:v>
      </x:c>
      <x:c r="M5" s="110" t="n">
        <x:f>COUNTIFS('Phase 1 Calendar'!$D$5:$D$300,A5,'Phase 1 Calendar'!$AF$5:$AF$300,"Core",'Phase 1 Calendar'!$W$5:$W$300,"Shot")+COUNTIFS('Phase 1 Calendar'!$D$5:$D$300,A5,'Phase 1 Calendar'!$AF$5:$AF$300,"Core",'Phase 1 Calendar'!$W$5:$W$300,"Edited")+COUNTIFS('Phase 1 Calendar'!$D$5:$D$300,A5,'Phase 1 Calendar'!$AF$5:$AF$300,"Core",'Phase 1 Calendar'!$W$5:$W$300,"Scheduled")+COUNTIFS('Phase 1 Calendar'!$D$5:$D$300,A5,'Phase 1 Calendar'!$AF$5:$AF$300,"Core",'Phase 1 Calendar'!$W$5:$W$300,"Posted")</x:f>
        <x:v>0</x:v>
      </x:c>
      <x:c r="N5" s="110" t="n">
        <x:f>COUNTIFS('Phase 1 Calendar'!$D$5:$D$300,A5,'Phase 1 Calendar'!$AF$5:$AF$300,"Core",'Phase 1 Calendar'!$W$5:$W$300,"Edited")+COUNTIFS('Phase 1 Calendar'!$D$5:$D$300,A5,'Phase 1 Calendar'!$AF$5:$AF$300,"Core",'Phase 1 Calendar'!$W$5:$W$300,"Scheduled")+COUNTIFS('Phase 1 Calendar'!$D$5:$D$300,A5,'Phase 1 Calendar'!$AF$5:$AF$300,"Core",'Phase 1 Calendar'!$W$5:$W$300,"Posted")</x:f>
        <x:v>0</x:v>
      </x:c>
      <x:c r="O5" s="110" t="n">
        <x:f>COUNTIFS('Phase 1 Calendar'!$D$5:$D$300,A5,'Phase 1 Calendar'!$AF$5:$AF$300,"Core",'Phase 1 Calendar'!$W$5:$W$300,"Scheduled")+COUNTIFS('Phase 1 Calendar'!$D$5:$D$300,A5,'Phase 1 Calendar'!$AF$5:$AF$300,"Core",'Phase 1 Calendar'!$W$5:$W$300,"Posted")</x:f>
        <x:v>0</x:v>
      </x:c>
      <x:c r="P5" s="110" t="n">
        <x:f>COUNTIFS('Phase 1 Calendar'!$D$5:$D$300,A5,'Phase 1 Calendar'!$AF$5:$AF$300,"Core",'Phase 1 Calendar'!$W$5:$W$300,"Posted")</x:f>
        <x:v>0</x:v>
      </x:c>
      <x:c r="Q5" s="110" t="n"/>
      <x:c r="R5" s="110" t="n"/>
    </x:row>
    <x:row r="6" ht="52" customHeight="1">
      <x:c r="A6" s="117" t="n">
        <x:v>2</x:v>
      </x:c>
      <x:c r="B6" s="116" t="n">
        <x:v>46258</x:v>
      </x:c>
      <x:c r="C6" s="117" t="inlineStr">
        <x:is>
          <x:t xml:space="preserve">Proof when stories disagree</x:t>
        </x:is>
      </x:c>
      <x:c r="D6" s="117" t="n">
        <x:v>1</x:v>
      </x:c>
      <x:c r="E6" s="117" t="inlineStr">
        <x:is>
          <x:t xml:space="preserve">3</x:t>
        </x:is>
      </x:c>
      <x:c r="F6" s="117" t="inlineStr">
        <x:is>
          <x:t xml:space="preserve">0–1</x:t>
        </x:is>
      </x:c>
      <x:c r="G6" s="117" t="inlineStr">
        <x:is>
          <x:t xml:space="preserve">Optional</x:t>
        </x:is>
      </x:c>
      <x:c r="H6" s="117" t="inlineStr">
        <x:is>
          <x:t xml:space="preserve">1 field/recording block</x:t>
        </x:is>
      </x:c>
      <x:c r="I6" s="117" t="inlineStr">
        <x:is>
          <x:t xml:space="preserve">1 edit/schedule block</x:t>
        </x:is>
      </x:c>
      <x:c r="J6" s="117" t="inlineStr">
        <x:is>
          <x:t xml:space="preserve">Waiyaki Way / Westlands run B-roll; Built-in Dashcam demo; Peter clip; branded checklist.</x:t>
        </x:is>
      </x:c>
      <x:c r="K6" s="117" t="n">
        <x:f>COUNTIFS('Phase 1 Calendar'!$D$5:$D$300,A6,'Phase 1 Calendar'!$AF$5:$AF$300,"Core")</x:f>
        <x:v>4</x:v>
      </x:c>
      <x:c r="L6" s="117" t="n">
        <x:f>COUNTIFS('Phase 1 Calendar'!$D$5:$D$300,A6,'Phase 1 Calendar'!$AF$5:$AF$300,"Core",'Phase 1 Calendar'!$X$5:$X$300,"Approved")+COUNTIFS('Phase 1 Calendar'!$D$5:$D$300,A6,'Phase 1 Calendar'!$AF$5:$AF$300,"Core",'Phase 1 Calendar'!$X$5:$X$300,"Filmed")+COUNTIFS('Phase 1 Calendar'!$D$5:$D$300,A6,'Phase 1 Calendar'!$AF$5:$AF$300,"Core",'Phase 1 Calendar'!$X$5:$X$300,"Cutdown Ready")</x:f>
        <x:v>0</x:v>
      </x:c>
      <x:c r="M6" s="117" t="n">
        <x:f>COUNTIFS('Phase 1 Calendar'!$D$5:$D$300,A6,'Phase 1 Calendar'!$AF$5:$AF$300,"Core",'Phase 1 Calendar'!$W$5:$W$300,"Shot")+COUNTIFS('Phase 1 Calendar'!$D$5:$D$300,A6,'Phase 1 Calendar'!$AF$5:$AF$300,"Core",'Phase 1 Calendar'!$W$5:$W$300,"Edited")+COUNTIFS('Phase 1 Calendar'!$D$5:$D$300,A6,'Phase 1 Calendar'!$AF$5:$AF$300,"Core",'Phase 1 Calendar'!$W$5:$W$300,"Scheduled")+COUNTIFS('Phase 1 Calendar'!$D$5:$D$300,A6,'Phase 1 Calendar'!$AF$5:$AF$300,"Core",'Phase 1 Calendar'!$W$5:$W$300,"Posted")</x:f>
        <x:v>0</x:v>
      </x:c>
      <x:c r="N6" s="117" t="n">
        <x:f>COUNTIFS('Phase 1 Calendar'!$D$5:$D$300,A6,'Phase 1 Calendar'!$AF$5:$AF$300,"Core",'Phase 1 Calendar'!$W$5:$W$300,"Edited")+COUNTIFS('Phase 1 Calendar'!$D$5:$D$300,A6,'Phase 1 Calendar'!$AF$5:$AF$300,"Core",'Phase 1 Calendar'!$W$5:$W$300,"Scheduled")+COUNTIFS('Phase 1 Calendar'!$D$5:$D$300,A6,'Phase 1 Calendar'!$AF$5:$AF$300,"Core",'Phase 1 Calendar'!$W$5:$W$300,"Posted")</x:f>
        <x:v>0</x:v>
      </x:c>
      <x:c r="O6" s="117" t="n">
        <x:f>COUNTIFS('Phase 1 Calendar'!$D$5:$D$300,A6,'Phase 1 Calendar'!$AF$5:$AF$300,"Core",'Phase 1 Calendar'!$W$5:$W$300,"Scheduled")+COUNTIFS('Phase 1 Calendar'!$D$5:$D$300,A6,'Phase 1 Calendar'!$AF$5:$AF$300,"Core",'Phase 1 Calendar'!$W$5:$W$300,"Posted")</x:f>
        <x:v>0</x:v>
      </x:c>
      <x:c r="P6" s="117" t="n">
        <x:f>COUNTIFS('Phase 1 Calendar'!$D$5:$D$300,A6,'Phase 1 Calendar'!$AF$5:$AF$300,"Core",'Phase 1 Calendar'!$W$5:$W$300,"Posted")</x:f>
        <x:v>0</x:v>
      </x:c>
      <x:c r="Q6" s="117" t="n"/>
      <x:c r="R6" s="117" t="n"/>
    </x:row>
    <x:row r="7" ht="52" customHeight="1">
      <x:c r="A7" s="110" t="n">
        <x:v>3</x:v>
      </x:c>
      <x:c r="B7" s="109" t="n">
        <x:v>46265</x:v>
      </x:c>
      <x:c r="C7" s="110" t="inlineStr">
        <x:is>
          <x:t xml:space="preserve">First 10 minutes after an accident</x:t>
        </x:is>
      </x:c>
      <x:c r="D7" s="110" t="n">
        <x:v>1</x:v>
      </x:c>
      <x:c r="E7" s="110" t="inlineStr">
        <x:is>
          <x:t xml:space="preserve">3</x:t>
        </x:is>
      </x:c>
      <x:c r="F7" s="110" t="inlineStr">
        <x:is>
          <x:t xml:space="preserve">0–1</x:t>
        </x:is>
      </x:c>
      <x:c r="G7" s="110" t="inlineStr">
        <x:is>
          <x:t xml:space="preserve">Optional</x:t>
        </x:is>
      </x:c>
      <x:c r="H7" s="110" t="inlineStr">
        <x:is>
          <x:t xml:space="preserve">1 field/recording block</x:t>
        </x:is>
      </x:c>
      <x:c r="I7" s="110" t="inlineStr">
        <x:is>
          <x:t xml:space="preserve">1 edit/schedule block</x:t>
        </x:is>
      </x:c>
      <x:c r="J7" s="110" t="inlineStr">
        <x:is>
          <x:t xml:space="preserve">Thika Road / busy junctions B-roll; Accident Assistant demo; Peter clip; branded checklist.</x:t>
        </x:is>
      </x:c>
      <x:c r="K7" s="110" t="n">
        <x:f>COUNTIFS('Phase 1 Calendar'!$D$5:$D$300,A7,'Phase 1 Calendar'!$AF$5:$AF$300,"Core")</x:f>
        <x:v>4</x:v>
      </x:c>
      <x:c r="L7" s="110" t="n">
        <x:f>COUNTIFS('Phase 1 Calendar'!$D$5:$D$300,A7,'Phase 1 Calendar'!$AF$5:$AF$300,"Core",'Phase 1 Calendar'!$X$5:$X$300,"Approved")+COUNTIFS('Phase 1 Calendar'!$D$5:$D$300,A7,'Phase 1 Calendar'!$AF$5:$AF$300,"Core",'Phase 1 Calendar'!$X$5:$X$300,"Filmed")+COUNTIFS('Phase 1 Calendar'!$D$5:$D$300,A7,'Phase 1 Calendar'!$AF$5:$AF$300,"Core",'Phase 1 Calendar'!$X$5:$X$300,"Cutdown Ready")</x:f>
        <x:v>0</x:v>
      </x:c>
      <x:c r="M7" s="110" t="n">
        <x:f>COUNTIFS('Phase 1 Calendar'!$D$5:$D$300,A7,'Phase 1 Calendar'!$AF$5:$AF$300,"Core",'Phase 1 Calendar'!$W$5:$W$300,"Shot")+COUNTIFS('Phase 1 Calendar'!$D$5:$D$300,A7,'Phase 1 Calendar'!$AF$5:$AF$300,"Core",'Phase 1 Calendar'!$W$5:$W$300,"Edited")+COUNTIFS('Phase 1 Calendar'!$D$5:$D$300,A7,'Phase 1 Calendar'!$AF$5:$AF$300,"Core",'Phase 1 Calendar'!$W$5:$W$300,"Scheduled")+COUNTIFS('Phase 1 Calendar'!$D$5:$D$300,A7,'Phase 1 Calendar'!$AF$5:$AF$300,"Core",'Phase 1 Calendar'!$W$5:$W$300,"Posted")</x:f>
        <x:v>0</x:v>
      </x:c>
      <x:c r="N7" s="110" t="n">
        <x:f>COUNTIFS('Phase 1 Calendar'!$D$5:$D$300,A7,'Phase 1 Calendar'!$AF$5:$AF$300,"Core",'Phase 1 Calendar'!$W$5:$W$300,"Edited")+COUNTIFS('Phase 1 Calendar'!$D$5:$D$300,A7,'Phase 1 Calendar'!$AF$5:$AF$300,"Core",'Phase 1 Calendar'!$W$5:$W$300,"Scheduled")+COUNTIFS('Phase 1 Calendar'!$D$5:$D$300,A7,'Phase 1 Calendar'!$AF$5:$AF$300,"Core",'Phase 1 Calendar'!$W$5:$W$300,"Posted")</x:f>
        <x:v>0</x:v>
      </x:c>
      <x:c r="O7" s="110" t="n">
        <x:f>COUNTIFS('Phase 1 Calendar'!$D$5:$D$300,A7,'Phase 1 Calendar'!$AF$5:$AF$300,"Core",'Phase 1 Calendar'!$W$5:$W$300,"Scheduled")+COUNTIFS('Phase 1 Calendar'!$D$5:$D$300,A7,'Phase 1 Calendar'!$AF$5:$AF$300,"Core",'Phase 1 Calendar'!$W$5:$W$300,"Posted")</x:f>
        <x:v>0</x:v>
      </x:c>
      <x:c r="P7" s="110" t="n">
        <x:f>COUNTIFS('Phase 1 Calendar'!$D$5:$D$300,A7,'Phase 1 Calendar'!$AF$5:$AF$300,"Core",'Phase 1 Calendar'!$W$5:$W$300,"Posted")</x:f>
        <x:v>0</x:v>
      </x:c>
      <x:c r="Q7" s="110" t="n"/>
      <x:c r="R7" s="110" t="n"/>
    </x:row>
    <x:row r="8" ht="52" customHeight="1">
      <x:c r="A8" s="117" t="n">
        <x:v>4</x:v>
      </x:c>
      <x:c r="B8" s="116" t="n">
        <x:v>46272</x:v>
      </x:c>
      <x:c r="C8" s="117" t="inlineStr">
        <x:is>
          <x:t xml:space="preserve">Nairobi commute survival</x:t>
        </x:is>
      </x:c>
      <x:c r="D8" s="117" t="n">
        <x:v>1</x:v>
      </x:c>
      <x:c r="E8" s="117" t="inlineStr">
        <x:is>
          <x:t xml:space="preserve">3</x:t>
        </x:is>
      </x:c>
      <x:c r="F8" s="117" t="inlineStr">
        <x:is>
          <x:t xml:space="preserve">0–1</x:t>
        </x:is>
      </x:c>
      <x:c r="G8" s="117" t="inlineStr">
        <x:is>
          <x:t xml:space="preserve">Optional</x:t>
        </x:is>
      </x:c>
      <x:c r="H8" s="117" t="inlineStr">
        <x:is>
          <x:t xml:space="preserve">1 field/recording block</x:t>
        </x:is>
      </x:c>
      <x:c r="I8" s="117" t="inlineStr">
        <x:is>
          <x:t xml:space="preserve">1 edit/schedule block</x:t>
        </x:is>
      </x:c>
      <x:c r="J8" s="117" t="inlineStr">
        <x:is>
          <x:t xml:space="preserve">Ngong Road / Langata Road B-roll; Road alerts demo; Peter clip; branded checklist.</x:t>
        </x:is>
      </x:c>
      <x:c r="K8" s="117" t="n">
        <x:f>COUNTIFS('Phase 1 Calendar'!$D$5:$D$300,A8,'Phase 1 Calendar'!$AF$5:$AF$300,"Core")</x:f>
        <x:v>4</x:v>
      </x:c>
      <x:c r="L8" s="117" t="n">
        <x:f>COUNTIFS('Phase 1 Calendar'!$D$5:$D$300,A8,'Phase 1 Calendar'!$AF$5:$AF$300,"Core",'Phase 1 Calendar'!$X$5:$X$300,"Approved")+COUNTIFS('Phase 1 Calendar'!$D$5:$D$300,A8,'Phase 1 Calendar'!$AF$5:$AF$300,"Core",'Phase 1 Calendar'!$X$5:$X$300,"Filmed")+COUNTIFS('Phase 1 Calendar'!$D$5:$D$300,A8,'Phase 1 Calendar'!$AF$5:$AF$300,"Core",'Phase 1 Calendar'!$X$5:$X$300,"Cutdown Ready")</x:f>
        <x:v>0</x:v>
      </x:c>
      <x:c r="M8" s="117" t="n">
        <x:f>COUNTIFS('Phase 1 Calendar'!$D$5:$D$300,A8,'Phase 1 Calendar'!$AF$5:$AF$300,"Core",'Phase 1 Calendar'!$W$5:$W$300,"Shot")+COUNTIFS('Phase 1 Calendar'!$D$5:$D$300,A8,'Phase 1 Calendar'!$AF$5:$AF$300,"Core",'Phase 1 Calendar'!$W$5:$W$300,"Edited")+COUNTIFS('Phase 1 Calendar'!$D$5:$D$300,A8,'Phase 1 Calendar'!$AF$5:$AF$300,"Core",'Phase 1 Calendar'!$W$5:$W$300,"Scheduled")+COUNTIFS('Phase 1 Calendar'!$D$5:$D$300,A8,'Phase 1 Calendar'!$AF$5:$AF$300,"Core",'Phase 1 Calendar'!$W$5:$W$300,"Posted")</x:f>
        <x:v>0</x:v>
      </x:c>
      <x:c r="N8" s="117" t="n">
        <x:f>COUNTIFS('Phase 1 Calendar'!$D$5:$D$300,A8,'Phase 1 Calendar'!$AF$5:$AF$300,"Core",'Phase 1 Calendar'!$W$5:$W$300,"Edited")+COUNTIFS('Phase 1 Calendar'!$D$5:$D$300,A8,'Phase 1 Calendar'!$AF$5:$AF$300,"Core",'Phase 1 Calendar'!$W$5:$W$300,"Scheduled")+COUNTIFS('Phase 1 Calendar'!$D$5:$D$300,A8,'Phase 1 Calendar'!$AF$5:$AF$300,"Core",'Phase 1 Calendar'!$W$5:$W$300,"Posted")</x:f>
        <x:v>0</x:v>
      </x:c>
      <x:c r="O8" s="117" t="n">
        <x:f>COUNTIFS('Phase 1 Calendar'!$D$5:$D$300,A8,'Phase 1 Calendar'!$AF$5:$AF$300,"Core",'Phase 1 Calendar'!$W$5:$W$300,"Scheduled")+COUNTIFS('Phase 1 Calendar'!$D$5:$D$300,A8,'Phase 1 Calendar'!$AF$5:$AF$300,"Core",'Phase 1 Calendar'!$W$5:$W$300,"Posted")</x:f>
        <x:v>0</x:v>
      </x:c>
      <x:c r="P8" s="117" t="n">
        <x:f>COUNTIFS('Phase 1 Calendar'!$D$5:$D$300,A8,'Phase 1 Calendar'!$AF$5:$AF$300,"Core",'Phase 1 Calendar'!$W$5:$W$300,"Posted")</x:f>
        <x:v>0</x:v>
      </x:c>
      <x:c r="Q8" s="117" t="n"/>
      <x:c r="R8" s="117" t="n"/>
    </x:row>
    <x:row r="9" ht="52" customHeight="1">
      <x:c r="A9" s="110" t="n">
        <x:v>5</x:v>
      </x:c>
      <x:c r="B9" s="109" t="n">
        <x:v>46279</x:v>
      </x:c>
      <x:c r="C9" s="110" t="inlineStr">
        <x:is>
          <x:t xml:space="preserve">Owning the cost of car care</x:t>
        </x:is>
      </x:c>
      <x:c r="D9" s="110" t="n">
        <x:v>1</x:v>
      </x:c>
      <x:c r="E9" s="110" t="inlineStr">
        <x:is>
          <x:t xml:space="preserve">3</x:t>
        </x:is>
      </x:c>
      <x:c r="F9" s="110" t="inlineStr">
        <x:is>
          <x:t xml:space="preserve">0–1</x:t>
        </x:is>
      </x:c>
      <x:c r="G9" s="110" t="inlineStr">
        <x:is>
          <x:t xml:space="preserve">Optional</x:t>
        </x:is>
      </x:c>
      <x:c r="H9" s="110" t="inlineStr">
        <x:is>
          <x:t xml:space="preserve">1 field/recording block</x:t>
        </x:is>
      </x:c>
      <x:c r="I9" s="110" t="inlineStr">
        <x:is>
          <x:t xml:space="preserve">1 edit/schedule block</x:t>
        </x:is>
      </x:c>
      <x:c r="J9" s="110" t="inlineStr">
        <x:is>
          <x:t xml:space="preserve">Eastern Bypass / garage errands B-roll; Vehicle care demo; Peter clip; branded checklist.</x:t>
        </x:is>
      </x:c>
      <x:c r="K9" s="110" t="n">
        <x:f>COUNTIFS('Phase 1 Calendar'!$D$5:$D$300,A9,'Phase 1 Calendar'!$AF$5:$AF$300,"Core")</x:f>
        <x:v>4</x:v>
      </x:c>
      <x:c r="L9" s="110" t="n">
        <x:f>COUNTIFS('Phase 1 Calendar'!$D$5:$D$300,A9,'Phase 1 Calendar'!$AF$5:$AF$300,"Core",'Phase 1 Calendar'!$X$5:$X$300,"Approved")+COUNTIFS('Phase 1 Calendar'!$D$5:$D$300,A9,'Phase 1 Calendar'!$AF$5:$AF$300,"Core",'Phase 1 Calendar'!$X$5:$X$300,"Filmed")+COUNTIFS('Phase 1 Calendar'!$D$5:$D$300,A9,'Phase 1 Calendar'!$AF$5:$AF$300,"Core",'Phase 1 Calendar'!$X$5:$X$300,"Cutdown Ready")</x:f>
        <x:v>0</x:v>
      </x:c>
      <x:c r="M9" s="110" t="n">
        <x:f>COUNTIFS('Phase 1 Calendar'!$D$5:$D$300,A9,'Phase 1 Calendar'!$AF$5:$AF$300,"Core",'Phase 1 Calendar'!$W$5:$W$300,"Shot")+COUNTIFS('Phase 1 Calendar'!$D$5:$D$300,A9,'Phase 1 Calendar'!$AF$5:$AF$300,"Core",'Phase 1 Calendar'!$W$5:$W$300,"Edited")+COUNTIFS('Phase 1 Calendar'!$D$5:$D$300,A9,'Phase 1 Calendar'!$AF$5:$AF$300,"Core",'Phase 1 Calendar'!$W$5:$W$300,"Scheduled")+COUNTIFS('Phase 1 Calendar'!$D$5:$D$300,A9,'Phase 1 Calendar'!$AF$5:$AF$300,"Core",'Phase 1 Calendar'!$W$5:$W$300,"Posted")</x:f>
        <x:v>0</x:v>
      </x:c>
      <x:c r="N9" s="110" t="n">
        <x:f>COUNTIFS('Phase 1 Calendar'!$D$5:$D$300,A9,'Phase 1 Calendar'!$AF$5:$AF$300,"Core",'Phase 1 Calendar'!$W$5:$W$300,"Edited")+COUNTIFS('Phase 1 Calendar'!$D$5:$D$300,A9,'Phase 1 Calendar'!$AF$5:$AF$300,"Core",'Phase 1 Calendar'!$W$5:$W$300,"Scheduled")+COUNTIFS('Phase 1 Calendar'!$D$5:$D$300,A9,'Phase 1 Calendar'!$AF$5:$AF$300,"Core",'Phase 1 Calendar'!$W$5:$W$300,"Posted")</x:f>
        <x:v>0</x:v>
      </x:c>
      <x:c r="O9" s="110" t="n">
        <x:f>COUNTIFS('Phase 1 Calendar'!$D$5:$D$300,A9,'Phase 1 Calendar'!$AF$5:$AF$300,"Core",'Phase 1 Calendar'!$W$5:$W$300,"Scheduled")+COUNTIFS('Phase 1 Calendar'!$D$5:$D$300,A9,'Phase 1 Calendar'!$AF$5:$AF$300,"Core",'Phase 1 Calendar'!$W$5:$W$300,"Posted")</x:f>
        <x:v>0</x:v>
      </x:c>
      <x:c r="P9" s="110" t="n">
        <x:f>COUNTIFS('Phase 1 Calendar'!$D$5:$D$300,A9,'Phase 1 Calendar'!$AF$5:$AF$300,"Core",'Phase 1 Calendar'!$W$5:$W$300,"Posted")</x:f>
        <x:v>0</x:v>
      </x:c>
      <x:c r="Q9" s="110" t="n"/>
      <x:c r="R9" s="110" t="n"/>
    </x:row>
    <x:row r="10" ht="52" customHeight="1">
      <x:c r="A10" s="117" t="n">
        <x:v>6</x:v>
      </x:c>
      <x:c r="B10" s="116" t="n">
        <x:v>46286</x:v>
      </x:c>
      <x:c r="C10" s="117" t="inlineStr">
        <x:is>
          <x:t xml:space="preserve">Weekend drives and nearby decisions</x:t>
        </x:is>
      </x:c>
      <x:c r="D10" s="117" t="n">
        <x:v>1</x:v>
      </x:c>
      <x:c r="E10" s="117" t="inlineStr">
        <x:is>
          <x:t xml:space="preserve">3</x:t>
        </x:is>
      </x:c>
      <x:c r="F10" s="117" t="inlineStr">
        <x:is>
          <x:t xml:space="preserve">0–1</x:t>
        </x:is>
      </x:c>
      <x:c r="G10" s="117" t="inlineStr">
        <x:is>
          <x:t xml:space="preserve">Optional</x:t>
        </x:is>
      </x:c>
      <x:c r="H10" s="117" t="inlineStr">
        <x:is>
          <x:t xml:space="preserve">1 field/recording block</x:t>
        </x:is>
      </x:c>
      <x:c r="I10" s="117" t="inlineStr">
        <x:is>
          <x:t xml:space="preserve">1 edit/schedule block</x:t>
        </x:is>
      </x:c>
      <x:c r="J10" s="117" t="inlineStr">
        <x:is>
          <x:t xml:space="preserve">Nairobi to Naivasha idea route B-roll; Find Nearby demo; Peter clip; branded checklist.</x:t>
        </x:is>
      </x:c>
      <x:c r="K10" s="117" t="n">
        <x:f>COUNTIFS('Phase 1 Calendar'!$D$5:$D$300,A10,'Phase 1 Calendar'!$AF$5:$AF$300,"Core")</x:f>
        <x:v>4</x:v>
      </x:c>
      <x:c r="L10" s="117" t="n">
        <x:f>COUNTIFS('Phase 1 Calendar'!$D$5:$D$300,A10,'Phase 1 Calendar'!$AF$5:$AF$300,"Core",'Phase 1 Calendar'!$X$5:$X$300,"Approved")+COUNTIFS('Phase 1 Calendar'!$D$5:$D$300,A10,'Phase 1 Calendar'!$AF$5:$AF$300,"Core",'Phase 1 Calendar'!$X$5:$X$300,"Filmed")+COUNTIFS('Phase 1 Calendar'!$D$5:$D$300,A10,'Phase 1 Calendar'!$AF$5:$AF$300,"Core",'Phase 1 Calendar'!$X$5:$X$300,"Cutdown Ready")</x:f>
        <x:v>0</x:v>
      </x:c>
      <x:c r="M10" s="117" t="n">
        <x:f>COUNTIFS('Phase 1 Calendar'!$D$5:$D$300,A10,'Phase 1 Calendar'!$AF$5:$AF$300,"Core",'Phase 1 Calendar'!$W$5:$W$300,"Shot")+COUNTIFS('Phase 1 Calendar'!$D$5:$D$300,A10,'Phase 1 Calendar'!$AF$5:$AF$300,"Core",'Phase 1 Calendar'!$W$5:$W$300,"Edited")+COUNTIFS('Phase 1 Calendar'!$D$5:$D$300,A10,'Phase 1 Calendar'!$AF$5:$AF$300,"Core",'Phase 1 Calendar'!$W$5:$W$300,"Scheduled")+COUNTIFS('Phase 1 Calendar'!$D$5:$D$300,A10,'Phase 1 Calendar'!$AF$5:$AF$300,"Core",'Phase 1 Calendar'!$W$5:$W$300,"Posted")</x:f>
        <x:v>0</x:v>
      </x:c>
      <x:c r="N10" s="117" t="n">
        <x:f>COUNTIFS('Phase 1 Calendar'!$D$5:$D$300,A10,'Phase 1 Calendar'!$AF$5:$AF$300,"Core",'Phase 1 Calendar'!$W$5:$W$300,"Edited")+COUNTIFS('Phase 1 Calendar'!$D$5:$D$300,A10,'Phase 1 Calendar'!$AF$5:$AF$300,"Core",'Phase 1 Calendar'!$W$5:$W$300,"Scheduled")+COUNTIFS('Phase 1 Calendar'!$D$5:$D$300,A10,'Phase 1 Calendar'!$AF$5:$AF$300,"Core",'Phase 1 Calendar'!$W$5:$W$300,"Posted")</x:f>
        <x:v>0</x:v>
      </x:c>
      <x:c r="O10" s="117" t="n">
        <x:f>COUNTIFS('Phase 1 Calendar'!$D$5:$D$300,A10,'Phase 1 Calendar'!$AF$5:$AF$300,"Core",'Phase 1 Calendar'!$W$5:$W$300,"Scheduled")+COUNTIFS('Phase 1 Calendar'!$D$5:$D$300,A10,'Phase 1 Calendar'!$AF$5:$AF$300,"Core",'Phase 1 Calendar'!$W$5:$W$300,"Posted")</x:f>
        <x:v>0</x:v>
      </x:c>
      <x:c r="P10" s="117" t="n">
        <x:f>COUNTIFS('Phase 1 Calendar'!$D$5:$D$300,A10,'Phase 1 Calendar'!$AF$5:$AF$300,"Core",'Phase 1 Calendar'!$W$5:$W$300,"Posted")</x:f>
        <x:v>0</x:v>
      </x:c>
      <x:c r="Q10" s="117" t="n"/>
      <x:c r="R10" s="117" t="n"/>
    </x:row>
    <x:row r="11" ht="52" customHeight="1">
      <x:c r="A11" s="110" t="n">
        <x:v>7</x:v>
      </x:c>
      <x:c r="B11" s="109" t="n">
        <x:v>46293</x:v>
      </x:c>
      <x:c r="C11" s="110" t="inlineStr">
        <x:is>
          <x:t xml:space="preserve">Group trips without confusion</x:t>
        </x:is>
      </x:c>
      <x:c r="D11" s="110" t="n">
        <x:v>1</x:v>
      </x:c>
      <x:c r="E11" s="110" t="inlineStr">
        <x:is>
          <x:t xml:space="preserve">3</x:t>
        </x:is>
      </x:c>
      <x:c r="F11" s="110" t="inlineStr">
        <x:is>
          <x:t xml:space="preserve">0–1</x:t>
        </x:is>
      </x:c>
      <x:c r="G11" s="110" t="inlineStr">
        <x:is>
          <x:t xml:space="preserve">Optional</x:t>
        </x:is>
      </x:c>
      <x:c r="H11" s="110" t="inlineStr">
        <x:is>
          <x:t xml:space="preserve">1 field/recording block</x:t>
        </x:is>
      </x:c>
      <x:c r="I11" s="110" t="inlineStr">
        <x:is>
          <x:t xml:space="preserve">1 edit/schedule block</x:t>
        </x:is>
      </x:c>
      <x:c r="J11" s="110" t="inlineStr">
        <x:is>
          <x:t xml:space="preserve">Nairobi-Nakuru highway planning B-roll; Trips / trip sharing demo; Peter clip; branded checklist.</x:t>
        </x:is>
      </x:c>
      <x:c r="K11" s="110" t="n">
        <x:f>COUNTIFS('Phase 1 Calendar'!$D$5:$D$300,A11,'Phase 1 Calendar'!$AF$5:$AF$300,"Core")</x:f>
        <x:v>4</x:v>
      </x:c>
      <x:c r="L11" s="110" t="n">
        <x:f>COUNTIFS('Phase 1 Calendar'!$D$5:$D$300,A11,'Phase 1 Calendar'!$AF$5:$AF$300,"Core",'Phase 1 Calendar'!$X$5:$X$300,"Approved")+COUNTIFS('Phase 1 Calendar'!$D$5:$D$300,A11,'Phase 1 Calendar'!$AF$5:$AF$300,"Core",'Phase 1 Calendar'!$X$5:$X$300,"Filmed")+COUNTIFS('Phase 1 Calendar'!$D$5:$D$300,A11,'Phase 1 Calendar'!$AF$5:$AF$300,"Core",'Phase 1 Calendar'!$X$5:$X$300,"Cutdown Ready")</x:f>
        <x:v>0</x:v>
      </x:c>
      <x:c r="M11" s="110" t="n">
        <x:f>COUNTIFS('Phase 1 Calendar'!$D$5:$D$300,A11,'Phase 1 Calendar'!$AF$5:$AF$300,"Core",'Phase 1 Calendar'!$W$5:$W$300,"Shot")+COUNTIFS('Phase 1 Calendar'!$D$5:$D$300,A11,'Phase 1 Calendar'!$AF$5:$AF$300,"Core",'Phase 1 Calendar'!$W$5:$W$300,"Edited")+COUNTIFS('Phase 1 Calendar'!$D$5:$D$300,A11,'Phase 1 Calendar'!$AF$5:$AF$300,"Core",'Phase 1 Calendar'!$W$5:$W$300,"Scheduled")+COUNTIFS('Phase 1 Calendar'!$D$5:$D$300,A11,'Phase 1 Calendar'!$AF$5:$AF$300,"Core",'Phase 1 Calendar'!$W$5:$W$300,"Posted")</x:f>
        <x:v>0</x:v>
      </x:c>
      <x:c r="N11" s="110" t="n">
        <x:f>COUNTIFS('Phase 1 Calendar'!$D$5:$D$300,A11,'Phase 1 Calendar'!$AF$5:$AF$300,"Core",'Phase 1 Calendar'!$W$5:$W$300,"Edited")+COUNTIFS('Phase 1 Calendar'!$D$5:$D$300,A11,'Phase 1 Calendar'!$AF$5:$AF$300,"Core",'Phase 1 Calendar'!$W$5:$W$300,"Scheduled")+COUNTIFS('Phase 1 Calendar'!$D$5:$D$300,A11,'Phase 1 Calendar'!$AF$5:$AF$300,"Core",'Phase 1 Calendar'!$W$5:$W$300,"Posted")</x:f>
        <x:v>0</x:v>
      </x:c>
      <x:c r="O11" s="110" t="n">
        <x:f>COUNTIFS('Phase 1 Calendar'!$D$5:$D$300,A11,'Phase 1 Calendar'!$AF$5:$AF$300,"Core",'Phase 1 Calendar'!$W$5:$W$300,"Scheduled")+COUNTIFS('Phase 1 Calendar'!$D$5:$D$300,A11,'Phase 1 Calendar'!$AF$5:$AF$300,"Core",'Phase 1 Calendar'!$W$5:$W$300,"Posted")</x:f>
        <x:v>0</x:v>
      </x:c>
      <x:c r="P11" s="110" t="n">
        <x:f>COUNTIFS('Phase 1 Calendar'!$D$5:$D$300,A11,'Phase 1 Calendar'!$AF$5:$AF$300,"Core",'Phase 1 Calendar'!$W$5:$W$300,"Posted")</x:f>
        <x:v>0</x:v>
      </x:c>
      <x:c r="Q11" s="110" t="n"/>
      <x:c r="R11" s="110" t="n"/>
    </x:row>
    <x:row r="12" ht="52" customHeight="1">
      <x:c r="A12" s="117" t="n">
        <x:v>8</x:v>
      </x:c>
      <x:c r="B12" s="116" t="n">
        <x:v>46300</x:v>
      </x:c>
      <x:c r="C12" s="117" t="inlineStr">
        <x:is>
          <x:t xml:space="preserve">Culture, service and family-driving weekend</x:t>
        </x:is>
      </x:c>
      <x:c r="D12" s="117" t="n">
        <x:v>1</x:v>
      </x:c>
      <x:c r="E12" s="117" t="inlineStr">
        <x:is>
          <x:t xml:space="preserve">3</x:t>
        </x:is>
      </x:c>
      <x:c r="F12" s="117" t="inlineStr">
        <x:is>
          <x:t xml:space="preserve">0–1</x:t>
        </x:is>
      </x:c>
      <x:c r="G12" s="117" t="inlineStr">
        <x:is>
          <x:t xml:space="preserve">Optional</x:t>
        </x:is>
      </x:c>
      <x:c r="H12" s="117" t="inlineStr">
        <x:is>
          <x:t xml:space="preserve">1 field/recording block</x:t>
        </x:is>
      </x:c>
      <x:c r="I12" s="117" t="inlineStr">
        <x:is>
          <x:t xml:space="preserve">1 edit/schedule block</x:t>
        </x:is>
      </x:c>
      <x:c r="J12" s="117" t="inlineStr">
        <x:is>
          <x:t xml:space="preserve">City-to-family visit routes B-roll; Road alerts demo; Peter clip; branded checklist.</x:t>
        </x:is>
      </x:c>
      <x:c r="K12" s="117" t="n">
        <x:f>COUNTIFS('Phase 1 Calendar'!$D$5:$D$300,A12,'Phase 1 Calendar'!$AF$5:$AF$300,"Core")</x:f>
        <x:v>4</x:v>
      </x:c>
      <x:c r="L12" s="117" t="n">
        <x:f>COUNTIFS('Phase 1 Calendar'!$D$5:$D$300,A12,'Phase 1 Calendar'!$AF$5:$AF$300,"Core",'Phase 1 Calendar'!$X$5:$X$300,"Approved")+COUNTIFS('Phase 1 Calendar'!$D$5:$D$300,A12,'Phase 1 Calendar'!$AF$5:$AF$300,"Core",'Phase 1 Calendar'!$X$5:$X$300,"Filmed")+COUNTIFS('Phase 1 Calendar'!$D$5:$D$300,A12,'Phase 1 Calendar'!$AF$5:$AF$300,"Core",'Phase 1 Calendar'!$X$5:$X$300,"Cutdown Ready")</x:f>
        <x:v>0</x:v>
      </x:c>
      <x:c r="M12" s="117" t="n">
        <x:f>COUNTIFS('Phase 1 Calendar'!$D$5:$D$300,A12,'Phase 1 Calendar'!$AF$5:$AF$300,"Core",'Phase 1 Calendar'!$W$5:$W$300,"Shot")+COUNTIFS('Phase 1 Calendar'!$D$5:$D$300,A12,'Phase 1 Calendar'!$AF$5:$AF$300,"Core",'Phase 1 Calendar'!$W$5:$W$300,"Edited")+COUNTIFS('Phase 1 Calendar'!$D$5:$D$300,A12,'Phase 1 Calendar'!$AF$5:$AF$300,"Core",'Phase 1 Calendar'!$W$5:$W$300,"Scheduled")+COUNTIFS('Phase 1 Calendar'!$D$5:$D$300,A12,'Phase 1 Calendar'!$AF$5:$AF$300,"Core",'Phase 1 Calendar'!$W$5:$W$300,"Posted")</x:f>
        <x:v>0</x:v>
      </x:c>
      <x:c r="N12" s="117" t="n">
        <x:f>COUNTIFS('Phase 1 Calendar'!$D$5:$D$300,A12,'Phase 1 Calendar'!$AF$5:$AF$300,"Core",'Phase 1 Calendar'!$W$5:$W$300,"Edited")+COUNTIFS('Phase 1 Calendar'!$D$5:$D$300,A12,'Phase 1 Calendar'!$AF$5:$AF$300,"Core",'Phase 1 Calendar'!$W$5:$W$300,"Scheduled")+COUNTIFS('Phase 1 Calendar'!$D$5:$D$300,A12,'Phase 1 Calendar'!$AF$5:$AF$300,"Core",'Phase 1 Calendar'!$W$5:$W$300,"Posted")</x:f>
        <x:v>0</x:v>
      </x:c>
      <x:c r="O12" s="117" t="n">
        <x:f>COUNTIFS('Phase 1 Calendar'!$D$5:$D$300,A12,'Phase 1 Calendar'!$AF$5:$AF$300,"Core",'Phase 1 Calendar'!$W$5:$W$300,"Scheduled")+COUNTIFS('Phase 1 Calendar'!$D$5:$D$300,A12,'Phase 1 Calendar'!$AF$5:$AF$300,"Core",'Phase 1 Calendar'!$W$5:$W$300,"Posted")</x:f>
        <x:v>0</x:v>
      </x:c>
      <x:c r="P12" s="117" t="n">
        <x:f>COUNTIFS('Phase 1 Calendar'!$D$5:$D$300,A12,'Phase 1 Calendar'!$AF$5:$AF$300,"Core",'Phase 1 Calendar'!$W$5:$W$300,"Posted")</x:f>
        <x:v>0</x:v>
      </x:c>
      <x:c r="Q12" s="117" t="n"/>
      <x:c r="R12" s="117" t="n"/>
    </x:row>
    <x:row r="13" ht="52" customHeight="1">
      <x:c r="A13" s="110" t="n">
        <x:v>9</x:v>
      </x:c>
      <x:c r="B13" s="109" t="n">
        <x:v>46307</x:v>
      </x:c>
      <x:c r="C13" s="110" t="inlineStr">
        <x:is>
          <x:t xml:space="preserve">Speed discipline and daily pressure</x:t>
        </x:is>
      </x:c>
      <x:c r="D13" s="110" t="n">
        <x:v>1</x:v>
      </x:c>
      <x:c r="E13" s="110" t="inlineStr">
        <x:is>
          <x:t xml:space="preserve">3</x:t>
        </x:is>
      </x:c>
      <x:c r="F13" s="110" t="inlineStr">
        <x:is>
          <x:t xml:space="preserve">0–1</x:t>
        </x:is>
      </x:c>
      <x:c r="G13" s="110" t="inlineStr">
        <x:is>
          <x:t xml:space="preserve">Optional</x:t>
        </x:is>
      </x:c>
      <x:c r="H13" s="110" t="inlineStr">
        <x:is>
          <x:t xml:space="preserve">1 field/recording block</x:t>
        </x:is>
      </x:c>
      <x:c r="I13" s="110" t="inlineStr">
        <x:is>
          <x:t xml:space="preserve">1 edit/schedule block</x:t>
        </x:is>
      </x:c>
      <x:c r="J13" s="110" t="inlineStr">
        <x:is>
          <x:t xml:space="preserve">School run / work commute B-roll; Speed camera alerts demo; Peter clip; branded checklist.</x:t>
        </x:is>
      </x:c>
      <x:c r="K13" s="110" t="n">
        <x:f>COUNTIFS('Phase 1 Calendar'!$D$5:$D$300,A13,'Phase 1 Calendar'!$AF$5:$AF$300,"Core")</x:f>
        <x:v>4</x:v>
      </x:c>
      <x:c r="L13" s="110" t="n">
        <x:f>COUNTIFS('Phase 1 Calendar'!$D$5:$D$300,A13,'Phase 1 Calendar'!$AF$5:$AF$300,"Core",'Phase 1 Calendar'!$X$5:$X$300,"Approved")+COUNTIFS('Phase 1 Calendar'!$D$5:$D$300,A13,'Phase 1 Calendar'!$AF$5:$AF$300,"Core",'Phase 1 Calendar'!$X$5:$X$300,"Filmed")+COUNTIFS('Phase 1 Calendar'!$D$5:$D$300,A13,'Phase 1 Calendar'!$AF$5:$AF$300,"Core",'Phase 1 Calendar'!$X$5:$X$300,"Cutdown Ready")</x:f>
        <x:v>0</x:v>
      </x:c>
      <x:c r="M13" s="110" t="n">
        <x:f>COUNTIFS('Phase 1 Calendar'!$D$5:$D$300,A13,'Phase 1 Calendar'!$AF$5:$AF$300,"Core",'Phase 1 Calendar'!$W$5:$W$300,"Shot")+COUNTIFS('Phase 1 Calendar'!$D$5:$D$300,A13,'Phase 1 Calendar'!$AF$5:$AF$300,"Core",'Phase 1 Calendar'!$W$5:$W$300,"Edited")+COUNTIFS('Phase 1 Calendar'!$D$5:$D$300,A13,'Phase 1 Calendar'!$AF$5:$AF$300,"Core",'Phase 1 Calendar'!$W$5:$W$300,"Scheduled")+COUNTIFS('Phase 1 Calendar'!$D$5:$D$300,A13,'Phase 1 Calendar'!$AF$5:$AF$300,"Core",'Phase 1 Calendar'!$W$5:$W$300,"Posted")</x:f>
        <x:v>0</x:v>
      </x:c>
      <x:c r="N13" s="110" t="n">
        <x:f>COUNTIFS('Phase 1 Calendar'!$D$5:$D$300,A13,'Phase 1 Calendar'!$AF$5:$AF$300,"Core",'Phase 1 Calendar'!$W$5:$W$300,"Edited")+COUNTIFS('Phase 1 Calendar'!$D$5:$D$300,A13,'Phase 1 Calendar'!$AF$5:$AF$300,"Core",'Phase 1 Calendar'!$W$5:$W$300,"Scheduled")+COUNTIFS('Phase 1 Calendar'!$D$5:$D$300,A13,'Phase 1 Calendar'!$AF$5:$AF$300,"Core",'Phase 1 Calendar'!$W$5:$W$300,"Posted")</x:f>
        <x:v>0</x:v>
      </x:c>
      <x:c r="O13" s="110" t="n">
        <x:f>COUNTIFS('Phase 1 Calendar'!$D$5:$D$300,A13,'Phase 1 Calendar'!$AF$5:$AF$300,"Core",'Phase 1 Calendar'!$W$5:$W$300,"Scheduled")+COUNTIFS('Phase 1 Calendar'!$D$5:$D$300,A13,'Phase 1 Calendar'!$AF$5:$AF$300,"Core",'Phase 1 Calendar'!$W$5:$W$300,"Posted")</x:f>
        <x:v>0</x:v>
      </x:c>
      <x:c r="P13" s="110" t="n">
        <x:f>COUNTIFS('Phase 1 Calendar'!$D$5:$D$300,A13,'Phase 1 Calendar'!$AF$5:$AF$300,"Core",'Phase 1 Calendar'!$W$5:$W$300,"Posted")</x:f>
        <x:v>0</x:v>
      </x:c>
      <x:c r="Q13" s="110" t="n"/>
      <x:c r="R13" s="110" t="n"/>
    </x:row>
    <x:row r="14" ht="52" customHeight="1">
      <x:c r="A14" s="117" t="n">
        <x:v>10</x:v>
      </x:c>
      <x:c r="B14" s="116" t="n">
        <x:v>46314</x:v>
      </x:c>
      <x:c r="C14" s="117" t="inlineStr">
        <x:is>
          <x:t xml:space="preserve">Mashujaa road heroes</x:t>
        </x:is>
      </x:c>
      <x:c r="D14" s="117" t="n">
        <x:v>1</x:v>
      </x:c>
      <x:c r="E14" s="117" t="inlineStr">
        <x:is>
          <x:t xml:space="preserve">3</x:t>
        </x:is>
      </x:c>
      <x:c r="F14" s="117" t="inlineStr">
        <x:is>
          <x:t xml:space="preserve">0–1</x:t>
        </x:is>
      </x:c>
      <x:c r="G14" s="117" t="inlineStr">
        <x:is>
          <x:t xml:space="preserve">Optional</x:t>
        </x:is>
      </x:c>
      <x:c r="H14" s="117" t="inlineStr">
        <x:is>
          <x:t xml:space="preserve">1 field/recording block</x:t>
        </x:is>
      </x:c>
      <x:c r="I14" s="117" t="inlineStr">
        <x:is>
          <x:t xml:space="preserve">1 edit/schedule block</x:t>
        </x:is>
      </x:c>
      <x:c r="J14" s="117" t="inlineStr">
        <x:is>
          <x:t xml:space="preserve">Mashujaa Day travel window B-roll; Accident Assistant demo; Peter clip; branded checklist.</x:t>
        </x:is>
      </x:c>
      <x:c r="K14" s="117" t="n">
        <x:f>COUNTIFS('Phase 1 Calendar'!$D$5:$D$300,A14,'Phase 1 Calendar'!$AF$5:$AF$300,"Core")</x:f>
        <x:v>4</x:v>
      </x:c>
      <x:c r="L14" s="117" t="n">
        <x:f>COUNTIFS('Phase 1 Calendar'!$D$5:$D$300,A14,'Phase 1 Calendar'!$AF$5:$AF$300,"Core",'Phase 1 Calendar'!$X$5:$X$300,"Approved")+COUNTIFS('Phase 1 Calendar'!$D$5:$D$300,A14,'Phase 1 Calendar'!$AF$5:$AF$300,"Core",'Phase 1 Calendar'!$X$5:$X$300,"Filmed")+COUNTIFS('Phase 1 Calendar'!$D$5:$D$300,A14,'Phase 1 Calendar'!$AF$5:$AF$300,"Core",'Phase 1 Calendar'!$X$5:$X$300,"Cutdown Ready")</x:f>
        <x:v>0</x:v>
      </x:c>
      <x:c r="M14" s="117" t="n">
        <x:f>COUNTIFS('Phase 1 Calendar'!$D$5:$D$300,A14,'Phase 1 Calendar'!$AF$5:$AF$300,"Core",'Phase 1 Calendar'!$W$5:$W$300,"Shot")+COUNTIFS('Phase 1 Calendar'!$D$5:$D$300,A14,'Phase 1 Calendar'!$AF$5:$AF$300,"Core",'Phase 1 Calendar'!$W$5:$W$300,"Edited")+COUNTIFS('Phase 1 Calendar'!$D$5:$D$300,A14,'Phase 1 Calendar'!$AF$5:$AF$300,"Core",'Phase 1 Calendar'!$W$5:$W$300,"Scheduled")+COUNTIFS('Phase 1 Calendar'!$D$5:$D$300,A14,'Phase 1 Calendar'!$AF$5:$AF$300,"Core",'Phase 1 Calendar'!$W$5:$W$300,"Posted")</x:f>
        <x:v>0</x:v>
      </x:c>
      <x:c r="N14" s="117" t="n">
        <x:f>COUNTIFS('Phase 1 Calendar'!$D$5:$D$300,A14,'Phase 1 Calendar'!$AF$5:$AF$300,"Core",'Phase 1 Calendar'!$W$5:$W$300,"Edited")+COUNTIFS('Phase 1 Calendar'!$D$5:$D$300,A14,'Phase 1 Calendar'!$AF$5:$AF$300,"Core",'Phase 1 Calendar'!$W$5:$W$300,"Scheduled")+COUNTIFS('Phase 1 Calendar'!$D$5:$D$300,A14,'Phase 1 Calendar'!$AF$5:$AF$300,"Core",'Phase 1 Calendar'!$W$5:$W$300,"Posted")</x:f>
        <x:v>0</x:v>
      </x:c>
      <x:c r="O14" s="117" t="n">
        <x:f>COUNTIFS('Phase 1 Calendar'!$D$5:$D$300,A14,'Phase 1 Calendar'!$AF$5:$AF$300,"Core",'Phase 1 Calendar'!$W$5:$W$300,"Scheduled")+COUNTIFS('Phase 1 Calendar'!$D$5:$D$300,A14,'Phase 1 Calendar'!$AF$5:$AF$300,"Core",'Phase 1 Calendar'!$W$5:$W$300,"Posted")</x:f>
        <x:v>0</x:v>
      </x:c>
      <x:c r="P14" s="117" t="n">
        <x:f>COUNTIFS('Phase 1 Calendar'!$D$5:$D$300,A14,'Phase 1 Calendar'!$AF$5:$AF$300,"Core",'Phase 1 Calendar'!$W$5:$W$300,"Posted")</x:f>
        <x:v>0</x:v>
      </x:c>
      <x:c r="Q14" s="117" t="n"/>
      <x:c r="R14" s="117" t="n"/>
    </x:row>
    <x:row r="15" ht="52" customHeight="1">
      <x:c r="A15" s="110" t="n">
        <x:v>11</x:v>
      </x:c>
      <x:c r="B15" s="109" t="n">
        <x:v>46321</x:v>
      </x:c>
      <x:c r="C15" s="110" t="inlineStr">
        <x:is>
          <x:t xml:space="preserve">Kenyan driving myths and habits</x:t>
        </x:is>
      </x:c>
      <x:c r="D15" s="110" t="n">
        <x:v>1</x:v>
      </x:c>
      <x:c r="E15" s="110" t="inlineStr">
        <x:is>
          <x:t xml:space="preserve">3</x:t>
        </x:is>
      </x:c>
      <x:c r="F15" s="110" t="inlineStr">
        <x:is>
          <x:t xml:space="preserve">0–1</x:t>
        </x:is>
      </x:c>
      <x:c r="G15" s="110" t="inlineStr">
        <x:is>
          <x:t xml:space="preserve">Optional</x:t>
        </x:is>
      </x:c>
      <x:c r="H15" s="110" t="inlineStr">
        <x:is>
          <x:t xml:space="preserve">1 field/recording block</x:t>
        </x:is>
      </x:c>
      <x:c r="I15" s="110" t="inlineStr">
        <x:is>
          <x:t xml:space="preserve">1 edit/schedule block</x:t>
        </x:is>
      </x:c>
      <x:c r="J15" s="110" t="inlineStr">
        <x:is>
          <x:t xml:space="preserve">Bypass vs city-road comparisons B-roll; Community road intelligence demo; Peter clip; branded checklist.</x:t>
        </x:is>
      </x:c>
      <x:c r="K15" s="110" t="n">
        <x:f>COUNTIFS('Phase 1 Calendar'!$D$5:$D$300,A15,'Phase 1 Calendar'!$AF$5:$AF$300,"Core")</x:f>
        <x:v>4</x:v>
      </x:c>
      <x:c r="L15" s="110" t="n">
        <x:f>COUNTIFS('Phase 1 Calendar'!$D$5:$D$300,A15,'Phase 1 Calendar'!$AF$5:$AF$300,"Core",'Phase 1 Calendar'!$X$5:$X$300,"Approved")+COUNTIFS('Phase 1 Calendar'!$D$5:$D$300,A15,'Phase 1 Calendar'!$AF$5:$AF$300,"Core",'Phase 1 Calendar'!$X$5:$X$300,"Filmed")+COUNTIFS('Phase 1 Calendar'!$D$5:$D$300,A15,'Phase 1 Calendar'!$AF$5:$AF$300,"Core",'Phase 1 Calendar'!$X$5:$X$300,"Cutdown Ready")</x:f>
        <x:v>0</x:v>
      </x:c>
      <x:c r="M15" s="110" t="n">
        <x:f>COUNTIFS('Phase 1 Calendar'!$D$5:$D$300,A15,'Phase 1 Calendar'!$AF$5:$AF$300,"Core",'Phase 1 Calendar'!$W$5:$W$300,"Shot")+COUNTIFS('Phase 1 Calendar'!$D$5:$D$300,A15,'Phase 1 Calendar'!$AF$5:$AF$300,"Core",'Phase 1 Calendar'!$W$5:$W$300,"Edited")+COUNTIFS('Phase 1 Calendar'!$D$5:$D$300,A15,'Phase 1 Calendar'!$AF$5:$AF$300,"Core",'Phase 1 Calendar'!$W$5:$W$300,"Scheduled")+COUNTIFS('Phase 1 Calendar'!$D$5:$D$300,A15,'Phase 1 Calendar'!$AF$5:$AF$300,"Core",'Phase 1 Calendar'!$W$5:$W$300,"Posted")</x:f>
        <x:v>0</x:v>
      </x:c>
      <x:c r="N15" s="110" t="n">
        <x:f>COUNTIFS('Phase 1 Calendar'!$D$5:$D$300,A15,'Phase 1 Calendar'!$AF$5:$AF$300,"Core",'Phase 1 Calendar'!$W$5:$W$300,"Edited")+COUNTIFS('Phase 1 Calendar'!$D$5:$D$300,A15,'Phase 1 Calendar'!$AF$5:$AF$300,"Core",'Phase 1 Calendar'!$W$5:$W$300,"Scheduled")+COUNTIFS('Phase 1 Calendar'!$D$5:$D$300,A15,'Phase 1 Calendar'!$AF$5:$AF$300,"Core",'Phase 1 Calendar'!$W$5:$W$300,"Posted")</x:f>
        <x:v>0</x:v>
      </x:c>
      <x:c r="O15" s="110" t="n">
        <x:f>COUNTIFS('Phase 1 Calendar'!$D$5:$D$300,A15,'Phase 1 Calendar'!$AF$5:$AF$300,"Core",'Phase 1 Calendar'!$W$5:$W$300,"Scheduled")+COUNTIFS('Phase 1 Calendar'!$D$5:$D$300,A15,'Phase 1 Calendar'!$AF$5:$AF$300,"Core",'Phase 1 Calendar'!$W$5:$W$300,"Posted")</x:f>
        <x:v>0</x:v>
      </x:c>
      <x:c r="P15" s="110" t="n">
        <x:f>COUNTIFS('Phase 1 Calendar'!$D$5:$D$300,A15,'Phase 1 Calendar'!$AF$5:$AF$300,"Core",'Phase 1 Calendar'!$W$5:$W$300,"Posted")</x:f>
        <x:v>0</x:v>
      </x:c>
      <x:c r="Q15" s="110" t="n"/>
      <x:c r="R15" s="110" t="n"/>
    </x:row>
    <x:row r="16" ht="52" customHeight="1">
      <x:c r="A16" s="117" t="n">
        <x:v>12</x:v>
      </x:c>
      <x:c r="B16" s="116" t="n">
        <x:v>46328</x:v>
      </x:c>
      <x:c r="C16" s="117" t="inlineStr">
        <x:is>
          <x:t xml:space="preserve">Insurance evidence without panic</x:t>
        </x:is>
      </x:c>
      <x:c r="D16" s="117" t="n">
        <x:v>1</x:v>
      </x:c>
      <x:c r="E16" s="117" t="inlineStr">
        <x:is>
          <x:t xml:space="preserve">3</x:t>
        </x:is>
      </x:c>
      <x:c r="F16" s="117" t="inlineStr">
        <x:is>
          <x:t xml:space="preserve">0–1</x:t>
        </x:is>
      </x:c>
      <x:c r="G16" s="117" t="inlineStr">
        <x:is>
          <x:t xml:space="preserve">Optional</x:t>
        </x:is>
      </x:c>
      <x:c r="H16" s="117" t="inlineStr">
        <x:is>
          <x:t xml:space="preserve">1 field/recording block</x:t>
        </x:is>
      </x:c>
      <x:c r="I16" s="117" t="inlineStr">
        <x:is>
          <x:t xml:space="preserve">1 edit/schedule block</x:t>
        </x:is>
      </x:c>
      <x:c r="J16" s="117" t="inlineStr">
        <x:is>
          <x:t xml:space="preserve">Parking lots / low-speed incident examples B-roll; Insurance-ready reports demo; Peter clip; branded checklist.</x:t>
        </x:is>
      </x:c>
      <x:c r="K16" s="117" t="n">
        <x:f>COUNTIFS('Phase 1 Calendar'!$D$5:$D$300,A16,'Phase 1 Calendar'!$AF$5:$AF$300,"Core")</x:f>
        <x:v>4</x:v>
      </x:c>
      <x:c r="L16" s="117" t="n">
        <x:f>COUNTIFS('Phase 1 Calendar'!$D$5:$D$300,A16,'Phase 1 Calendar'!$AF$5:$AF$300,"Core",'Phase 1 Calendar'!$X$5:$X$300,"Approved")+COUNTIFS('Phase 1 Calendar'!$D$5:$D$300,A16,'Phase 1 Calendar'!$AF$5:$AF$300,"Core",'Phase 1 Calendar'!$X$5:$X$300,"Filmed")+COUNTIFS('Phase 1 Calendar'!$D$5:$D$300,A16,'Phase 1 Calendar'!$AF$5:$AF$300,"Core",'Phase 1 Calendar'!$X$5:$X$300,"Cutdown Ready")</x:f>
        <x:v>0</x:v>
      </x:c>
      <x:c r="M16" s="117" t="n">
        <x:f>COUNTIFS('Phase 1 Calendar'!$D$5:$D$300,A16,'Phase 1 Calendar'!$AF$5:$AF$300,"Core",'Phase 1 Calendar'!$W$5:$W$300,"Shot")+COUNTIFS('Phase 1 Calendar'!$D$5:$D$300,A16,'Phase 1 Calendar'!$AF$5:$AF$300,"Core",'Phase 1 Calendar'!$W$5:$W$300,"Edited")+COUNTIFS('Phase 1 Calendar'!$D$5:$D$300,A16,'Phase 1 Calendar'!$AF$5:$AF$300,"Core",'Phase 1 Calendar'!$W$5:$W$300,"Scheduled")+COUNTIFS('Phase 1 Calendar'!$D$5:$D$300,A16,'Phase 1 Calendar'!$AF$5:$AF$300,"Core",'Phase 1 Calendar'!$W$5:$W$300,"Posted")</x:f>
        <x:v>0</x:v>
      </x:c>
      <x:c r="N16" s="117" t="n">
        <x:f>COUNTIFS('Phase 1 Calendar'!$D$5:$D$300,A16,'Phase 1 Calendar'!$AF$5:$AF$300,"Core",'Phase 1 Calendar'!$W$5:$W$300,"Edited")+COUNTIFS('Phase 1 Calendar'!$D$5:$D$300,A16,'Phase 1 Calendar'!$AF$5:$AF$300,"Core",'Phase 1 Calendar'!$W$5:$W$300,"Scheduled")+COUNTIFS('Phase 1 Calendar'!$D$5:$D$300,A16,'Phase 1 Calendar'!$AF$5:$AF$300,"Core",'Phase 1 Calendar'!$W$5:$W$300,"Posted")</x:f>
        <x:v>0</x:v>
      </x:c>
      <x:c r="O16" s="117" t="n">
        <x:f>COUNTIFS('Phase 1 Calendar'!$D$5:$D$300,A16,'Phase 1 Calendar'!$AF$5:$AF$300,"Core",'Phase 1 Calendar'!$W$5:$W$300,"Scheduled")+COUNTIFS('Phase 1 Calendar'!$D$5:$D$300,A16,'Phase 1 Calendar'!$AF$5:$AF$300,"Core",'Phase 1 Calendar'!$W$5:$W$300,"Posted")</x:f>
        <x:v>0</x:v>
      </x:c>
      <x:c r="P16" s="117" t="n">
        <x:f>COUNTIFS('Phase 1 Calendar'!$D$5:$D$300,A16,'Phase 1 Calendar'!$AF$5:$AF$300,"Core",'Phase 1 Calendar'!$W$5:$W$300,"Posted")</x:f>
        <x:v>0</x:v>
      </x:c>
      <x:c r="Q16" s="117" t="n"/>
      <x:c r="R16" s="117" t="n"/>
    </x:row>
    <x:row r="17" ht="52" customHeight="1">
      <x:c r="A17" s="110" t="n">
        <x:v>13</x:v>
      </x:c>
      <x:c r="B17" s="109" t="n">
        <x:v>46335</x:v>
      </x:c>
      <x:c r="C17" s="110" t="inlineStr">
        <x:is>
          <x:t xml:space="preserve">Community road check engine</x:t>
        </x:is>
      </x:c>
      <x:c r="D17" s="110" t="n">
        <x:v>1</x:v>
      </x:c>
      <x:c r="E17" s="110" t="inlineStr">
        <x:is>
          <x:t xml:space="preserve">3</x:t>
        </x:is>
      </x:c>
      <x:c r="F17" s="110" t="inlineStr">
        <x:is>
          <x:t xml:space="preserve">0–1</x:t>
        </x:is>
      </x:c>
      <x:c r="G17" s="110" t="inlineStr">
        <x:is>
          <x:t xml:space="preserve">Optional</x:t>
        </x:is>
      </x:c>
      <x:c r="H17" s="110" t="inlineStr">
        <x:is>
          <x:t xml:space="preserve">1 field/recording block</x:t>
        </x:is>
      </x:c>
      <x:c r="I17" s="110" t="inlineStr">
        <x:is>
          <x:t xml:space="preserve">1 edit/schedule block</x:t>
        </x:is>
      </x:c>
      <x:c r="J17" s="110" t="inlineStr">
        <x:is>
          <x:t xml:space="preserve">Audience-nominated roads B-roll; Community road intelligence demo; Peter clip; branded checklist.</x:t>
        </x:is>
      </x:c>
      <x:c r="K17" s="110" t="n">
        <x:f>COUNTIFS('Phase 1 Calendar'!$D$5:$D$300,A17,'Phase 1 Calendar'!$AF$5:$AF$300,"Core")</x:f>
        <x:v>4</x:v>
      </x:c>
      <x:c r="L17" s="110" t="n">
        <x:f>COUNTIFS('Phase 1 Calendar'!$D$5:$D$300,A17,'Phase 1 Calendar'!$AF$5:$AF$300,"Core",'Phase 1 Calendar'!$X$5:$X$300,"Approved")+COUNTIFS('Phase 1 Calendar'!$D$5:$D$300,A17,'Phase 1 Calendar'!$AF$5:$AF$300,"Core",'Phase 1 Calendar'!$X$5:$X$300,"Filmed")+COUNTIFS('Phase 1 Calendar'!$D$5:$D$300,A17,'Phase 1 Calendar'!$AF$5:$AF$300,"Core",'Phase 1 Calendar'!$X$5:$X$300,"Cutdown Ready")</x:f>
        <x:v>0</x:v>
      </x:c>
      <x:c r="M17" s="110" t="n">
        <x:f>COUNTIFS('Phase 1 Calendar'!$D$5:$D$300,A17,'Phase 1 Calendar'!$AF$5:$AF$300,"Core",'Phase 1 Calendar'!$W$5:$W$300,"Shot")+COUNTIFS('Phase 1 Calendar'!$D$5:$D$300,A17,'Phase 1 Calendar'!$AF$5:$AF$300,"Core",'Phase 1 Calendar'!$W$5:$W$300,"Edited")+COUNTIFS('Phase 1 Calendar'!$D$5:$D$300,A17,'Phase 1 Calendar'!$AF$5:$AF$300,"Core",'Phase 1 Calendar'!$W$5:$W$300,"Scheduled")+COUNTIFS('Phase 1 Calendar'!$D$5:$D$300,A17,'Phase 1 Calendar'!$AF$5:$AF$300,"Core",'Phase 1 Calendar'!$W$5:$W$300,"Posted")</x:f>
        <x:v>0</x:v>
      </x:c>
      <x:c r="N17" s="110" t="n">
        <x:f>COUNTIFS('Phase 1 Calendar'!$D$5:$D$300,A17,'Phase 1 Calendar'!$AF$5:$AF$300,"Core",'Phase 1 Calendar'!$W$5:$W$300,"Edited")+COUNTIFS('Phase 1 Calendar'!$D$5:$D$300,A17,'Phase 1 Calendar'!$AF$5:$AF$300,"Core",'Phase 1 Calendar'!$W$5:$W$300,"Scheduled")+COUNTIFS('Phase 1 Calendar'!$D$5:$D$300,A17,'Phase 1 Calendar'!$AF$5:$AF$300,"Core",'Phase 1 Calendar'!$W$5:$W$300,"Posted")</x:f>
        <x:v>0</x:v>
      </x:c>
      <x:c r="O17" s="110" t="n">
        <x:f>COUNTIFS('Phase 1 Calendar'!$D$5:$D$300,A17,'Phase 1 Calendar'!$AF$5:$AF$300,"Core",'Phase 1 Calendar'!$W$5:$W$300,"Scheduled")+COUNTIFS('Phase 1 Calendar'!$D$5:$D$300,A17,'Phase 1 Calendar'!$AF$5:$AF$300,"Core",'Phase 1 Calendar'!$W$5:$W$300,"Posted")</x:f>
        <x:v>0</x:v>
      </x:c>
      <x:c r="P17" s="110" t="n">
        <x:f>COUNTIFS('Phase 1 Calendar'!$D$5:$D$300,A17,'Phase 1 Calendar'!$AF$5:$AF$300,"Core",'Phase 1 Calendar'!$W$5:$W$300,"Posted")</x:f>
        <x:v>0</x:v>
      </x:c>
      <x:c r="Q17" s="110" t="n"/>
      <x:c r="R17" s="110" t="n"/>
    </x:row>
    <x:row r="18" ht="52" customHeight="1">
      <x:c r="A18" s="117" t="n">
        <x:v>14</x:v>
      </x:c>
      <x:c r="B18" s="116" t="n">
        <x:v>46342</x:v>
      </x:c>
      <x:c r="C18" s="117" t="inlineStr">
        <x:is>
          <x:t xml:space="preserve">Night, rain and low-visibility driving</x:t>
        </x:is>
      </x:c>
      <x:c r="D18" s="117" t="n">
        <x:v>1</x:v>
      </x:c>
      <x:c r="E18" s="117" t="inlineStr">
        <x:is>
          <x:t xml:space="preserve">3</x:t>
        </x:is>
      </x:c>
      <x:c r="F18" s="117" t="inlineStr">
        <x:is>
          <x:t xml:space="preserve">0–1</x:t>
        </x:is>
      </x:c>
      <x:c r="G18" s="117" t="inlineStr">
        <x:is>
          <x:t xml:space="preserve">Optional</x:t>
        </x:is>
      </x:c>
      <x:c r="H18" s="117" t="inlineStr">
        <x:is>
          <x:t xml:space="preserve">1 field/recording block</x:t>
        </x:is>
      </x:c>
      <x:c r="I18" s="117" t="inlineStr">
        <x:is>
          <x:t xml:space="preserve">1 edit/schedule block</x:t>
        </x:is>
      </x:c>
      <x:c r="J18" s="117" t="inlineStr">
        <x:is>
          <x:t xml:space="preserve">Night commute / rainy-day city drive B-roll; Built-in Dashcam demo; Peter clip; branded checklist.</x:t>
        </x:is>
      </x:c>
      <x:c r="K18" s="117" t="n">
        <x:f>COUNTIFS('Phase 1 Calendar'!$D$5:$D$300,A18,'Phase 1 Calendar'!$AF$5:$AF$300,"Core")</x:f>
        <x:v>4</x:v>
      </x:c>
      <x:c r="L18" s="117" t="n">
        <x:f>COUNTIFS('Phase 1 Calendar'!$D$5:$D$300,A18,'Phase 1 Calendar'!$AF$5:$AF$300,"Core",'Phase 1 Calendar'!$X$5:$X$300,"Approved")+COUNTIFS('Phase 1 Calendar'!$D$5:$D$300,A18,'Phase 1 Calendar'!$AF$5:$AF$300,"Core",'Phase 1 Calendar'!$X$5:$X$300,"Filmed")+COUNTIFS('Phase 1 Calendar'!$D$5:$D$300,A18,'Phase 1 Calendar'!$AF$5:$AF$300,"Core",'Phase 1 Calendar'!$X$5:$X$300,"Cutdown Ready")</x:f>
        <x:v>0</x:v>
      </x:c>
      <x:c r="M18" s="117" t="n">
        <x:f>COUNTIFS('Phase 1 Calendar'!$D$5:$D$300,A18,'Phase 1 Calendar'!$AF$5:$AF$300,"Core",'Phase 1 Calendar'!$W$5:$W$300,"Shot")+COUNTIFS('Phase 1 Calendar'!$D$5:$D$300,A18,'Phase 1 Calendar'!$AF$5:$AF$300,"Core",'Phase 1 Calendar'!$W$5:$W$300,"Edited")+COUNTIFS('Phase 1 Calendar'!$D$5:$D$300,A18,'Phase 1 Calendar'!$AF$5:$AF$300,"Core",'Phase 1 Calendar'!$W$5:$W$300,"Scheduled")+COUNTIFS('Phase 1 Calendar'!$D$5:$D$300,A18,'Phase 1 Calendar'!$AF$5:$AF$300,"Core",'Phase 1 Calendar'!$W$5:$W$300,"Posted")</x:f>
        <x:v>0</x:v>
      </x:c>
      <x:c r="N18" s="117" t="n">
        <x:f>COUNTIFS('Phase 1 Calendar'!$D$5:$D$300,A18,'Phase 1 Calendar'!$AF$5:$AF$300,"Core",'Phase 1 Calendar'!$W$5:$W$300,"Edited")+COUNTIFS('Phase 1 Calendar'!$D$5:$D$300,A18,'Phase 1 Calendar'!$AF$5:$AF$300,"Core",'Phase 1 Calendar'!$W$5:$W$300,"Scheduled")+COUNTIFS('Phase 1 Calendar'!$D$5:$D$300,A18,'Phase 1 Calendar'!$AF$5:$AF$300,"Core",'Phase 1 Calendar'!$W$5:$W$300,"Posted")</x:f>
        <x:v>0</x:v>
      </x:c>
      <x:c r="O18" s="117" t="n">
        <x:f>COUNTIFS('Phase 1 Calendar'!$D$5:$D$300,A18,'Phase 1 Calendar'!$AF$5:$AF$300,"Core",'Phase 1 Calendar'!$W$5:$W$300,"Scheduled")+COUNTIFS('Phase 1 Calendar'!$D$5:$D$300,A18,'Phase 1 Calendar'!$AF$5:$AF$300,"Core",'Phase 1 Calendar'!$W$5:$W$300,"Posted")</x:f>
        <x:v>0</x:v>
      </x:c>
      <x:c r="P18" s="117" t="n">
        <x:f>COUNTIFS('Phase 1 Calendar'!$D$5:$D$300,A18,'Phase 1 Calendar'!$AF$5:$AF$300,"Core",'Phase 1 Calendar'!$W$5:$W$300,"Posted")</x:f>
        <x:v>0</x:v>
      </x:c>
      <x:c r="Q18" s="117" t="n"/>
      <x:c r="R18" s="117" t="n"/>
    </x:row>
    <x:row r="19" ht="52" customHeight="1">
      <x:c r="A19" s="110" t="n">
        <x:v>15</x:v>
      </x:c>
      <x:c r="B19" s="109" t="n">
        <x:v>46349</x:v>
      </x:c>
      <x:c r="C19" s="110" t="inlineStr">
        <x:is>
          <x:t xml:space="preserve">Build-in-public trust week</x:t>
        </x:is>
      </x:c>
      <x:c r="D19" s="110" t="n">
        <x:v>1</x:v>
      </x:c>
      <x:c r="E19" s="110" t="inlineStr">
        <x:is>
          <x:t xml:space="preserve">3</x:t>
        </x:is>
      </x:c>
      <x:c r="F19" s="110" t="inlineStr">
        <x:is>
          <x:t xml:space="preserve">0–1</x:t>
        </x:is>
      </x:c>
      <x:c r="G19" s="110" t="inlineStr">
        <x:is>
          <x:t xml:space="preserve">Optional</x:t>
        </x:is>
      </x:c>
      <x:c r="H19" s="110" t="inlineStr">
        <x:is>
          <x:t xml:space="preserve">1 field/recording block</x:t>
        </x:is>
      </x:c>
      <x:c r="I19" s="110" t="inlineStr">
        <x:is>
          <x:t xml:space="preserve">1 edit/schedule block</x:t>
        </x:is>
      </x:c>
      <x:c r="J19" s="110" t="inlineStr">
        <x:is>
          <x:t xml:space="preserve">Office, car, road-test loop B-roll; Msafiri brand trust demo; Peter clip; branded checklist.</x:t>
        </x:is>
      </x:c>
      <x:c r="K19" s="110" t="n">
        <x:f>COUNTIFS('Phase 1 Calendar'!$D$5:$D$300,A19,'Phase 1 Calendar'!$AF$5:$AF$300,"Core")</x:f>
        <x:v>4</x:v>
      </x:c>
      <x:c r="L19" s="110" t="n">
        <x:f>COUNTIFS('Phase 1 Calendar'!$D$5:$D$300,A19,'Phase 1 Calendar'!$AF$5:$AF$300,"Core",'Phase 1 Calendar'!$X$5:$X$300,"Approved")+COUNTIFS('Phase 1 Calendar'!$D$5:$D$300,A19,'Phase 1 Calendar'!$AF$5:$AF$300,"Core",'Phase 1 Calendar'!$X$5:$X$300,"Filmed")+COUNTIFS('Phase 1 Calendar'!$D$5:$D$300,A19,'Phase 1 Calendar'!$AF$5:$AF$300,"Core",'Phase 1 Calendar'!$X$5:$X$300,"Cutdown Ready")</x:f>
        <x:v>0</x:v>
      </x:c>
      <x:c r="M19" s="110" t="n">
        <x:f>COUNTIFS('Phase 1 Calendar'!$D$5:$D$300,A19,'Phase 1 Calendar'!$AF$5:$AF$300,"Core",'Phase 1 Calendar'!$W$5:$W$300,"Shot")+COUNTIFS('Phase 1 Calendar'!$D$5:$D$300,A19,'Phase 1 Calendar'!$AF$5:$AF$300,"Core",'Phase 1 Calendar'!$W$5:$W$300,"Edited")+COUNTIFS('Phase 1 Calendar'!$D$5:$D$300,A19,'Phase 1 Calendar'!$AF$5:$AF$300,"Core",'Phase 1 Calendar'!$W$5:$W$300,"Scheduled")+COUNTIFS('Phase 1 Calendar'!$D$5:$D$300,A19,'Phase 1 Calendar'!$AF$5:$AF$300,"Core",'Phase 1 Calendar'!$W$5:$W$300,"Posted")</x:f>
        <x:v>0</x:v>
      </x:c>
      <x:c r="N19" s="110" t="n">
        <x:f>COUNTIFS('Phase 1 Calendar'!$D$5:$D$300,A19,'Phase 1 Calendar'!$AF$5:$AF$300,"Core",'Phase 1 Calendar'!$W$5:$W$300,"Edited")+COUNTIFS('Phase 1 Calendar'!$D$5:$D$300,A19,'Phase 1 Calendar'!$AF$5:$AF$300,"Core",'Phase 1 Calendar'!$W$5:$W$300,"Scheduled")+COUNTIFS('Phase 1 Calendar'!$D$5:$D$300,A19,'Phase 1 Calendar'!$AF$5:$AF$300,"Core",'Phase 1 Calendar'!$W$5:$W$300,"Posted")</x:f>
        <x:v>0</x:v>
      </x:c>
      <x:c r="O19" s="110" t="n">
        <x:f>COUNTIFS('Phase 1 Calendar'!$D$5:$D$300,A19,'Phase 1 Calendar'!$AF$5:$AF$300,"Core",'Phase 1 Calendar'!$W$5:$W$300,"Scheduled")+COUNTIFS('Phase 1 Calendar'!$D$5:$D$300,A19,'Phase 1 Calendar'!$AF$5:$AF$300,"Core",'Phase 1 Calendar'!$W$5:$W$300,"Posted")</x:f>
        <x:v>0</x:v>
      </x:c>
      <x:c r="P19" s="110" t="n">
        <x:f>COUNTIFS('Phase 1 Calendar'!$D$5:$D$300,A19,'Phase 1 Calendar'!$AF$5:$AF$300,"Core",'Phase 1 Calendar'!$W$5:$W$300,"Posted")</x:f>
        <x:v>0</x:v>
      </x:c>
      <x:c r="Q19" s="110" t="n"/>
      <x:c r="R19" s="110" t="n"/>
    </x:row>
    <x:row r="20" ht="52" customHeight="1">
      <x:c r="A20" s="117" t="n">
        <x:v>16</x:v>
      </x:c>
      <x:c r="B20" s="116" t="n">
        <x:v>46356</x:v>
      </x:c>
      <x:c r="C20" s="117" t="inlineStr">
        <x:is>
          <x:t xml:space="preserve">December travel countdown</x:t>
        </x:is>
      </x:c>
      <x:c r="D20" s="117" t="n">
        <x:v>1</x:v>
      </x:c>
      <x:c r="E20" s="117" t="inlineStr">
        <x:is>
          <x:t xml:space="preserve">3</x:t>
        </x:is>
      </x:c>
      <x:c r="F20" s="117" t="inlineStr">
        <x:is>
          <x:t xml:space="preserve">0–1</x:t>
        </x:is>
      </x:c>
      <x:c r="G20" s="117" t="inlineStr">
        <x:is>
          <x:t xml:space="preserve">Optional</x:t>
        </x:is>
      </x:c>
      <x:c r="H20" s="117" t="inlineStr">
        <x:is>
          <x:t xml:space="preserve">1 field/recording block</x:t>
        </x:is>
      </x:c>
      <x:c r="I20" s="117" t="inlineStr">
        <x:is>
          <x:t xml:space="preserve">1 edit/schedule block</x:t>
        </x:is>
      </x:c>
      <x:c r="J20" s="117" t="inlineStr">
        <x:is>
          <x:t xml:space="preserve">Upcountry travel preparation B-roll; Trips / trip sharing demo; Peter clip; branded checklist.</x:t>
        </x:is>
      </x:c>
      <x:c r="K20" s="117" t="n">
        <x:f>COUNTIFS('Phase 1 Calendar'!$D$5:$D$300,A20,'Phase 1 Calendar'!$AF$5:$AF$300,"Core")</x:f>
        <x:v>4</x:v>
      </x:c>
      <x:c r="L20" s="117" t="n">
        <x:f>COUNTIFS('Phase 1 Calendar'!$D$5:$D$300,A20,'Phase 1 Calendar'!$AF$5:$AF$300,"Core",'Phase 1 Calendar'!$X$5:$X$300,"Approved")+COUNTIFS('Phase 1 Calendar'!$D$5:$D$300,A20,'Phase 1 Calendar'!$AF$5:$AF$300,"Core",'Phase 1 Calendar'!$X$5:$X$300,"Filmed")+COUNTIFS('Phase 1 Calendar'!$D$5:$D$300,A20,'Phase 1 Calendar'!$AF$5:$AF$300,"Core",'Phase 1 Calendar'!$X$5:$X$300,"Cutdown Ready")</x:f>
        <x:v>0</x:v>
      </x:c>
      <x:c r="M20" s="117" t="n">
        <x:f>COUNTIFS('Phase 1 Calendar'!$D$5:$D$300,A20,'Phase 1 Calendar'!$AF$5:$AF$300,"Core",'Phase 1 Calendar'!$W$5:$W$300,"Shot")+COUNTIFS('Phase 1 Calendar'!$D$5:$D$300,A20,'Phase 1 Calendar'!$AF$5:$AF$300,"Core",'Phase 1 Calendar'!$W$5:$W$300,"Edited")+COUNTIFS('Phase 1 Calendar'!$D$5:$D$300,A20,'Phase 1 Calendar'!$AF$5:$AF$300,"Core",'Phase 1 Calendar'!$W$5:$W$300,"Scheduled")+COUNTIFS('Phase 1 Calendar'!$D$5:$D$300,A20,'Phase 1 Calendar'!$AF$5:$AF$300,"Core",'Phase 1 Calendar'!$W$5:$W$300,"Posted")</x:f>
        <x:v>0</x:v>
      </x:c>
      <x:c r="N20" s="117" t="n">
        <x:f>COUNTIFS('Phase 1 Calendar'!$D$5:$D$300,A20,'Phase 1 Calendar'!$AF$5:$AF$300,"Core",'Phase 1 Calendar'!$W$5:$W$300,"Edited")+COUNTIFS('Phase 1 Calendar'!$D$5:$D$300,A20,'Phase 1 Calendar'!$AF$5:$AF$300,"Core",'Phase 1 Calendar'!$W$5:$W$300,"Scheduled")+COUNTIFS('Phase 1 Calendar'!$D$5:$D$300,A20,'Phase 1 Calendar'!$AF$5:$AF$300,"Core",'Phase 1 Calendar'!$W$5:$W$300,"Posted")</x:f>
        <x:v>0</x:v>
      </x:c>
      <x:c r="O20" s="117" t="n">
        <x:f>COUNTIFS('Phase 1 Calendar'!$D$5:$D$300,A20,'Phase 1 Calendar'!$AF$5:$AF$300,"Core",'Phase 1 Calendar'!$W$5:$W$300,"Scheduled")+COUNTIFS('Phase 1 Calendar'!$D$5:$D$300,A20,'Phase 1 Calendar'!$AF$5:$AF$300,"Core",'Phase 1 Calendar'!$W$5:$W$300,"Posted")</x:f>
        <x:v>0</x:v>
      </x:c>
      <x:c r="P20" s="117" t="n">
        <x:f>COUNTIFS('Phase 1 Calendar'!$D$5:$D$300,A20,'Phase 1 Calendar'!$AF$5:$AF$300,"Core",'Phase 1 Calendar'!$W$5:$W$300,"Posted")</x:f>
        <x:v>0</x:v>
      </x:c>
      <x:c r="Q20" s="117" t="n"/>
      <x:c r="R20" s="117" t="n"/>
    </x:row>
    <x:row r="21" ht="52" customHeight="1">
      <x:c r="A21" s="110" t="n">
        <x:v>17</x:v>
      </x:c>
      <x:c r="B21" s="109" t="n">
        <x:v>46363</x:v>
      </x:c>
      <x:c r="C21" s="110" t="inlineStr">
        <x:is>
          <x:t xml:space="preserve">Jamhuri long-drive preparation</x:t>
        </x:is>
      </x:c>
      <x:c r="D21" s="110" t="n">
        <x:v>1</x:v>
      </x:c>
      <x:c r="E21" s="110" t="inlineStr">
        <x:is>
          <x:t xml:space="preserve">3</x:t>
        </x:is>
      </x:c>
      <x:c r="F21" s="110" t="inlineStr">
        <x:is>
          <x:t xml:space="preserve">0–1</x:t>
        </x:is>
      </x:c>
      <x:c r="G21" s="110" t="inlineStr">
        <x:is>
          <x:t xml:space="preserve">Optional</x:t>
        </x:is>
      </x:c>
      <x:c r="H21" s="110" t="inlineStr">
        <x:is>
          <x:t xml:space="preserve">1 field/recording block</x:t>
        </x:is>
      </x:c>
      <x:c r="I21" s="110" t="inlineStr">
        <x:is>
          <x:t xml:space="preserve">1 edit/schedule block</x:t>
        </x:is>
      </x:c>
      <x:c r="J21" s="110" t="inlineStr">
        <x:is>
          <x:t xml:space="preserve">Jamhuri Day weekend routes B-roll; Road alerts demo; Peter clip; branded checklist.</x:t>
        </x:is>
      </x:c>
      <x:c r="K21" s="110" t="n">
        <x:f>COUNTIFS('Phase 1 Calendar'!$D$5:$D$300,A21,'Phase 1 Calendar'!$AF$5:$AF$300,"Core")</x:f>
        <x:v>4</x:v>
      </x:c>
      <x:c r="L21" s="110" t="n">
        <x:f>COUNTIFS('Phase 1 Calendar'!$D$5:$D$300,A21,'Phase 1 Calendar'!$AF$5:$AF$300,"Core",'Phase 1 Calendar'!$X$5:$X$300,"Approved")+COUNTIFS('Phase 1 Calendar'!$D$5:$D$300,A21,'Phase 1 Calendar'!$AF$5:$AF$300,"Core",'Phase 1 Calendar'!$X$5:$X$300,"Filmed")+COUNTIFS('Phase 1 Calendar'!$D$5:$D$300,A21,'Phase 1 Calendar'!$AF$5:$AF$300,"Core",'Phase 1 Calendar'!$X$5:$X$300,"Cutdown Ready")</x:f>
        <x:v>0</x:v>
      </x:c>
      <x:c r="M21" s="110" t="n">
        <x:f>COUNTIFS('Phase 1 Calendar'!$D$5:$D$300,A21,'Phase 1 Calendar'!$AF$5:$AF$300,"Core",'Phase 1 Calendar'!$W$5:$W$300,"Shot")+COUNTIFS('Phase 1 Calendar'!$D$5:$D$300,A21,'Phase 1 Calendar'!$AF$5:$AF$300,"Core",'Phase 1 Calendar'!$W$5:$W$300,"Edited")+COUNTIFS('Phase 1 Calendar'!$D$5:$D$300,A21,'Phase 1 Calendar'!$AF$5:$AF$300,"Core",'Phase 1 Calendar'!$W$5:$W$300,"Scheduled")+COUNTIFS('Phase 1 Calendar'!$D$5:$D$300,A21,'Phase 1 Calendar'!$AF$5:$AF$300,"Core",'Phase 1 Calendar'!$W$5:$W$300,"Posted")</x:f>
        <x:v>0</x:v>
      </x:c>
      <x:c r="N21" s="110" t="n">
        <x:f>COUNTIFS('Phase 1 Calendar'!$D$5:$D$300,A21,'Phase 1 Calendar'!$AF$5:$AF$300,"Core",'Phase 1 Calendar'!$W$5:$W$300,"Edited")+COUNTIFS('Phase 1 Calendar'!$D$5:$D$300,A21,'Phase 1 Calendar'!$AF$5:$AF$300,"Core",'Phase 1 Calendar'!$W$5:$W$300,"Scheduled")+COUNTIFS('Phase 1 Calendar'!$D$5:$D$300,A21,'Phase 1 Calendar'!$AF$5:$AF$300,"Core",'Phase 1 Calendar'!$W$5:$W$300,"Posted")</x:f>
        <x:v>0</x:v>
      </x:c>
      <x:c r="O21" s="110" t="n">
        <x:f>COUNTIFS('Phase 1 Calendar'!$D$5:$D$300,A21,'Phase 1 Calendar'!$AF$5:$AF$300,"Core",'Phase 1 Calendar'!$W$5:$W$300,"Scheduled")+COUNTIFS('Phase 1 Calendar'!$D$5:$D$300,A21,'Phase 1 Calendar'!$AF$5:$AF$300,"Core",'Phase 1 Calendar'!$W$5:$W$300,"Posted")</x:f>
        <x:v>0</x:v>
      </x:c>
      <x:c r="P21" s="110" t="n">
        <x:f>COUNTIFS('Phase 1 Calendar'!$D$5:$D$300,A21,'Phase 1 Calendar'!$AF$5:$AF$300,"Core",'Phase 1 Calendar'!$W$5:$W$300,"Posted")</x:f>
        <x:v>0</x:v>
      </x:c>
      <x:c r="Q21" s="110" t="n"/>
      <x:c r="R21" s="110" t="n"/>
    </x:row>
    <x:row r="22" ht="52" customHeight="1">
      <x:c r="A22" s="117" t="n">
        <x:v>18</x:v>
      </x:c>
      <x:c r="B22" s="116" t="n">
        <x:v>46370</x:v>
      </x:c>
      <x:c r="C22" s="117" t="inlineStr">
        <x:is>
          <x:t xml:space="preserve">End-year road-trip confidence</x:t>
        </x:is>
      </x:c>
      <x:c r="D22" s="117" t="n">
        <x:v>1</x:v>
      </x:c>
      <x:c r="E22" s="117" t="inlineStr">
        <x:is>
          <x:t xml:space="preserve">3</x:t>
        </x:is>
      </x:c>
      <x:c r="F22" s="117" t="inlineStr">
        <x:is>
          <x:t xml:space="preserve">0–1</x:t>
        </x:is>
      </x:c>
      <x:c r="G22" s="117" t="inlineStr">
        <x:is>
          <x:t xml:space="preserve">Optional</x:t>
        </x:is>
      </x:c>
      <x:c r="H22" s="117" t="inlineStr">
        <x:is>
          <x:t xml:space="preserve">1 field/recording block</x:t>
        </x:is>
      </x:c>
      <x:c r="I22" s="117" t="inlineStr">
        <x:is>
          <x:t xml:space="preserve">1 edit/schedule block</x:t>
        </x:is>
      </x:c>
      <x:c r="J22" s="117" t="inlineStr">
        <x:is>
          <x:t xml:space="preserve">Coast/upcountry route planning B-roll; Find Nearby demo; Peter clip; branded checklist.</x:t>
        </x:is>
      </x:c>
      <x:c r="K22" s="117" t="n">
        <x:f>COUNTIFS('Phase 1 Calendar'!$D$5:$D$300,A22,'Phase 1 Calendar'!$AF$5:$AF$300,"Core")</x:f>
        <x:v>4</x:v>
      </x:c>
      <x:c r="L22" s="117" t="n">
        <x:f>COUNTIFS('Phase 1 Calendar'!$D$5:$D$300,A22,'Phase 1 Calendar'!$AF$5:$AF$300,"Core",'Phase 1 Calendar'!$X$5:$X$300,"Approved")+COUNTIFS('Phase 1 Calendar'!$D$5:$D$300,A22,'Phase 1 Calendar'!$AF$5:$AF$300,"Core",'Phase 1 Calendar'!$X$5:$X$300,"Filmed")+COUNTIFS('Phase 1 Calendar'!$D$5:$D$300,A22,'Phase 1 Calendar'!$AF$5:$AF$300,"Core",'Phase 1 Calendar'!$X$5:$X$300,"Cutdown Ready")</x:f>
        <x:v>0</x:v>
      </x:c>
      <x:c r="M22" s="117" t="n">
        <x:f>COUNTIFS('Phase 1 Calendar'!$D$5:$D$300,A22,'Phase 1 Calendar'!$AF$5:$AF$300,"Core",'Phase 1 Calendar'!$W$5:$W$300,"Shot")+COUNTIFS('Phase 1 Calendar'!$D$5:$D$300,A22,'Phase 1 Calendar'!$AF$5:$AF$300,"Core",'Phase 1 Calendar'!$W$5:$W$300,"Edited")+COUNTIFS('Phase 1 Calendar'!$D$5:$D$300,A22,'Phase 1 Calendar'!$AF$5:$AF$300,"Core",'Phase 1 Calendar'!$W$5:$W$300,"Scheduled")+COUNTIFS('Phase 1 Calendar'!$D$5:$D$300,A22,'Phase 1 Calendar'!$AF$5:$AF$300,"Core",'Phase 1 Calendar'!$W$5:$W$300,"Posted")</x:f>
        <x:v>0</x:v>
      </x:c>
      <x:c r="N22" s="117" t="n">
        <x:f>COUNTIFS('Phase 1 Calendar'!$D$5:$D$300,A22,'Phase 1 Calendar'!$AF$5:$AF$300,"Core",'Phase 1 Calendar'!$W$5:$W$300,"Edited")+COUNTIFS('Phase 1 Calendar'!$D$5:$D$300,A22,'Phase 1 Calendar'!$AF$5:$AF$300,"Core",'Phase 1 Calendar'!$W$5:$W$300,"Scheduled")+COUNTIFS('Phase 1 Calendar'!$D$5:$D$300,A22,'Phase 1 Calendar'!$AF$5:$AF$300,"Core",'Phase 1 Calendar'!$W$5:$W$300,"Posted")</x:f>
        <x:v>0</x:v>
      </x:c>
      <x:c r="O22" s="117" t="n">
        <x:f>COUNTIFS('Phase 1 Calendar'!$D$5:$D$300,A22,'Phase 1 Calendar'!$AF$5:$AF$300,"Core",'Phase 1 Calendar'!$W$5:$W$300,"Scheduled")+COUNTIFS('Phase 1 Calendar'!$D$5:$D$300,A22,'Phase 1 Calendar'!$AF$5:$AF$300,"Core",'Phase 1 Calendar'!$W$5:$W$300,"Posted")</x:f>
        <x:v>0</x:v>
      </x:c>
      <x:c r="P22" s="117" t="n">
        <x:f>COUNTIFS('Phase 1 Calendar'!$D$5:$D$300,A22,'Phase 1 Calendar'!$AF$5:$AF$300,"Core",'Phase 1 Calendar'!$W$5:$W$300,"Posted")</x:f>
        <x:v>0</x:v>
      </x:c>
      <x:c r="Q22" s="117" t="n"/>
      <x:c r="R22" s="117" t="n"/>
    </x:row>
    <x:row r="23" ht="52" customHeight="1">
      <x:c r="A23" s="110" t="n">
        <x:v>19</x:v>
      </x:c>
      <x:c r="B23" s="109" t="n">
        <x:v>46377</x:v>
      </x:c>
      <x:c r="C23" s="110" t="inlineStr">
        <x:is>
          <x:t xml:space="preserve">Christmas week arrival-safe campaign</x:t>
        </x:is>
      </x:c>
      <x:c r="D23" s="110" t="n">
        <x:v>1</x:v>
      </x:c>
      <x:c r="E23" s="110" t="inlineStr">
        <x:is>
          <x:t xml:space="preserve">3</x:t>
        </x:is>
      </x:c>
      <x:c r="F23" s="110" t="inlineStr">
        <x:is>
          <x:t xml:space="preserve">0–1</x:t>
        </x:is>
      </x:c>
      <x:c r="G23" s="110" t="inlineStr">
        <x:is>
          <x:t xml:space="preserve">Optional</x:t>
        </x:is>
      </x:c>
      <x:c r="H23" s="110" t="inlineStr">
        <x:is>
          <x:t xml:space="preserve">1 field/recording block</x:t>
        </x:is>
      </x:c>
      <x:c r="I23" s="110" t="inlineStr">
        <x:is>
          <x:t xml:space="preserve">1 edit/schedule block</x:t>
        </x:is>
      </x:c>
      <x:c r="J23" s="110" t="inlineStr">
        <x:is>
          <x:t xml:space="preserve">Christmas travel window B-roll; Accident Assistant demo; Peter clip; branded checklist.</x:t>
        </x:is>
      </x:c>
      <x:c r="K23" s="110" t="n">
        <x:f>COUNTIFS('Phase 1 Calendar'!$D$5:$D$300,A23,'Phase 1 Calendar'!$AF$5:$AF$300,"Core")</x:f>
        <x:v>4</x:v>
      </x:c>
      <x:c r="L23" s="110" t="n">
        <x:f>COUNTIFS('Phase 1 Calendar'!$D$5:$D$300,A23,'Phase 1 Calendar'!$AF$5:$AF$300,"Core",'Phase 1 Calendar'!$X$5:$X$300,"Approved")+COUNTIFS('Phase 1 Calendar'!$D$5:$D$300,A23,'Phase 1 Calendar'!$AF$5:$AF$300,"Core",'Phase 1 Calendar'!$X$5:$X$300,"Filmed")+COUNTIFS('Phase 1 Calendar'!$D$5:$D$300,A23,'Phase 1 Calendar'!$AF$5:$AF$300,"Core",'Phase 1 Calendar'!$X$5:$X$300,"Cutdown Ready")</x:f>
        <x:v>0</x:v>
      </x:c>
      <x:c r="M23" s="110" t="n">
        <x:f>COUNTIFS('Phase 1 Calendar'!$D$5:$D$300,A23,'Phase 1 Calendar'!$AF$5:$AF$300,"Core",'Phase 1 Calendar'!$W$5:$W$300,"Shot")+COUNTIFS('Phase 1 Calendar'!$D$5:$D$300,A23,'Phase 1 Calendar'!$AF$5:$AF$300,"Core",'Phase 1 Calendar'!$W$5:$W$300,"Edited")+COUNTIFS('Phase 1 Calendar'!$D$5:$D$300,A23,'Phase 1 Calendar'!$AF$5:$AF$300,"Core",'Phase 1 Calendar'!$W$5:$W$300,"Scheduled")+COUNTIFS('Phase 1 Calendar'!$D$5:$D$300,A23,'Phase 1 Calendar'!$AF$5:$AF$300,"Core",'Phase 1 Calendar'!$W$5:$W$300,"Posted")</x:f>
        <x:v>0</x:v>
      </x:c>
      <x:c r="N23" s="110" t="n">
        <x:f>COUNTIFS('Phase 1 Calendar'!$D$5:$D$300,A23,'Phase 1 Calendar'!$AF$5:$AF$300,"Core",'Phase 1 Calendar'!$W$5:$W$300,"Edited")+COUNTIFS('Phase 1 Calendar'!$D$5:$D$300,A23,'Phase 1 Calendar'!$AF$5:$AF$300,"Core",'Phase 1 Calendar'!$W$5:$W$300,"Scheduled")+COUNTIFS('Phase 1 Calendar'!$D$5:$D$300,A23,'Phase 1 Calendar'!$AF$5:$AF$300,"Core",'Phase 1 Calendar'!$W$5:$W$300,"Posted")</x:f>
        <x:v>0</x:v>
      </x:c>
      <x:c r="O23" s="110" t="n">
        <x:f>COUNTIFS('Phase 1 Calendar'!$D$5:$D$300,A23,'Phase 1 Calendar'!$AF$5:$AF$300,"Core",'Phase 1 Calendar'!$W$5:$W$300,"Scheduled")+COUNTIFS('Phase 1 Calendar'!$D$5:$D$300,A23,'Phase 1 Calendar'!$AF$5:$AF$300,"Core",'Phase 1 Calendar'!$W$5:$W$300,"Posted")</x:f>
        <x:v>0</x:v>
      </x:c>
      <x:c r="P23" s="110" t="n">
        <x:f>COUNTIFS('Phase 1 Calendar'!$D$5:$D$300,A23,'Phase 1 Calendar'!$AF$5:$AF$300,"Core",'Phase 1 Calendar'!$W$5:$W$300,"Posted")</x:f>
        <x:v>0</x:v>
      </x:c>
      <x:c r="Q23" s="110" t="n"/>
      <x:c r="R23" s="110" t="n"/>
    </x:row>
    <x:row r="24" ht="52" customHeight="1">
      <x:c r="A24" s="117" t="n">
        <x:v>20</x:v>
      </x:c>
      <x:c r="B24" s="116" t="n">
        <x:v>46384</x:v>
      </x:c>
      <x:c r="C24" s="117" t="inlineStr">
        <x:is>
          <x:t xml:space="preserve">Year-end recap and sober-driving push</x:t>
        </x:is>
      </x:c>
      <x:c r="D24" s="117" t="n">
        <x:v>1</x:v>
      </x:c>
      <x:c r="E24" s="117" t="inlineStr">
        <x:is>
          <x:t xml:space="preserve">3</x:t>
        </x:is>
      </x:c>
      <x:c r="F24" s="117" t="inlineStr">
        <x:is>
          <x:t xml:space="preserve">0–1</x:t>
        </x:is>
      </x:c>
      <x:c r="G24" s="117" t="inlineStr">
        <x:is>
          <x:t xml:space="preserve">Optional</x:t>
        </x:is>
      </x:c>
      <x:c r="H24" s="117" t="inlineStr">
        <x:is>
          <x:t xml:space="preserve">1 field/recording block</x:t>
        </x:is>
      </x:c>
      <x:c r="I24" s="117" t="inlineStr">
        <x:is>
          <x:t xml:space="preserve">1 edit/schedule block</x:t>
        </x:is>
      </x:c>
      <x:c r="J24" s="117" t="inlineStr">
        <x:is>
          <x:t xml:space="preserve">New Year travel window B-roll; Alcoblow / sober-driving reminders demo; Peter clip; branded checklist.</x:t>
        </x:is>
      </x:c>
      <x:c r="K24" s="117" t="n">
        <x:f>COUNTIFS('Phase 1 Calendar'!$D$5:$D$300,A24,'Phase 1 Calendar'!$AF$5:$AF$300,"Core")</x:f>
        <x:v>3</x:v>
      </x:c>
      <x:c r="L24" s="117" t="n">
        <x:f>COUNTIFS('Phase 1 Calendar'!$D$5:$D$300,A24,'Phase 1 Calendar'!$AF$5:$AF$300,"Core",'Phase 1 Calendar'!$X$5:$X$300,"Approved")+COUNTIFS('Phase 1 Calendar'!$D$5:$D$300,A24,'Phase 1 Calendar'!$AF$5:$AF$300,"Core",'Phase 1 Calendar'!$X$5:$X$300,"Filmed")+COUNTIFS('Phase 1 Calendar'!$D$5:$D$300,A24,'Phase 1 Calendar'!$AF$5:$AF$300,"Core",'Phase 1 Calendar'!$X$5:$X$300,"Cutdown Ready")</x:f>
        <x:v>0</x:v>
      </x:c>
      <x:c r="M24" s="117" t="n">
        <x:f>COUNTIFS('Phase 1 Calendar'!$D$5:$D$300,A24,'Phase 1 Calendar'!$AF$5:$AF$300,"Core",'Phase 1 Calendar'!$W$5:$W$300,"Shot")+COUNTIFS('Phase 1 Calendar'!$D$5:$D$300,A24,'Phase 1 Calendar'!$AF$5:$AF$300,"Core",'Phase 1 Calendar'!$W$5:$W$300,"Edited")+COUNTIFS('Phase 1 Calendar'!$D$5:$D$300,A24,'Phase 1 Calendar'!$AF$5:$AF$300,"Core",'Phase 1 Calendar'!$W$5:$W$300,"Scheduled")+COUNTIFS('Phase 1 Calendar'!$D$5:$D$300,A24,'Phase 1 Calendar'!$AF$5:$AF$300,"Core",'Phase 1 Calendar'!$W$5:$W$300,"Posted")</x:f>
        <x:v>0</x:v>
      </x:c>
      <x:c r="N24" s="117" t="n">
        <x:f>COUNTIFS('Phase 1 Calendar'!$D$5:$D$300,A24,'Phase 1 Calendar'!$AF$5:$AF$300,"Core",'Phase 1 Calendar'!$W$5:$W$300,"Edited")+COUNTIFS('Phase 1 Calendar'!$D$5:$D$300,A24,'Phase 1 Calendar'!$AF$5:$AF$300,"Core",'Phase 1 Calendar'!$W$5:$W$300,"Scheduled")+COUNTIFS('Phase 1 Calendar'!$D$5:$D$300,A24,'Phase 1 Calendar'!$AF$5:$AF$300,"Core",'Phase 1 Calendar'!$W$5:$W$300,"Posted")</x:f>
        <x:v>0</x:v>
      </x:c>
      <x:c r="O24" s="117" t="n">
        <x:f>COUNTIFS('Phase 1 Calendar'!$D$5:$D$300,A24,'Phase 1 Calendar'!$AF$5:$AF$300,"Core",'Phase 1 Calendar'!$W$5:$W$300,"Scheduled")+COUNTIFS('Phase 1 Calendar'!$D$5:$D$300,A24,'Phase 1 Calendar'!$AF$5:$AF$300,"Core",'Phase 1 Calendar'!$W$5:$W$300,"Posted")</x:f>
        <x:v>0</x:v>
      </x:c>
      <x:c r="P24" s="117" t="n">
        <x:f>COUNTIFS('Phase 1 Calendar'!$D$5:$D$300,A24,'Phase 1 Calendar'!$AF$5:$AF$300,"Core",'Phase 1 Calendar'!$W$5:$W$300,"Posted")</x:f>
        <x:v>0</x:v>
      </x:c>
      <x:c r="Q24" s="117" t="n"/>
      <x:c r="R24" s="117" t="n"/>
    </x:row>
  </x:sheetData>
  <x:mergeCells>
    <x:mergeCell ref="A2:R2"/>
    <x:mergeCell ref="A1:R1"/>
  </x:mergeCells>
  <x:conditionalFormatting sqref="L5:L24">
    <x:cfRule type="cellIs" dxfId="11" priority="1" operator="greaterThanOrEqual">
      <x:formula>5</x:formula>
    </x:cfRule>
    <x:cfRule type="cellIs" dxfId="13" priority="2" operator="lessThan">
      <x:formula>2</x:formula>
    </x:cfRule>
  </x:conditionalFormatting>
  <x:conditionalFormatting sqref="M5:M24">
    <x:cfRule type="cellIs" dxfId="11" priority="3" operator="greaterThanOrEqual">
      <x:formula>5</x:formula>
    </x:cfRule>
    <x:cfRule type="cellIs" dxfId="13" priority="4" operator="lessThan">
      <x:formula>2</x:formula>
    </x:cfRule>
  </x:conditionalFormatting>
  <x:conditionalFormatting sqref="N5:N24">
    <x:cfRule type="cellIs" dxfId="11" priority="5" operator="greaterThanOrEqual">
      <x:formula>5</x:formula>
    </x:cfRule>
    <x:cfRule type="cellIs" dxfId="13" priority="6" operator="lessThan">
      <x:formula>2</x:formula>
    </x:cfRule>
  </x:conditionalFormatting>
  <x:conditionalFormatting sqref="O5:O24">
    <x:cfRule type="cellIs" dxfId="11" priority="7" operator="greaterThanOrEqual">
      <x:formula>5</x:formula>
    </x:cfRule>
    <x:cfRule type="cellIs" dxfId="13" priority="8" operator="lessThan">
      <x:formula>2</x:formula>
    </x:cfRule>
  </x:conditionalFormatting>
  <x:conditionalFormatting sqref="P5:P24">
    <x:cfRule type="cellIs" dxfId="11" priority="9" operator="greaterThanOrEqual">
      <x:formula>5</x:formula>
    </x:cfRule>
    <x:cfRule type="cellIs" dxfId="13" priority="10" operator="lessThan">
      <x:formula>2</x:formula>
    </x:cfRule>
  </x:conditionalFormatting>
  <x:dataValidations count="1">
    <x:dataValidation type="list" allowBlank="1" showDropDown="0" showInputMessage="0" showErrorMessage="0" sqref="Q5:Q24">
      <x:formula1>"None,Waiting on footage,Waiting on edit,Need Peter,Need approval,Need asset,Other"</x:formula1>
    </x:dataValidation>
  </x:dataValidations>
  <x:pageMargins left="0.7" right="0.7" top="0.75" bottom="0.75" header="0.3" footer="0.3"/>
  <x:legacyDrawing xmlns:r="http://schemas.openxmlformats.org/officeDocument/2006/relationships" r:id="R4d0c2c0e960a4c9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52" customWidth="1"/>
    <x:col min="4" max="4" width="26" customWidth="1"/>
    <x:col min="5" max="5" width="36" customWidth="1"/>
    <x:col min="6" max="6" width="36" customWidth="1"/>
    <x:col min="7" max="7" width="16" customWidth="1"/>
    <x:col min="8" max="8" width="22" customWidth="1"/>
    <x:col min="9" max="9" width="44" customWidth="1"/>
    <x:col min="10" max="10" width="14" customWidth="1"/>
    <x:col min="11" max="11" width="34" customWidth="1"/>
    <x:col min="12" max="12" width="44" customWidth="1"/>
  </x:cols>
  <x:sheetData>
    <x:row r="1" ht="28" customHeight="1">
      <x:c r="A1" s="106" t="inlineStr">
        <x:is>
          <x:t xml:space="preserve">EXPERIMENT BACKLOG</x:t>
        </x:is>
      </x:c>
    </x:row>
    <x:row r="2" ht="34" customHeight="1">
      <x:c r="A2" s="107" t="inlineStr">
        <x:is>
          <x:t xml:space="preserve">Weekly tests to keep improving without changing too many variables at once.</x:t>
        </x:is>
      </x:c>
    </x:row>
    <x:row r="3"/>
    <x:row r="4" ht="36" customHeight="1">
      <x:c r="A4" s="108" t="inlineStr">
        <x:is>
          <x:t xml:space="preserve">ID</x:t>
        </x:is>
      </x:c>
      <x:c r="B4" s="108" t="inlineStr">
        <x:is>
          <x:t xml:space="preserve">Week #</x:t>
        </x:is>
      </x:c>
      <x:c r="C4" s="108" t="inlineStr">
        <x:is>
          <x:t xml:space="preserve">Hypothesis</x:t>
        </x:is>
      </x:c>
      <x:c r="D4" s="108" t="inlineStr">
        <x:is>
          <x:t xml:space="preserve">Content Variable</x:t>
        </x:is>
      </x:c>
      <x:c r="E4" s="108" t="inlineStr">
        <x:is>
          <x:t xml:space="preserve">Test A</x:t>
        </x:is>
      </x:c>
      <x:c r="F4" s="108" t="inlineStr">
        <x:is>
          <x:t xml:space="preserve">Test B</x:t>
        </x:is>
      </x:c>
      <x:c r="G4" s="108" t="inlineStr">
        <x:is>
          <x:t xml:space="preserve">Minimum Posts</x:t>
        </x:is>
      </x:c>
      <x:c r="H4" s="108" t="inlineStr">
        <x:is>
          <x:t xml:space="preserve">Primary KPI</x:t>
        </x:is>
      </x:c>
      <x:c r="I4" s="108" t="inlineStr">
        <x:is>
          <x:t xml:space="preserve">Success Rule</x:t>
        </x:is>
      </x:c>
      <x:c r="J4" s="108" t="inlineStr">
        <x:is>
          <x:t xml:space="preserve">Status</x:t>
        </x:is>
      </x:c>
      <x:c r="K4" s="108" t="inlineStr">
        <x:is>
          <x:t xml:space="preserve">Result</x:t>
        </x:is>
      </x:c>
      <x:c r="L4" s="108" t="inlineStr">
        <x:is>
          <x:t xml:space="preserve">Decision / Next Move</x:t>
        </x:is>
      </x:c>
    </x:row>
    <x:row r="5" ht="54" customHeight="1">
      <x:c r="A5" s="110" t="n">
        <x:v>1</x:v>
      </x:c>
      <x:c r="B5" s="110" t="n">
        <x:v>1</x:v>
      </x:c>
      <x:c r="C5" s="110" t="inlineStr">
        <x:is>
          <x:t xml:space="preserve">Direct road hook beats brand hook for new viewers.</x:t>
        </x:is>
      </x:c>
      <x:c r="D5" s="110" t="inlineStr">
        <x:is>
          <x:t xml:space="preserve">Hook wording</x:t>
        </x:is>
      </x:c>
      <x:c r="E5" s="110" t="inlineStr">
        <x:is>
          <x:t xml:space="preserve">“We tested this road...”</x:t>
        </x:is>
      </x:c>
      <x:c r="F5" s="110" t="inlineStr">
        <x:is>
          <x:t xml:space="preserve">“Msafiri helps you...”</x:t>
        </x:is>
      </x:c>
      <x:c r="G5" s="110" t="inlineStr">
        <x:is>
          <x:t xml:space="preserve">4 posts</x:t>
        </x:is>
      </x:c>
      <x:c r="H5" s="110" t="inlineStr">
        <x:is>
          <x:t xml:space="preserve">3-second hold</x:t>
        </x:is>
      </x:c>
      <x:c r="I5" s="110" t="inlineStr">
        <x:is>
          <x:t xml:space="preserve">Winner has 15%+ higher 3-sec hold.</x:t>
        </x:is>
      </x:c>
      <x:c r="J5" s="110" t="inlineStr">
        <x:is>
          <x:t xml:space="preserve">Planned</x:t>
        </x:is>
      </x:c>
      <x:c r="K5" s="110" t="n"/>
      <x:c r="L5" s="110" t="n"/>
    </x:row>
    <x:row r="6" ht="54" customHeight="1">
      <x:c r="A6" s="117" t="n">
        <x:v>2</x:v>
      </x:c>
      <x:c r="B6" s="117" t="n">
        <x:v>2</x:v>
      </x:c>
      <x:c r="C6" s="117" t="inlineStr">
        <x:is>
          <x:t xml:space="preserve">Problem-first demos get more store clicks than feature-first demos.</x:t>
        </x:is>
      </x:c>
      <x:c r="D6" s="117" t="inlineStr">
        <x:is>
          <x:t xml:space="preserve">Opening sequence</x:t>
        </x:is>
      </x:c>
      <x:c r="E6" s="117" t="inlineStr">
        <x:is>
          <x:t xml:space="preserve">Problem moment first</x:t>
        </x:is>
      </x:c>
      <x:c r="F6" s="117" t="inlineStr">
        <x:is>
          <x:t xml:space="preserve">Feature screen first</x:t>
        </x:is>
      </x:c>
      <x:c r="G6" s="117" t="inlineStr">
        <x:is>
          <x:t xml:space="preserve">4 posts</x:t>
        </x:is>
      </x:c>
      <x:c r="H6" s="117" t="inlineStr">
        <x:is>
          <x:t xml:space="preserve">App store clicks</x:t>
        </x:is>
      </x:c>
      <x:c r="I6" s="117" t="inlineStr">
        <x:is>
          <x:t xml:space="preserve">Winner has higher clicks per 1K views.</x:t>
        </x:is>
      </x:c>
      <x:c r="J6" s="117" t="inlineStr">
        <x:is>
          <x:t xml:space="preserve">Planned</x:t>
        </x:is>
      </x:c>
      <x:c r="K6" s="117" t="n"/>
      <x:c r="L6" s="117" t="n"/>
    </x:row>
    <x:row r="7" ht="54" customHeight="1">
      <x:c r="A7" s="110" t="n">
        <x:v>3</x:v>
      </x:c>
      <x:c r="B7" s="110" t="n">
        <x:v>3</x:v>
      </x:c>
      <x:c r="C7" s="110" t="inlineStr">
        <x:is>
          <x:t xml:space="preserve">Peter on camera increases trust metrics.</x:t>
        </x:is>
      </x:c>
      <x:c r="D7" s="110" t="inlineStr">
        <x:is>
          <x:t xml:space="preserve">Presenter</x:t>
        </x:is>
      </x:c>
      <x:c r="E7" s="110" t="inlineStr">
        <x:is>
          <x:t xml:space="preserve">Peter explains</x:t>
        </x:is>
      </x:c>
      <x:c r="F7" s="110" t="inlineStr">
        <x:is>
          <x:t xml:space="preserve">Voiceover only</x:t>
        </x:is>
      </x:c>
      <x:c r="G7" s="110" t="inlineStr">
        <x:is>
          <x:t xml:space="preserve">3 posts</x:t>
        </x:is>
      </x:c>
      <x:c r="H7" s="110" t="inlineStr">
        <x:is>
          <x:t xml:space="preserve">Profile visits</x:t>
        </x:is>
      </x:c>
      <x:c r="I7" s="110" t="inlineStr">
        <x:is>
          <x:t xml:space="preserve">Winner drives higher profile visits.</x:t>
        </x:is>
      </x:c>
      <x:c r="J7" s="110" t="inlineStr">
        <x:is>
          <x:t xml:space="preserve">Planned</x:t>
        </x:is>
      </x:c>
      <x:c r="K7" s="110" t="n"/>
      <x:c r="L7" s="110" t="n"/>
    </x:row>
    <x:row r="8" ht="54" customHeight="1">
      <x:c r="A8" s="117" t="n">
        <x:v>4</x:v>
      </x:c>
      <x:c r="B8" s="117" t="n">
        <x:v>4</x:v>
      </x:c>
      <x:c r="C8" s="117" t="inlineStr">
        <x:is>
          <x:t xml:space="preserve">Checklist final frame increases saves.</x:t>
        </x:is>
      </x:c>
      <x:c r="D8" s="117" t="inlineStr">
        <x:is>
          <x:t xml:space="preserve">End frame</x:t>
        </x:is>
      </x:c>
      <x:c r="E8" s="117" t="inlineStr">
        <x:is>
          <x:t xml:space="preserve">Final recap card</x:t>
        </x:is>
      </x:c>
      <x:c r="F8" s="117" t="inlineStr">
        <x:is>
          <x:t xml:space="preserve">No recap card</x:t>
        </x:is>
      </x:c>
      <x:c r="G8" s="117" t="inlineStr">
        <x:is>
          <x:t xml:space="preserve">4 posts</x:t>
        </x:is>
      </x:c>
      <x:c r="H8" s="117" t="inlineStr">
        <x:is>
          <x:t xml:space="preserve">Saves</x:t>
        </x:is>
      </x:c>
      <x:c r="I8" s="117" t="inlineStr">
        <x:is>
          <x:t xml:space="preserve">Winner has higher saves per 1K views.</x:t>
        </x:is>
      </x:c>
      <x:c r="J8" s="117" t="inlineStr">
        <x:is>
          <x:t xml:space="preserve">Planned</x:t>
        </x:is>
      </x:c>
      <x:c r="K8" s="117" t="n"/>
      <x:c r="L8" s="117" t="n"/>
    </x:row>
    <x:row r="9" ht="54" customHeight="1">
      <x:c r="A9" s="110" t="n">
        <x:v>5</x:v>
      </x:c>
      <x:c r="B9" s="110" t="n">
        <x:v>5</x:v>
      </x:c>
      <x:c r="C9" s="110" t="inlineStr">
        <x:is>
          <x:t xml:space="preserve">Street interview responses increase comments.</x:t>
        </x:is>
      </x:c>
      <x:c r="D9" s="110" t="inlineStr">
        <x:is>
          <x:t xml:space="preserve">Format</x:t>
        </x:is>
      </x:c>
      <x:c r="E9" s="110" t="inlineStr">
        <x:is>
          <x:t xml:space="preserve">Street interview</x:t>
        </x:is>
      </x:c>
      <x:c r="F9" s="110" t="inlineStr">
        <x:is>
          <x:t xml:space="preserve">Founder question</x:t>
        </x:is>
      </x:c>
      <x:c r="G9" s="110" t="inlineStr">
        <x:is>
          <x:t xml:space="preserve">3 posts</x:t>
        </x:is>
      </x:c>
      <x:c r="H9" s="110" t="inlineStr">
        <x:is>
          <x:t xml:space="preserve">Comments per 1K views</x:t>
        </x:is>
      </x:c>
      <x:c r="I9" s="110" t="inlineStr">
        <x:is>
          <x:t xml:space="preserve">Winner gets higher comment quality.</x:t>
        </x:is>
      </x:c>
      <x:c r="J9" s="110" t="inlineStr">
        <x:is>
          <x:t xml:space="preserve">Planned</x:t>
        </x:is>
      </x:c>
      <x:c r="K9" s="110" t="n"/>
      <x:c r="L9" s="110" t="n"/>
    </x:row>
    <x:row r="10" ht="54" customHeight="1">
      <x:c r="A10" s="117" t="n">
        <x:v>6</x:v>
      </x:c>
      <x:c r="B10" s="117" t="n">
        <x:v>6</x:v>
      </x:c>
      <x:c r="C10" s="117" t="inlineStr">
        <x:is>
          <x:t xml:space="preserve">Shorter videos improve completion without hurting clicks.</x:t>
        </x:is>
      </x:c>
      <x:c r="D10" s="117" t="inlineStr">
        <x:is>
          <x:t xml:space="preserve">Length</x:t>
        </x:is>
      </x:c>
      <x:c r="E10" s="117" t="inlineStr">
        <x:is>
          <x:t xml:space="preserve">20–30 sec</x:t>
        </x:is>
      </x:c>
      <x:c r="F10" s="117" t="inlineStr">
        <x:is>
          <x:t xml:space="preserve">45–60 sec</x:t>
        </x:is>
      </x:c>
      <x:c r="G10" s="117" t="inlineStr">
        <x:is>
          <x:t xml:space="preserve">4 posts</x:t>
        </x:is>
      </x:c>
      <x:c r="H10" s="117" t="inlineStr">
        <x:is>
          <x:t xml:space="preserve">Completion rate</x:t>
        </x:is>
      </x:c>
      <x:c r="I10" s="117" t="inlineStr">
        <x:is>
          <x:t xml:space="preserve">Choose if completion increases and clicks stay stable.</x:t>
        </x:is>
      </x:c>
      <x:c r="J10" s="117" t="inlineStr">
        <x:is>
          <x:t xml:space="preserve">Planned</x:t>
        </x:is>
      </x:c>
      <x:c r="K10" s="117" t="n"/>
      <x:c r="L10" s="117" t="n"/>
    </x:row>
    <x:row r="11" ht="54" customHeight="1">
      <x:c r="A11" s="110" t="n">
        <x:v>7</x:v>
      </x:c>
      <x:c r="B11" s="110" t="n">
        <x:v>7</x:v>
      </x:c>
      <x:c r="C11" s="110" t="inlineStr">
        <x:is>
          <x:t xml:space="preserve">Route-name specificity increases shares.</x:t>
        </x:is>
      </x:c>
      <x:c r="D11" s="110" t="inlineStr">
        <x:is>
          <x:t xml:space="preserve">Specificity</x:t>
        </x:is>
      </x:c>
      <x:c r="E11" s="110" t="inlineStr">
        <x:is>
          <x:t xml:space="preserve">Named route</x:t>
        </x:is>
      </x:c>
      <x:c r="F11" s="110" t="inlineStr">
        <x:is>
          <x:t xml:space="preserve">Generic commute</x:t>
        </x:is>
      </x:c>
      <x:c r="G11" s="110" t="inlineStr">
        <x:is>
          <x:t xml:space="preserve">4 posts</x:t>
        </x:is>
      </x:c>
      <x:c r="H11" s="110" t="inlineStr">
        <x:is>
          <x:t xml:space="preserve">Shares per 1K views</x:t>
        </x:is>
      </x:c>
      <x:c r="I11" s="110" t="inlineStr">
        <x:is>
          <x:t xml:space="preserve">Winner has higher shares and comments.</x:t>
        </x:is>
      </x:c>
      <x:c r="J11" s="110" t="inlineStr">
        <x:is>
          <x:t xml:space="preserve">Planned</x:t>
        </x:is>
      </x:c>
      <x:c r="K11" s="110" t="n"/>
      <x:c r="L11" s="110" t="n"/>
    </x:row>
    <x:row r="12" ht="54" customHeight="1">
      <x:c r="A12" s="117" t="n">
        <x:v>8</x:v>
      </x:c>
      <x:c r="B12" s="117" t="n">
        <x:v>8</x:v>
      </x:c>
      <x:c r="C12" s="117" t="inlineStr">
        <x:is>
          <x:t xml:space="preserve">Emotional family CTA beats product CTA in seasonal content.</x:t>
        </x:is>
      </x:c>
      <x:c r="D12" s="117" t="inlineStr">
        <x:is>
          <x:t xml:space="preserve">CTA</x:t>
        </x:is>
      </x:c>
      <x:c r="E12" s="117" t="inlineStr">
        <x:is>
          <x:t xml:space="preserve">Share with family driver</x:t>
        </x:is>
      </x:c>
      <x:c r="F12" s="117" t="inlineStr">
        <x:is>
          <x:t xml:space="preserve">Download Msafiri</x:t>
        </x:is>
      </x:c>
      <x:c r="G12" s="117" t="inlineStr">
        <x:is>
          <x:t xml:space="preserve">3 posts</x:t>
        </x:is>
      </x:c>
      <x:c r="H12" s="117" t="inlineStr">
        <x:is>
          <x:t xml:space="preserve">Shares</x:t>
        </x:is>
      </x:c>
      <x:c r="I12" s="117" t="inlineStr">
        <x:is>
          <x:t xml:space="preserve">Use emotional CTA around holidays if stronger.</x:t>
        </x:is>
      </x:c>
      <x:c r="J12" s="117" t="inlineStr">
        <x:is>
          <x:t xml:space="preserve">Planned</x:t>
        </x:is>
      </x:c>
      <x:c r="K12" s="117" t="n"/>
      <x:c r="L12" s="117" t="n"/>
    </x:row>
    <x:row r="13" ht="54" customHeight="1">
      <x:c r="A13" s="110" t="n">
        <x:v>9</x:v>
      </x:c>
      <x:c r="B13" s="110" t="n">
        <x:v>9</x:v>
      </x:c>
      <x:c r="C13" s="110" t="inlineStr">
        <x:is>
          <x:t xml:space="preserve">Screen-record captions improve feature comprehension.</x:t>
        </x:is>
      </x:c>
      <x:c r="D13" s="110" t="inlineStr">
        <x:is>
          <x:t xml:space="preserve">Captions</x:t>
        </x:is>
      </x:c>
      <x:c r="E13" s="110" t="inlineStr">
        <x:is>
          <x:t xml:space="preserve">Tap-by-tap captions</x:t>
        </x:is>
      </x:c>
      <x:c r="F13" s="110" t="inlineStr">
        <x:is>
          <x:t xml:space="preserve">Minimal captions</x:t>
        </x:is>
      </x:c>
      <x:c r="G13" s="110" t="inlineStr">
        <x:is>
          <x:t xml:space="preserve">3 posts</x:t>
        </x:is>
      </x:c>
      <x:c r="H13" s="110" t="inlineStr">
        <x:is>
          <x:t xml:space="preserve">Comments/questions</x:t>
        </x:is>
      </x:c>
      <x:c r="I13" s="110" t="inlineStr">
        <x:is>
          <x:t xml:space="preserve">Winner reduces confusion comments.</x:t>
        </x:is>
      </x:c>
      <x:c r="J13" s="110" t="inlineStr">
        <x:is>
          <x:t xml:space="preserve">Planned</x:t>
        </x:is>
      </x:c>
      <x:c r="K13" s="110" t="n"/>
      <x:c r="L13" s="110" t="n"/>
    </x:row>
    <x:row r="14" ht="54" customHeight="1">
      <x:c r="A14" s="117" t="n">
        <x:v>10</x:v>
      </x:c>
      <x:c r="B14" s="117" t="n">
        <x:v>10</x:v>
      </x:c>
      <x:c r="C14" s="117" t="inlineStr">
        <x:is>
          <x:t xml:space="preserve">Comment-to-video creates repeat engagement.</x:t>
        </x:is>
      </x:c>
      <x:c r="D14" s="117" t="inlineStr">
        <x:is>
          <x:t xml:space="preserve">Community loop</x:t>
        </x:is>
      </x:c>
      <x:c r="E14" s="117" t="inlineStr">
        <x:is>
          <x:t xml:space="preserve">Reply with video</x:t>
        </x:is>
      </x:c>
      <x:c r="F14" s="117" t="inlineStr">
        <x:is>
          <x:t xml:space="preserve">Text reply only</x:t>
        </x:is>
      </x:c>
      <x:c r="G14" s="117" t="inlineStr">
        <x:is>
          <x:t xml:space="preserve">4 comments</x:t>
        </x:is>
      </x:c>
      <x:c r="H14" s="117" t="inlineStr">
        <x:is>
          <x:t xml:space="preserve">Follow-up comments</x:t>
        </x:is>
      </x:c>
      <x:c r="I14" s="117" t="inlineStr">
        <x:is>
          <x:t xml:space="preserve">Winner gets more second comments and follows.</x:t>
        </x:is>
      </x:c>
      <x:c r="J14" s="117" t="inlineStr">
        <x:is>
          <x:t xml:space="preserve">Planned</x:t>
        </x:is>
      </x:c>
      <x:c r="K14" s="117" t="n"/>
      <x:c r="L14" s="117" t="n"/>
    </x:row>
    <x:row r="15" ht="54" customHeight="1">
      <x:c r="A15" s="110" t="n">
        <x:v>11</x:v>
      </x:c>
      <x:c r="B15" s="110" t="n">
        <x:v>11</x:v>
      </x:c>
      <x:c r="C15" s="110" t="inlineStr">
        <x:is>
          <x:t xml:space="preserve">Poll stickers identify better weekly themes.</x:t>
        </x:is>
      </x:c>
      <x:c r="D15" s="110" t="inlineStr">
        <x:is>
          <x:t xml:space="preserve">Interactive feature</x:t>
        </x:is>
      </x:c>
      <x:c r="E15" s="110" t="inlineStr">
        <x:is>
          <x:t xml:space="preserve">Poll story</x:t>
        </x:is>
      </x:c>
      <x:c r="F15" s="110" t="inlineStr">
        <x:is>
          <x:t xml:space="preserve">No poll</x:t>
        </x:is>
      </x:c>
      <x:c r="G15" s="110" t="inlineStr">
        <x:is>
          <x:t xml:space="preserve">2 weeks</x:t>
        </x:is>
      </x:c>
      <x:c r="H15" s="110" t="inlineStr">
        <x:is>
          <x:t xml:space="preserve">Responses</x:t>
        </x:is>
      </x:c>
      <x:c r="I15" s="110" t="inlineStr">
        <x:is>
          <x:t xml:space="preserve">Use poll if responses produce content ideas.</x:t>
        </x:is>
      </x:c>
      <x:c r="J15" s="110" t="inlineStr">
        <x:is>
          <x:t xml:space="preserve">Planned</x:t>
        </x:is>
      </x:c>
      <x:c r="K15" s="110" t="n"/>
      <x:c r="L15" s="110" t="n"/>
    </x:row>
    <x:row r="16" ht="54" customHeight="1">
      <x:c r="A16" s="117" t="n">
        <x:v>12</x:v>
      </x:c>
      <x:c r="B16" s="117" t="n">
        <x:v>12</x:v>
      </x:c>
      <x:c r="C16" s="117" t="inlineStr">
        <x:is>
          <x:t xml:space="preserve">Cinematic road POV earns watch time but practical POV earns saves.</x:t>
        </x:is>
      </x:c>
      <x:c r="D16" s="117" t="inlineStr">
        <x:is>
          <x:t xml:space="preserve">Visual style</x:t>
        </x:is>
      </x:c>
      <x:c r="E16" s="117" t="inlineStr">
        <x:is>
          <x:t xml:space="preserve">Cinematic</x:t>
        </x:is>
      </x:c>
      <x:c r="F16" s="117" t="inlineStr">
        <x:is>
          <x:t xml:space="preserve">Checklist practical</x:t>
        </x:is>
      </x:c>
      <x:c r="G16" s="117" t="inlineStr">
        <x:is>
          <x:t xml:space="preserve">4 posts</x:t>
        </x:is>
      </x:c>
      <x:c r="H16" s="117" t="inlineStr">
        <x:is>
          <x:t xml:space="preserve">Watch time + saves</x:t>
        </x:is>
      </x:c>
      <x:c r="I16" s="117" t="inlineStr">
        <x:is>
          <x:t xml:space="preserve">Use each based on objective.</x:t>
        </x:is>
      </x:c>
      <x:c r="J16" s="117" t="inlineStr">
        <x:is>
          <x:t xml:space="preserve">Planned</x:t>
        </x:is>
      </x:c>
      <x:c r="K16" s="117" t="n"/>
      <x:c r="L16" s="117" t="n"/>
    </x:row>
    <x:row r="17" ht="54" customHeight="1">
      <x:c r="A17" s="110" t="n">
        <x:v>13</x:v>
      </x:c>
      <x:c r="B17" s="110" t="n">
        <x:v>13</x:v>
      </x:c>
      <x:c r="C17" s="110" t="inlineStr">
        <x:is>
          <x:t xml:space="preserve">Accident scenario with calm tone performs better than dramatic tone.</x:t>
        </x:is>
      </x:c>
      <x:c r="D17" s="110" t="inlineStr">
        <x:is>
          <x:t xml:space="preserve">Tone</x:t>
        </x:is>
      </x:c>
      <x:c r="E17" s="110" t="inlineStr">
        <x:is>
          <x:t xml:space="preserve">Calm practical</x:t>
        </x:is>
      </x:c>
      <x:c r="F17" s="110" t="inlineStr">
        <x:is>
          <x:t xml:space="preserve">High-drama</x:t>
        </x:is>
      </x:c>
      <x:c r="G17" s="110" t="inlineStr">
        <x:is>
          <x:t xml:space="preserve">3 posts</x:t>
        </x:is>
      </x:c>
      <x:c r="H17" s="110" t="inlineStr">
        <x:is>
          <x:t xml:space="preserve">Saves/sentiment</x:t>
        </x:is>
      </x:c>
      <x:c r="I17" s="110" t="inlineStr">
        <x:is>
          <x:t xml:space="preserve">Only keep drama if sentiment remains positive.</x:t>
        </x:is>
      </x:c>
      <x:c r="J17" s="110" t="inlineStr">
        <x:is>
          <x:t xml:space="preserve">Planned</x:t>
        </x:is>
      </x:c>
      <x:c r="K17" s="110" t="n"/>
      <x:c r="L17" s="110" t="n"/>
    </x:row>
    <x:row r="18" ht="54" customHeight="1">
      <x:c r="A18" s="117" t="n">
        <x:v>14</x:v>
      </x:c>
      <x:c r="B18" s="117" t="n">
        <x:v>14</x:v>
      </x:c>
      <x:c r="C18" s="117" t="inlineStr">
        <x:is>
          <x:t xml:space="preserve">Founder vulnerability increases follow rate.</x:t>
        </x:is>
      </x:c>
      <x:c r="D18" s="117" t="inlineStr">
        <x:is>
          <x:t xml:space="preserve">Founder angle</x:t>
        </x:is>
      </x:c>
      <x:c r="E18" s="117" t="inlineStr">
        <x:is>
          <x:t xml:space="preserve">Mistake/lesson</x:t>
        </x:is>
      </x:c>
      <x:c r="F18" s="117" t="inlineStr">
        <x:is>
          <x:t xml:space="preserve">Polished update</x:t>
        </x:is>
      </x:c>
      <x:c r="G18" s="117" t="inlineStr">
        <x:is>
          <x:t xml:space="preserve">3 posts</x:t>
        </x:is>
      </x:c>
      <x:c r="H18" s="117" t="inlineStr">
        <x:is>
          <x:t xml:space="preserve">Follower growth</x:t>
        </x:is>
      </x:c>
      <x:c r="I18" s="117" t="inlineStr">
        <x:is>
          <x:t xml:space="preserve">Use vulnerability if follows/profile visits rise.</x:t>
        </x:is>
      </x:c>
      <x:c r="J18" s="117" t="inlineStr">
        <x:is>
          <x:t xml:space="preserve">Planned</x:t>
        </x:is>
      </x:c>
      <x:c r="K18" s="117" t="n"/>
      <x:c r="L18" s="117" t="n"/>
    </x:row>
    <x:row r="19" ht="54" customHeight="1">
      <x:c r="A19" s="110" t="n">
        <x:v>15</x:v>
      </x:c>
      <x:c r="B19" s="110" t="n">
        <x:v>15</x:v>
      </x:c>
      <x:c r="C19" s="110" t="inlineStr">
        <x:is>
          <x:t xml:space="preserve">UGC prompts work better with examples.</x:t>
        </x:is>
      </x:c>
      <x:c r="D19" s="110" t="inlineStr">
        <x:is>
          <x:t xml:space="preserve">Prompt design</x:t>
        </x:is>
      </x:c>
      <x:c r="E19" s="110" t="inlineStr">
        <x:is>
          <x:t xml:space="preserve">Prompt + sample answer</x:t>
        </x:is>
      </x:c>
      <x:c r="F19" s="110" t="inlineStr">
        <x:is>
          <x:t xml:space="preserve">Prompt only</x:t>
        </x:is>
      </x:c>
      <x:c r="G19" s="110" t="inlineStr">
        <x:is>
          <x:t xml:space="preserve">3 posts</x:t>
        </x:is>
      </x:c>
      <x:c r="H19" s="110" t="inlineStr">
        <x:is>
          <x:t xml:space="preserve">Comment rate</x:t>
        </x:is>
      </x:c>
      <x:c r="I19" s="110" t="inlineStr">
        <x:is>
          <x:t xml:space="preserve">Winner gets more usable comments.</x:t>
        </x:is>
      </x:c>
      <x:c r="J19" s="110" t="inlineStr">
        <x:is>
          <x:t xml:space="preserve">Planned</x:t>
        </x:is>
      </x:c>
      <x:c r="K19" s="110" t="n"/>
      <x:c r="L19" s="110" t="n"/>
    </x:row>
    <x:row r="20" ht="54" customHeight="1">
      <x:c r="A20" s="117" t="n">
        <x:v>16</x:v>
      </x:c>
      <x:c r="B20" s="117" t="n">
        <x:v>16</x:v>
      </x:c>
      <x:c r="C20" s="117" t="inlineStr">
        <x:is>
          <x:t xml:space="preserve">Feature combo content drives more conversion than single feature.</x:t>
        </x:is>
      </x:c>
      <x:c r="D20" s="117" t="inlineStr">
        <x:is>
          <x:t xml:space="preserve">Feature bundle</x:t>
        </x:is>
      </x:c>
      <x:c r="E20" s="117" t="inlineStr">
        <x:is>
          <x:t xml:space="preserve">Two features</x:t>
        </x:is>
      </x:c>
      <x:c r="F20" s="117" t="inlineStr">
        <x:is>
          <x:t xml:space="preserve">One feature</x:t>
        </x:is>
      </x:c>
      <x:c r="G20" s="117" t="inlineStr">
        <x:is>
          <x:t xml:space="preserve">4 posts</x:t>
        </x:is>
      </x:c>
      <x:c r="H20" s="117" t="inlineStr">
        <x:is>
          <x:t xml:space="preserve">Store clicks</x:t>
        </x:is>
      </x:c>
      <x:c r="I20" s="117" t="inlineStr">
        <x:is>
          <x:t xml:space="preserve">Use bundles if clicks rise without confusion.</x:t>
        </x:is>
      </x:c>
      <x:c r="J20" s="117" t="inlineStr">
        <x:is>
          <x:t xml:space="preserve">Planned</x:t>
        </x:is>
      </x:c>
      <x:c r="K20" s="117" t="n"/>
      <x:c r="L20" s="117" t="n"/>
    </x:row>
    <x:row r="21" ht="54" customHeight="1">
      <x:c r="A21" s="110" t="n">
        <x:v>17</x:v>
      </x:c>
      <x:c r="B21" s="110" t="n">
        <x:v>17</x:v>
      </x:c>
      <x:c r="C21" s="110" t="inlineStr">
        <x:is>
          <x:t xml:space="preserve">First-frame text improves retention.</x:t>
        </x:is>
      </x:c>
      <x:c r="D21" s="110" t="inlineStr">
        <x:is>
          <x:t xml:space="preserve">Visual hook</x:t>
        </x:is>
      </x:c>
      <x:c r="E21" s="110" t="inlineStr">
        <x:is>
          <x:t xml:space="preserve">Large text on frame 1</x:t>
        </x:is>
      </x:c>
      <x:c r="F21" s="110" t="inlineStr">
        <x:is>
          <x:t xml:space="preserve">No first-frame text</x:t>
        </x:is>
      </x:c>
      <x:c r="G21" s="110" t="inlineStr">
        <x:is>
          <x:t xml:space="preserve">4 posts</x:t>
        </x:is>
      </x:c>
      <x:c r="H21" s="110" t="inlineStr">
        <x:is>
          <x:t xml:space="preserve">3-second hold</x:t>
        </x:is>
      </x:c>
      <x:c r="I21" s="110" t="inlineStr">
        <x:is>
          <x:t xml:space="preserve">Keep if 3-sec hold improves.</x:t>
        </x:is>
      </x:c>
      <x:c r="J21" s="110" t="inlineStr">
        <x:is>
          <x:t xml:space="preserve">Planned</x:t>
        </x:is>
      </x:c>
      <x:c r="K21" s="110" t="n"/>
      <x:c r="L21" s="110" t="n"/>
    </x:row>
    <x:row r="22" ht="54" customHeight="1">
      <x:c r="A22" s="117" t="n">
        <x:v>18</x:v>
      </x:c>
      <x:c r="B22" s="117" t="n">
        <x:v>18</x:v>
      </x:c>
      <x:c r="C22" s="117" t="inlineStr">
        <x:is>
          <x:t xml:space="preserve">Local phrase in hook improves relatability.</x:t>
        </x:is>
      </x:c>
      <x:c r="D22" s="117" t="inlineStr">
        <x:is>
          <x:t xml:space="preserve">Language style</x:t>
        </x:is>
      </x:c>
      <x:c r="E22" s="117" t="inlineStr">
        <x:is>
          <x:t xml:space="preserve">Light local phrasing</x:t>
        </x:is>
      </x:c>
      <x:c r="F22" s="117" t="inlineStr">
        <x:is>
          <x:t xml:space="preserve">Plain English</x:t>
        </x:is>
      </x:c>
      <x:c r="G22" s="117" t="inlineStr">
        <x:is>
          <x:t xml:space="preserve">4 posts</x:t>
        </x:is>
      </x:c>
      <x:c r="H22" s="117" t="inlineStr">
        <x:is>
          <x:t xml:space="preserve">Shares/comments</x:t>
        </x:is>
      </x:c>
      <x:c r="I22" s="117" t="inlineStr">
        <x:is>
          <x:t xml:space="preserve">Use if comments are positive, not forced.</x:t>
        </x:is>
      </x:c>
      <x:c r="J22" s="117" t="inlineStr">
        <x:is>
          <x:t xml:space="preserve">Planned</x:t>
        </x:is>
      </x:c>
      <x:c r="K22" s="117" t="n"/>
      <x:c r="L22" s="117" t="n"/>
    </x:row>
    <x:row r="23" ht="54" customHeight="1">
      <x:c r="A23" s="110" t="n">
        <x:v>19</x:v>
      </x:c>
      <x:c r="B23" s="110" t="n">
        <x:v>19</x:v>
      </x:c>
      <x:c r="C23" s="110" t="inlineStr">
        <x:is>
          <x:t xml:space="preserve">Car-care content broadens audience beyond road-safety topics.</x:t>
        </x:is>
      </x:c>
      <x:c r="D23" s="110" t="inlineStr">
        <x:is>
          <x:t xml:space="preserve">Topic expansion</x:t>
        </x:is>
      </x:c>
      <x:c r="E23" s="110" t="inlineStr">
        <x:is>
          <x:t xml:space="preserve">Vehicle care</x:t>
        </x:is>
      </x:c>
      <x:c r="F23" s="110" t="inlineStr">
        <x:is>
          <x:t xml:space="preserve">Road alert</x:t>
        </x:is>
      </x:c>
      <x:c r="G23" s="110" t="inlineStr">
        <x:is>
          <x:t xml:space="preserve">4 posts</x:t>
        </x:is>
      </x:c>
      <x:c r="H23" s="110" t="inlineStr">
        <x:is>
          <x:t xml:space="preserve">Saves + follows</x:t>
        </x:is>
      </x:c>
      <x:c r="I23" s="110" t="inlineStr">
        <x:is>
          <x:t xml:space="preserve">Keep if saves are strong.</x:t>
        </x:is>
      </x:c>
      <x:c r="J23" s="110" t="inlineStr">
        <x:is>
          <x:t xml:space="preserve">Planned</x:t>
        </x:is>
      </x:c>
      <x:c r="K23" s="110" t="n"/>
      <x:c r="L23" s="110" t="n"/>
    </x:row>
    <x:row r="24" ht="54" customHeight="1">
      <x:c r="A24" s="117" t="n">
        <x:v>20</x:v>
      </x:c>
      <x:c r="B24" s="117" t="n">
        <x:v>20</x:v>
      </x:c>
      <x:c r="C24" s="117" t="inlineStr">
        <x:is>
          <x:t xml:space="preserve">Sober-driving content should prioritize shares over clicks.</x:t>
        </x:is>
      </x:c>
      <x:c r="D24" s="117" t="inlineStr">
        <x:is>
          <x:t xml:space="preserve">Objective alignment</x:t>
        </x:is>
      </x:c>
      <x:c r="E24" s="117" t="inlineStr">
        <x:is>
          <x:t xml:space="preserve">Safety/share CTA</x:t>
        </x:is>
      </x:c>
      <x:c r="F24" s="117" t="inlineStr">
        <x:is>
          <x:t xml:space="preserve">Download CTA</x:t>
        </x:is>
      </x:c>
      <x:c r="G24" s="117" t="inlineStr">
        <x:is>
          <x:t xml:space="preserve">3 posts</x:t>
        </x:is>
      </x:c>
      <x:c r="H24" s="117" t="inlineStr">
        <x:is>
          <x:t xml:space="preserve">Shares/sentiment</x:t>
        </x:is>
      </x:c>
      <x:c r="I24" s="117" t="inlineStr">
        <x:is>
          <x:t xml:space="preserve">Use safety CTA if conversion CTA feels wrong.</x:t>
        </x:is>
      </x:c>
      <x:c r="J24" s="117" t="inlineStr">
        <x:is>
          <x:t xml:space="preserve">Planned</x:t>
        </x:is>
      </x:c>
      <x:c r="K24" s="117" t="n"/>
      <x:c r="L24" s="117" t="n"/>
    </x:row>
    <x:row r="25" ht="54" customHeight="1">
      <x:c r="A25" s="117" t="n">
        <x:v>21</x:v>
      </x:c>
      <x:c r="B25" s="117" t="n">
        <x:v>21</x:v>
      </x:c>
      <x:c r="C25" s="117" t="inlineStr">
        <x:is>
          <x:t xml:space="preserve">Paid-value proof</x:t>
        </x:is>
      </x:c>
      <x:c r="D25" s="117" t="inlineStr">
        <x:is>
          <x:t xml:space="preserve">CTA / promise</x:t>
        </x:is>
      </x:c>
      <x:c r="E25" s="117" t="inlineStr">
        <x:is>
          <x:t xml:space="preserve">“See why users subscribe”</x:t>
        </x:is>
      </x:c>
      <x:c r="F25" s="117" t="inlineStr">
        <x:is>
          <x:t xml:space="preserve">“Download Msafiri”</x:t>
        </x:is>
      </x:c>
      <x:c r="G25" s="117" t="inlineStr">
        <x:is>
          <x:t xml:space="preserve">4 posts</x:t>
        </x:is>
      </x:c>
      <x:c r="H25" s="117" t="inlineStr">
        <x:is>
          <x:t xml:space="preserve">Paid subs / 1K views</x:t>
        </x:is>
      </x:c>
      <x:c r="I25" s="117" t="inlineStr">
        <x:is>
          <x:t xml:space="preserve">Use paid-value wording only if it improves qualified clicks/paid outcomes.</x:t>
        </x:is>
      </x:c>
      <x:c r="J25" s="117" t="inlineStr">
        <x:is>
          <x:t xml:space="preserve">Planned</x:t>
        </x:is>
      </x:c>
      <x:c r="K25" s="117" t="inlineStr">
        <x:is>
          <x:t xml:space="preserve"/>
        </x:is>
      </x:c>
      <x:c r="L25" s="117" t="inlineStr">
        <x:is>
          <x:t xml:space="preserve"/>
        </x:is>
      </x:c>
    </x:row>
    <x:row r="26" ht="54" customHeight="1">
      <x:c r="A26" s="117" t="n">
        <x:v>22</x:v>
      </x:c>
      <x:c r="B26" s="117" t="n">
        <x:v>22</x:v>
      </x:c>
      <x:c r="C26" s="117" t="inlineStr">
        <x:is>
          <x:t xml:space="preserve">Store deep-link clarity</x:t>
        </x:is>
      </x:c>
      <x:c r="D26" s="117" t="inlineStr">
        <x:is>
          <x:t xml:space="preserve">Link destination</x:t>
        </x:is>
      </x:c>
      <x:c r="E26" s="117" t="inlineStr">
        <x:is>
          <x:t xml:space="preserve">Direct store link</x:t>
        </x:is>
      </x:c>
      <x:c r="F26" s="117" t="inlineStr">
        <x:is>
          <x:t xml:space="preserve">Profile landing page</x:t>
        </x:is>
      </x:c>
      <x:c r="G26" s="117" t="inlineStr">
        <x:is>
          <x:t xml:space="preserve">4 posts</x:t>
        </x:is>
      </x:c>
      <x:c r="H26" s="117" t="inlineStr">
        <x:is>
          <x:t xml:space="preserve">Paid conversion</x:t>
        </x:is>
      </x:c>
      <x:c r="I26" s="117" t="inlineStr">
        <x:is>
          <x:t xml:space="preserve">Keep the path with fewer drop-offs and clearer attribution.</x:t>
        </x:is>
      </x:c>
      <x:c r="J26" s="117" t="inlineStr">
        <x:is>
          <x:t xml:space="preserve">Planned</x:t>
        </x:is>
      </x:c>
      <x:c r="K26" s="117" t="inlineStr">
        <x:is>
          <x:t xml:space="preserve"/>
        </x:is>
      </x:c>
      <x:c r="L26" s="117" t="inlineStr">
        <x:is>
          <x:t xml:space="preserve"/>
        </x:is>
      </x:c>
    </x:row>
    <x:row r="27" ht="54" customHeight="1">
      <x:c r="A27" s="117" t="n">
        <x:v>23</x:v>
      </x:c>
      <x:c r="B27" s="117" t="n">
        <x:v>23</x:v>
      </x:c>
      <x:c r="C27" s="117" t="inlineStr">
        <x:is>
          <x:t xml:space="preserve">Subscriber story</x:t>
        </x:is>
      </x:c>
      <x:c r="D27" s="117" t="inlineStr">
        <x:is>
          <x:t xml:space="preserve">Presenter</x:t>
        </x:is>
      </x:c>
      <x:c r="E27" s="117" t="inlineStr">
        <x:is>
          <x:t xml:space="preserve">User quote/testimonial</x:t>
        </x:is>
      </x:c>
      <x:c r="F27" s="117" t="inlineStr">
        <x:is>
          <x:t xml:space="preserve">Founder explanation</x:t>
        </x:is>
      </x:c>
      <x:c r="G27" s="117" t="inlineStr">
        <x:is>
          <x:t xml:space="preserve">4 posts</x:t>
        </x:is>
      </x:c>
      <x:c r="H27" s="117" t="inlineStr">
        <x:is>
          <x:t xml:space="preserve">Trust + paid conversion</x:t>
        </x:is>
      </x:c>
      <x:c r="I27" s="117" t="inlineStr">
        <x:is>
          <x:t xml:space="preserve">Use consented or anonymized proof; no invented testimonial.</x:t>
        </x:is>
      </x:c>
      <x:c r="J27" s="117" t="inlineStr">
        <x:is>
          <x:t xml:space="preserve">Planned</x:t>
        </x:is>
      </x:c>
      <x:c r="K27" s="117" t="inlineStr">
        <x:is>
          <x:t xml:space="preserve"/>
        </x:is>
      </x:c>
      <x:c r="L27" s="117" t="inlineStr">
        <x:is>
          <x:t xml:space="preserve"/>
        </x:is>
      </x:c>
    </x:row>
    <x:row r="28" ht="54" customHeight="1">
      <x:c r="A28" s="117" t="n">
        <x:v>24</x:v>
      </x:c>
      <x:c r="B28" s="117" t="n">
        <x:v>24</x:v>
      </x:c>
      <x:c r="C28" s="117" t="inlineStr">
        <x:is>
          <x:t xml:space="preserve">Route specificity</x:t>
        </x:is>
      </x:c>
      <x:c r="D28" s="117" t="inlineStr">
        <x:is>
          <x:t xml:space="preserve">Topic framing</x:t>
        </x:is>
      </x:c>
      <x:c r="E28" s="117" t="inlineStr">
        <x:is>
          <x:t xml:space="preserve">Named corridor</x:t>
        </x:is>
      </x:c>
      <x:c r="F28" s="117" t="inlineStr">
        <x:is>
          <x:t xml:space="preserve">Generic Kenyan road</x:t>
        </x:is>
      </x:c>
      <x:c r="G28" s="117" t="inlineStr">
        <x:is>
          <x:t xml:space="preserve">4 posts</x:t>
        </x:is>
      </x:c>
      <x:c r="H28" s="117" t="inlineStr">
        <x:is>
          <x:t xml:space="preserve">Shares + installs</x:t>
        </x:is>
      </x:c>
      <x:c r="I28" s="117" t="inlineStr">
        <x:is>
          <x:t xml:space="preserve">Use route specificity where data is verified.</x:t>
        </x:is>
      </x:c>
      <x:c r="J28" s="117" t="inlineStr">
        <x:is>
          <x:t xml:space="preserve">Planned</x:t>
        </x:is>
      </x:c>
      <x:c r="K28" s="117" t="inlineStr">
        <x:is>
          <x:t xml:space="preserve"/>
        </x:is>
      </x:c>
      <x:c r="L28" s="117" t="inlineStr">
        <x:is>
          <x:t xml:space="preserve"/>
        </x:is>
      </x:c>
    </x:row>
    <x:row r="29" ht="54" customHeight="1">
      <x:c r="A29" s="117" t="n">
        <x:v>25</x:v>
      </x:c>
      <x:c r="B29" s="117" t="n">
        <x:v>25</x:v>
      </x:c>
      <x:c r="C29" s="117" t="inlineStr">
        <x:is>
          <x:t xml:space="preserve">Field proof</x:t>
        </x:is>
      </x:c>
      <x:c r="D29" s="117" t="inlineStr">
        <x:is>
          <x:t xml:space="preserve">Visual evidence</x:t>
        </x:is>
      </x:c>
      <x:c r="E29" s="117" t="inlineStr">
        <x:is>
          <x:t xml:space="preserve">Real field footage</x:t>
        </x:is>
      </x:c>
      <x:c r="F29" s="117" t="inlineStr">
        <x:is>
          <x:t xml:space="preserve">Screen-only demo</x:t>
        </x:is>
      </x:c>
      <x:c r="G29" s="117" t="inlineStr">
        <x:is>
          <x:t xml:space="preserve">4 posts</x:t>
        </x:is>
      </x:c>
      <x:c r="H29" s="117" t="inlineStr">
        <x:is>
          <x:t xml:space="preserve">Watch time + trust</x:t>
        </x:is>
      </x:c>
      <x:c r="I29" s="117" t="inlineStr">
        <x:is>
          <x:t xml:space="preserve">Prefer field proof if it earns stronger useful actions.</x:t>
        </x:is>
      </x:c>
      <x:c r="J29" s="117" t="inlineStr">
        <x:is>
          <x:t xml:space="preserve">Planned</x:t>
        </x:is>
      </x:c>
      <x:c r="K29" s="117" t="inlineStr">
        <x:is>
          <x:t xml:space="preserve"/>
        </x:is>
      </x:c>
      <x:c r="L29" s="117" t="inlineStr">
        <x:is>
          <x:t xml:space="preserve"/>
        </x:is>
      </x:c>
    </x:row>
    <x:row r="30" ht="54" customHeight="1">
      <x:c r="A30" s="117" t="n">
        <x:v>26</x:v>
      </x:c>
      <x:c r="B30" s="117" t="n">
        <x:v>26</x:v>
      </x:c>
      <x:c r="C30" s="117" t="inlineStr">
        <x:is>
          <x:t xml:space="preserve">Subscription objection</x:t>
        </x:is>
      </x:c>
      <x:c r="D30" s="117" t="inlineStr">
        <x:is>
          <x:t xml:space="preserve">Hook</x:t>
        </x:is>
      </x:c>
      <x:c r="E30" s="117" t="inlineStr">
        <x:is>
          <x:t xml:space="preserve">“Why pay for this?”</x:t>
        </x:is>
      </x:c>
      <x:c r="F30" s="117" t="inlineStr">
        <x:is>
          <x:t xml:space="preserve">Feature hook</x:t>
        </x:is>
      </x:c>
      <x:c r="G30" s="117" t="inlineStr">
        <x:is>
          <x:t xml:space="preserve">4 posts</x:t>
        </x:is>
      </x:c>
      <x:c r="H30" s="117" t="inlineStr">
        <x:is>
          <x:t xml:space="preserve">Paid conversion</x:t>
        </x:is>
      </x:c>
      <x:c r="I30" s="117" t="inlineStr">
        <x:is>
          <x:t xml:space="preserve">Keep direct objection handling if sentiment and conversion improve.</x:t>
        </x:is>
      </x:c>
      <x:c r="J30" s="117" t="inlineStr">
        <x:is>
          <x:t xml:space="preserve">Planned</x:t>
        </x:is>
      </x:c>
      <x:c r="K30" s="117" t="inlineStr">
        <x:is>
          <x:t xml:space="preserve"/>
        </x:is>
      </x:c>
      <x:c r="L30" s="117" t="inlineStr">
        <x:is>
          <x:t xml:space="preserve"/>
        </x:is>
      </x:c>
    </x:row>
    <x:row r="31" ht="54" customHeight="1">
      <x:c r="A31" s="117" t="n">
        <x:v>27</x:v>
      </x:c>
      <x:c r="B31" s="117" t="n">
        <x:v>27</x:v>
      </x:c>
      <x:c r="C31" s="117" t="inlineStr">
        <x:is>
          <x:t xml:space="preserve">First-week value</x:t>
        </x:is>
      </x:c>
      <x:c r="D31" s="117" t="inlineStr">
        <x:is>
          <x:t xml:space="preserve">CTA timing</x:t>
        </x:is>
      </x:c>
      <x:c r="E31" s="117" t="inlineStr">
        <x:is>
          <x:t xml:space="preserve">Download + first action</x:t>
        </x:is>
      </x:c>
      <x:c r="F31" s="117" t="inlineStr">
        <x:is>
          <x:t xml:space="preserve">Download only</x:t>
        </x:is>
      </x:c>
      <x:c r="G31" s="117" t="inlineStr">
        <x:is>
          <x:t xml:space="preserve">4 posts</x:t>
        </x:is>
      </x:c>
      <x:c r="H31" s="117" t="inlineStr">
        <x:is>
          <x:t xml:space="preserve">Activated users</x:t>
        </x:is>
      </x:c>
      <x:c r="I31" s="117" t="inlineStr">
        <x:is>
          <x:t xml:space="preserve">Choose the CTA that produces activation, not only installs.</x:t>
        </x:is>
      </x:c>
      <x:c r="J31" s="117" t="inlineStr">
        <x:is>
          <x:t xml:space="preserve">Planned</x:t>
        </x:is>
      </x:c>
      <x:c r="K31" s="117" t="inlineStr">
        <x:is>
          <x:t xml:space="preserve"/>
        </x:is>
      </x:c>
      <x:c r="L31" s="117" t="inlineStr">
        <x:is>
          <x:t xml:space="preserve"/>
        </x:is>
      </x:c>
    </x:row>
    <x:row r="32" ht="54" customHeight="1">
      <x:c r="A32" s="117" t="n">
        <x:v>28</x:v>
      </x:c>
      <x:c r="B32" s="117" t="n">
        <x:v>28</x:v>
      </x:c>
      <x:c r="C32" s="117" t="inlineStr">
        <x:is>
          <x:t xml:space="preserve">Referral message</x:t>
        </x:is>
      </x:c>
      <x:c r="D32" s="117" t="inlineStr">
        <x:is>
          <x:t xml:space="preserve">Audience</x:t>
        </x:is>
      </x:c>
      <x:c r="E32" s="117" t="inlineStr">
        <x:is>
          <x:t xml:space="preserve">Send to one driver</x:t>
        </x:is>
      </x:c>
      <x:c r="F32" s="117" t="inlineStr">
        <x:is>
          <x:t xml:space="preserve">Download for yourself</x:t>
        </x:is>
      </x:c>
      <x:c r="G32" s="117" t="inlineStr">
        <x:is>
          <x:t xml:space="preserve">4 posts</x:t>
        </x:is>
      </x:c>
      <x:c r="H32" s="117" t="inlineStr">
        <x:is>
          <x:t xml:space="preserve">Referral installs</x:t>
        </x:is>
      </x:c>
      <x:c r="I32" s="117" t="inlineStr">
        <x:is>
          <x:t xml:space="preserve">Use sharing CTA if it attracts high-fit users.</x:t>
        </x:is>
      </x:c>
      <x:c r="J32" s="117" t="inlineStr">
        <x:is>
          <x:t xml:space="preserve">Planned</x:t>
        </x:is>
      </x:c>
      <x:c r="K32" s="117" t="inlineStr">
        <x:is>
          <x:t xml:space="preserve"/>
        </x:is>
      </x:c>
      <x:c r="L32" s="117" t="inlineStr">
        <x:is>
          <x:t xml:space="preserve"/>
        </x:is>
      </x:c>
    </x:row>
    <x:row r="33" ht="54" customHeight="1">
      <x:c r="A33" s="117" t="n">
        <x:v>29</x:v>
      </x:c>
      <x:c r="B33" s="117" t="n">
        <x:v>29</x:v>
      </x:c>
      <x:c r="C33" s="117" t="inlineStr">
        <x:is>
          <x:t xml:space="preserve">Video length</x:t>
        </x:is>
      </x:c>
      <x:c r="D33" s="117" t="inlineStr">
        <x:is>
          <x:t xml:space="preserve">Length</x:t>
        </x:is>
      </x:c>
      <x:c r="E33" s="117" t="inlineStr">
        <x:is>
          <x:t xml:space="preserve">20–30 seconds</x:t>
        </x:is>
      </x:c>
      <x:c r="F33" s="117" t="inlineStr">
        <x:is>
          <x:t xml:space="preserve">45–60 seconds</x:t>
        </x:is>
      </x:c>
      <x:c r="G33" s="117" t="inlineStr">
        <x:is>
          <x:t xml:space="preserve">4 posts</x:t>
        </x:is>
      </x:c>
      <x:c r="H33" s="117" t="inlineStr">
        <x:is>
          <x:t xml:space="preserve">Completion + paid clicks</x:t>
        </x:is>
      </x:c>
      <x:c r="I33" s="117" t="inlineStr">
        <x:is>
          <x:t xml:space="preserve">Keep the shortest version that still explains paid value accurately.</x:t>
        </x:is>
      </x:c>
      <x:c r="J33" s="117" t="inlineStr">
        <x:is>
          <x:t xml:space="preserve">Planned</x:t>
        </x:is>
      </x:c>
      <x:c r="K33" s="117" t="inlineStr">
        <x:is>
          <x:t xml:space="preserve"/>
        </x:is>
      </x:c>
      <x:c r="L33" s="117" t="inlineStr">
        <x:is>
          <x:t xml:space="preserve"/>
        </x:is>
      </x:c>
    </x:row>
    <x:row r="34" ht="54" customHeight="1">
      <x:c r="A34" s="117" t="n">
        <x:v>30</x:v>
      </x:c>
      <x:c r="B34" s="117" t="n">
        <x:v>30</x:v>
      </x:c>
      <x:c r="C34" s="117" t="inlineStr">
        <x:is>
          <x:t xml:space="preserve">Safety trust frame</x:t>
        </x:is>
      </x:c>
      <x:c r="D34" s="117" t="inlineStr">
        <x:is>
          <x:t xml:space="preserve">Brand framing</x:t>
        </x:is>
      </x:c>
      <x:c r="E34" s="117" t="inlineStr">
        <x:is>
          <x:t xml:space="preserve">Compliance/safety first</x:t>
        </x:is>
      </x:c>
      <x:c r="F34" s="117" t="inlineStr">
        <x:is>
          <x:t xml:space="preserve">Convenience first</x:t>
        </x:is>
      </x:c>
      <x:c r="G34" s="117" t="inlineStr">
        <x:is>
          <x:t xml:space="preserve">4 posts</x:t>
        </x:is>
      </x:c>
      <x:c r="H34" s="117" t="inlineStr">
        <x:is>
          <x:t xml:space="preserve">Trust + conversion</x:t>
        </x:is>
      </x:c>
      <x:c r="I34" s="117" t="inlineStr">
        <x:is>
          <x:t xml:space="preserve">Never use enforcement-evasion framing even if clicks are higher.</x:t>
        </x:is>
      </x:c>
      <x:c r="J34" s="117" t="inlineStr">
        <x:is>
          <x:t xml:space="preserve">Planned</x:t>
        </x:is>
      </x:c>
      <x:c r="K34" s="117" t="inlineStr">
        <x:is>
          <x:t xml:space="preserve"/>
        </x:is>
      </x:c>
      <x:c r="L34" s="117" t="inlineStr">
        <x:is>
          <x:t xml:space="preserve"/>
        </x:is>
      </x:c>
    </x:row>
  </x:sheetData>
  <x:mergeCells>
    <x:mergeCell ref="A2:L2"/>
    <x:mergeCell ref="A1:L1"/>
  </x:mergeCells>
  <x:dataValidations count="1">
    <x:dataValidation type="list" allowBlank="1" showDropDown="0" showInputMessage="0" showErrorMessage="0" sqref="J5:J34">
      <x:formula1>"Planned,Running,Won,Lost,Inconclusive,Applied"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14" customWidth="1"/>
    <x:col min="4" max="4" width="16" customWidth="1"/>
    <x:col min="5" max="5" width="14" customWidth="1"/>
    <x:col min="6" max="6" width="16" customWidth="1"/>
    <x:col min="7" max="7" width="14" customWidth="1"/>
    <x:col min="8" max="8" width="16" customWidth="1"/>
    <x:col min="9" max="9" width="16" customWidth="1"/>
    <x:col min="10" max="10" width="12" customWidth="1"/>
    <x:col min="11" max="11" width="16" customWidth="1"/>
    <x:col min="12" max="12" width="12" customWidth="1"/>
    <x:col min="13" max="13" width="18" customWidth="1"/>
    <x:col min="14" max="14" width="16" customWidth="1"/>
    <x:col min="15" max="15" width="18" customWidth="1"/>
    <x:col min="16" max="16" width="12" customWidth="1"/>
    <x:col min="17" max="17" width="16" customWidth="1"/>
    <x:col min="18" max="18" width="18" customWidth="1"/>
    <x:col min="19" max="19" width="36" customWidth="1"/>
    <x:col min="20" max="20" width="40" customWidth="1"/>
    <x:col min="21" max="21" width="48" customWidth="1"/>
    <x:col min="22" max="22" width="44" customWidth="1"/>
    <x:col min="23" max="23" width="18" customWidth="1"/>
    <x:col min="24" max="24" width="19" customWidth="1"/>
    <x:col min="25" max="25" width="18" customWidth="1"/>
    <x:col min="26" max="26" width="18" customWidth="1"/>
    <x:col min="27" max="27" width="16" customWidth="1"/>
    <x:col min="28" max="28" width="20" customWidth="1"/>
  </x:cols>
  <x:sheetData>
    <x:row r="1" ht="28" customHeight="1">
      <x:c r="A1" s="106" t="inlineStr">
        <x:is>
          <x:t xml:space="preserve">CONTENT &amp; CONVERSION METRICS</x:t>
        </x:is>
      </x:c>
    </x:row>
    <x:row r="2" ht="34" customHeight="1">
      <x:c r="A2" s="107" t="inlineStr">
        <x:is>
          <x:t xml:space="preserve">Enter weekly platform totals and connect content outcomes to installs, paid subscriptions, attributed revenue and founder cost.</x:t>
        </x:is>
      </x:c>
    </x:row>
    <x:row r="3"/>
    <x:row r="4" ht="36" customHeight="1">
      <x:c r="A4" s="108" t="inlineStr">
        <x:is>
          <x:t xml:space="preserve">Week #</x:t>
        </x:is>
      </x:c>
      <x:c r="B4" s="108" t="inlineStr">
        <x:is>
          <x:t xml:space="preserve">Week Starting</x:t>
        </x:is>
      </x:c>
      <x:c r="C4" s="108" t="inlineStr">
        <x:is>
          <x:t xml:space="preserve">Core Posts Planned</x:t>
        </x:is>
      </x:c>
      <x:c r="D4" s="108" t="inlineStr">
        <x:is>
          <x:t xml:space="preserve">Core Posts Published</x:t>
        </x:is>
      </x:c>
      <x:c r="E4" s="108" t="inlineStr">
        <x:is>
          <x:t xml:space="preserve">Total Views</x:t>
        </x:is>
      </x:c>
      <x:c r="F4" s="108" t="inlineStr">
        <x:is>
          <x:t xml:space="preserve">Avg Views / Post</x:t>
        </x:is>
      </x:c>
      <x:c r="G4" s="108" t="inlineStr">
        <x:is>
          <x:t xml:space="preserve">3-sec Hold %</x:t>
        </x:is>
      </x:c>
      <x:c r="H4" s="108" t="inlineStr">
        <x:is>
          <x:t xml:space="preserve">Avg Watch Time</x:t>
        </x:is>
      </x:c>
      <x:c r="I4" s="108" t="inlineStr">
        <x:is>
          <x:t xml:space="preserve">Completion Rate</x:t>
        </x:is>
      </x:c>
      <x:c r="J4" s="108" t="inlineStr">
        <x:is>
          <x:t xml:space="preserve">Shares</x:t>
        </x:is>
      </x:c>
      <x:c r="K4" s="108" t="inlineStr">
        <x:is>
          <x:t xml:space="preserve">Shares / 1K Views</x:t>
        </x:is>
      </x:c>
      <x:c r="L4" s="108" t="inlineStr">
        <x:is>
          <x:t xml:space="preserve">Comments</x:t>
        </x:is>
      </x:c>
      <x:c r="M4" s="108" t="inlineStr">
        <x:is>
          <x:t xml:space="preserve">Comments / 1K Views</x:t>
        </x:is>
      </x:c>
      <x:c r="N4" s="108" t="inlineStr">
        <x:is>
          <x:t xml:space="preserve">Profile Visits</x:t>
        </x:is>
      </x:c>
      <x:c r="O4" s="108" t="inlineStr">
        <x:is>
          <x:t xml:space="preserve">App Store Clicks</x:t>
        </x:is>
      </x:c>
      <x:c r="P4" s="108" t="inlineStr">
        <x:is>
          <x:t xml:space="preserve">Installs</x:t>
        </x:is>
      </x:c>
      <x:c r="Q4" s="108" t="inlineStr">
        <x:is>
          <x:t xml:space="preserve">Store Click Rate</x:t>
        </x:is>
      </x:c>
      <x:c r="R4" s="108" t="inlineStr">
        <x:is>
          <x:t xml:space="preserve">Click-to-Install Rate</x:t>
        </x:is>
      </x:c>
      <x:c r="S4" s="108" t="inlineStr">
        <x:is>
          <x:t xml:space="preserve">Best Video</x:t>
        </x:is>
      </x:c>
      <x:c r="T4" s="108" t="inlineStr">
        <x:is>
          <x:t xml:space="preserve">Best Hook</x:t>
        </x:is>
      </x:c>
      <x:c r="U4" s="108" t="inlineStr">
        <x:is>
          <x:t xml:space="preserve">Lesson / Action</x:t>
        </x:is>
      </x:c>
      <x:c r="V4" s="108" t="inlineStr">
        <x:is>
          <x:t xml:space="preserve">Next Week Move</x:t>
        </x:is>
      </x:c>
      <x:c r="W4" s="108" t="inlineStr">
        <x:is>
          <x:t xml:space="preserve">Paid Subs Attributed</x:t>
        </x:is>
      </x:c>
      <x:c r="X4" s="108" t="inlineStr">
        <x:is>
          <x:t xml:space="preserve">Net Revenue Attributed</x:t>
        </x:is>
      </x:c>
      <x:c r="Y4" s="108" t="inlineStr">
        <x:is>
          <x:t xml:space="preserve">Direct Content Cost KES</x:t>
        </x:is>
      </x:c>
      <x:c r="Z4" s="108" t="inlineStr">
        <x:is>
          <x:t xml:space="preserve">Cost / Paid Subscriber</x:t>
        </x:is>
      </x:c>
      <x:c r="AA4" s="108" t="inlineStr">
        <x:is>
          <x:t xml:space="preserve">Core Completion %</x:t>
        </x:is>
      </x:c>
      <x:c r="AB4" s="108" t="inlineStr">
        <x:is>
          <x:t xml:space="preserve">Field-Linked Core Posts</x:t>
        </x:is>
      </x:c>
    </x:row>
    <x:row r="5" ht="48" customHeight="1">
      <x:c r="A5" s="110" t="n">
        <x:v>1</x:v>
      </x:c>
      <x:c r="B5" s="109" t="n">
        <x:v>46251</x:v>
      </x:c>
      <x:c r="C5" s="110" t="n">
        <x:f>COUNTIFS('Phase 1 Calendar'!$D$5:$D$300,A5,'Phase 1 Calendar'!$AF$5:$AF$300,"Core")</x:f>
        <x:v>4</x:v>
      </x:c>
      <x:c r="D5" s="123" t="n">
        <x:f>COUNTIFS('Phase 1 Calendar'!$D$5:$D$300,A5,'Phase 1 Calendar'!$AF$5:$AF$300,"Core",'Phase 1 Calendar'!$W$5:$W$300,"Posted")</x:f>
        <x:v>0</x:v>
      </x:c>
      <x:c r="E5" s="124" t="n"/>
      <x:c r="F5" s="111" t="n">
        <x:f>IFERROR(E5/D5,0)</x:f>
        <x:v>0</x:v>
      </x:c>
      <x:c r="G5" s="125" t="n"/>
      <x:c r="H5" s="123" t="n"/>
      <x:c r="I5" s="125" t="n"/>
      <x:c r="J5" s="124" t="n"/>
      <x:c r="K5" s="111" t="n">
        <x:f>IFERROR(J5/E5*1000,0)</x:f>
        <x:v>0</x:v>
      </x:c>
      <x:c r="L5" s="124" t="n"/>
      <x:c r="M5" s="111" t="n">
        <x:f>IFERROR(L5/E5*1000,0)</x:f>
        <x:v>0</x:v>
      </x:c>
      <x:c r="N5" s="124" t="n"/>
      <x:c r="O5" s="124" t="n"/>
      <x:c r="P5" s="124" t="n"/>
      <x:c r="Q5" s="126" t="n">
        <x:f>IFERROR(O5/N5,0)</x:f>
        <x:v>0</x:v>
      </x:c>
      <x:c r="R5" s="126" t="n">
        <x:f>IFERROR(P5/O5,0)</x:f>
        <x:v>0</x:v>
      </x:c>
      <x:c r="S5" s="123" t="n"/>
      <x:c r="T5" s="123" t="n"/>
      <x:c r="U5" s="123" t="n"/>
      <x:c r="V5" s="123" t="n"/>
      <x:c r="W5" s="127" t="n">
        <x:f>SUMIFS('Phase 1 Calendar'!$AK$5:$AK$300,'Phase 1 Calendar'!$D$5:$D$300,A5)</x:f>
        <x:v>0</x:v>
      </x:c>
      <x:c r="X5" s="128" t="n">
        <x:f>SUMIFS('Phase 1 Calendar'!$AL$5:$AL$300,'Phase 1 Calendar'!$D$5:$D$300,A5)</x:f>
        <x:v>0</x:v>
      </x:c>
      <x:c r="Y5" s="128" t="n">
        <x:f>SUMIFS('Phase 1 Calendar'!$AI$5:$AI$300,'Phase 1 Calendar'!$D$5:$D$300,A5)</x:f>
        <x:v>0</x:v>
      </x:c>
      <x:c r="Z5" s="128" t="n">
        <x:f>IF(W5=0,0,Y5/W5)</x:f>
        <x:v>0</x:v>
      </x:c>
      <x:c r="AA5" s="125" t="n">
        <x:f>IF(C5=0,0,D5/C5)</x:f>
        <x:v>0</x:v>
      </x:c>
      <x:c r="AB5" s="127" t="n">
        <x:f>COUNTIFS('Phase 1 Calendar'!$D$5:$D$300,A5,'Phase 1 Calendar'!$AF$5:$AF$300,"Core",'Phase 1 Calendar'!$AJ$5:$AJ$300,"&lt;&gt;")</x:f>
        <x:v>0</x:v>
      </x:c>
    </x:row>
    <x:row r="6" ht="48" customHeight="1">
      <x:c r="A6" s="117" t="n">
        <x:v>2</x:v>
      </x:c>
      <x:c r="B6" s="116" t="n">
        <x:v>46258</x:v>
      </x:c>
      <x:c r="C6" s="117" t="n">
        <x:f>COUNTIFS('Phase 1 Calendar'!$D$5:$D$300,A6,'Phase 1 Calendar'!$AF$5:$AF$300,"Core")</x:f>
        <x:v>4</x:v>
      </x:c>
      <x:c r="D6" s="129" t="n">
        <x:f>COUNTIFS('Phase 1 Calendar'!$D$5:$D$300,A6,'Phase 1 Calendar'!$AF$5:$AF$300,"Core",'Phase 1 Calendar'!$W$5:$W$300,"Posted")</x:f>
        <x:v>0</x:v>
      </x:c>
      <x:c r="E6" s="130" t="n"/>
      <x:c r="F6" s="118" t="n">
        <x:f>IFERROR(E6/D6,0)</x:f>
        <x:v>0</x:v>
      </x:c>
      <x:c r="G6" s="131" t="n"/>
      <x:c r="H6" s="129" t="n"/>
      <x:c r="I6" s="131" t="n"/>
      <x:c r="J6" s="130" t="n"/>
      <x:c r="K6" s="118" t="n">
        <x:f>IFERROR(J6/E6*1000,0)</x:f>
        <x:v>0</x:v>
      </x:c>
      <x:c r="L6" s="130" t="n"/>
      <x:c r="M6" s="118" t="n">
        <x:f>IFERROR(L6/E6*1000,0)</x:f>
        <x:v>0</x:v>
      </x:c>
      <x:c r="N6" s="130" t="n"/>
      <x:c r="O6" s="130" t="n"/>
      <x:c r="P6" s="130" t="n"/>
      <x:c r="Q6" s="132" t="n">
        <x:f>IFERROR(O6/N6,0)</x:f>
        <x:v>0</x:v>
      </x:c>
      <x:c r="R6" s="132" t="n">
        <x:f>IFERROR(P6/O6,0)</x:f>
        <x:v>0</x:v>
      </x:c>
      <x:c r="S6" s="129" t="n"/>
      <x:c r="T6" s="129" t="n"/>
      <x:c r="U6" s="129" t="n"/>
      <x:c r="V6" s="129" t="n"/>
      <x:c r="W6" s="133" t="n">
        <x:f>SUMIFS('Phase 1 Calendar'!$AK$5:$AK$300,'Phase 1 Calendar'!$D$5:$D$300,A6)</x:f>
        <x:v>0</x:v>
      </x:c>
      <x:c r="X6" s="134" t="n">
        <x:f>SUMIFS('Phase 1 Calendar'!$AL$5:$AL$300,'Phase 1 Calendar'!$D$5:$D$300,A6)</x:f>
        <x:v>0</x:v>
      </x:c>
      <x:c r="Y6" s="134" t="n">
        <x:f>SUMIFS('Phase 1 Calendar'!$AI$5:$AI$300,'Phase 1 Calendar'!$D$5:$D$300,A6)</x:f>
        <x:v>0</x:v>
      </x:c>
      <x:c r="Z6" s="134" t="n">
        <x:f>IF(W6=0,0,Y6/W6)</x:f>
        <x:v>0</x:v>
      </x:c>
      <x:c r="AA6" s="131" t="n">
        <x:f>IF(C6=0,0,D6/C6)</x:f>
        <x:v>0</x:v>
      </x:c>
      <x:c r="AB6" s="133" t="n">
        <x:f>COUNTIFS('Phase 1 Calendar'!$D$5:$D$300,A6,'Phase 1 Calendar'!$AF$5:$AF$300,"Core",'Phase 1 Calendar'!$AJ$5:$AJ$300,"&lt;&gt;")</x:f>
        <x:v>0</x:v>
      </x:c>
    </x:row>
    <x:row r="7" ht="48" customHeight="1">
      <x:c r="A7" s="110" t="n">
        <x:v>3</x:v>
      </x:c>
      <x:c r="B7" s="109" t="n">
        <x:v>46265</x:v>
      </x:c>
      <x:c r="C7" s="110" t="n">
        <x:f>COUNTIFS('Phase 1 Calendar'!$D$5:$D$300,A7,'Phase 1 Calendar'!$AF$5:$AF$300,"Core")</x:f>
        <x:v>4</x:v>
      </x:c>
      <x:c r="D7" s="123" t="n">
        <x:f>COUNTIFS('Phase 1 Calendar'!$D$5:$D$300,A7,'Phase 1 Calendar'!$AF$5:$AF$300,"Core",'Phase 1 Calendar'!$W$5:$W$300,"Posted")</x:f>
        <x:v>0</x:v>
      </x:c>
      <x:c r="E7" s="124" t="n"/>
      <x:c r="F7" s="111" t="n">
        <x:f>IFERROR(E7/D7,0)</x:f>
        <x:v>0</x:v>
      </x:c>
      <x:c r="G7" s="125" t="n"/>
      <x:c r="H7" s="123" t="n"/>
      <x:c r="I7" s="125" t="n"/>
      <x:c r="J7" s="124" t="n"/>
      <x:c r="K7" s="111" t="n">
        <x:f>IFERROR(J7/E7*1000,0)</x:f>
        <x:v>0</x:v>
      </x:c>
      <x:c r="L7" s="124" t="n"/>
      <x:c r="M7" s="111" t="n">
        <x:f>IFERROR(L7/E7*1000,0)</x:f>
        <x:v>0</x:v>
      </x:c>
      <x:c r="N7" s="124" t="n"/>
      <x:c r="O7" s="124" t="n"/>
      <x:c r="P7" s="124" t="n"/>
      <x:c r="Q7" s="126" t="n">
        <x:f>IFERROR(O7/N7,0)</x:f>
        <x:v>0</x:v>
      </x:c>
      <x:c r="R7" s="126" t="n">
        <x:f>IFERROR(P7/O7,0)</x:f>
        <x:v>0</x:v>
      </x:c>
      <x:c r="S7" s="123" t="n"/>
      <x:c r="T7" s="123" t="n"/>
      <x:c r="U7" s="123" t="n"/>
      <x:c r="V7" s="123" t="n"/>
      <x:c r="W7" s="127" t="n">
        <x:f>SUMIFS('Phase 1 Calendar'!$AK$5:$AK$300,'Phase 1 Calendar'!$D$5:$D$300,A7)</x:f>
        <x:v>0</x:v>
      </x:c>
      <x:c r="X7" s="128" t="n">
        <x:f>SUMIFS('Phase 1 Calendar'!$AL$5:$AL$300,'Phase 1 Calendar'!$D$5:$D$300,A7)</x:f>
        <x:v>0</x:v>
      </x:c>
      <x:c r="Y7" s="128" t="n">
        <x:f>SUMIFS('Phase 1 Calendar'!$AI$5:$AI$300,'Phase 1 Calendar'!$D$5:$D$300,A7)</x:f>
        <x:v>0</x:v>
      </x:c>
      <x:c r="Z7" s="128" t="n">
        <x:f>IF(W7=0,0,Y7/W7)</x:f>
        <x:v>0</x:v>
      </x:c>
      <x:c r="AA7" s="125" t="n">
        <x:f>IF(C7=0,0,D7/C7)</x:f>
        <x:v>0</x:v>
      </x:c>
      <x:c r="AB7" s="127" t="n">
        <x:f>COUNTIFS('Phase 1 Calendar'!$D$5:$D$300,A7,'Phase 1 Calendar'!$AF$5:$AF$300,"Core",'Phase 1 Calendar'!$AJ$5:$AJ$300,"&lt;&gt;")</x:f>
        <x:v>0</x:v>
      </x:c>
    </x:row>
    <x:row r="8" ht="48" customHeight="1">
      <x:c r="A8" s="117" t="n">
        <x:v>4</x:v>
      </x:c>
      <x:c r="B8" s="116" t="n">
        <x:v>46272</x:v>
      </x:c>
      <x:c r="C8" s="117" t="n">
        <x:f>COUNTIFS('Phase 1 Calendar'!$D$5:$D$300,A8,'Phase 1 Calendar'!$AF$5:$AF$300,"Core")</x:f>
        <x:v>4</x:v>
      </x:c>
      <x:c r="D8" s="129" t="n">
        <x:f>COUNTIFS('Phase 1 Calendar'!$D$5:$D$300,A8,'Phase 1 Calendar'!$AF$5:$AF$300,"Core",'Phase 1 Calendar'!$W$5:$W$300,"Posted")</x:f>
        <x:v>0</x:v>
      </x:c>
      <x:c r="E8" s="130" t="n"/>
      <x:c r="F8" s="118" t="n">
        <x:f>IFERROR(E8/D8,0)</x:f>
        <x:v>0</x:v>
      </x:c>
      <x:c r="G8" s="131" t="n"/>
      <x:c r="H8" s="129" t="n"/>
      <x:c r="I8" s="131" t="n"/>
      <x:c r="J8" s="130" t="n"/>
      <x:c r="K8" s="118" t="n">
        <x:f>IFERROR(J8/E8*1000,0)</x:f>
        <x:v>0</x:v>
      </x:c>
      <x:c r="L8" s="130" t="n"/>
      <x:c r="M8" s="118" t="n">
        <x:f>IFERROR(L8/E8*1000,0)</x:f>
        <x:v>0</x:v>
      </x:c>
      <x:c r="N8" s="130" t="n"/>
      <x:c r="O8" s="130" t="n"/>
      <x:c r="P8" s="130" t="n"/>
      <x:c r="Q8" s="132" t="n">
        <x:f>IFERROR(O8/N8,0)</x:f>
        <x:v>0</x:v>
      </x:c>
      <x:c r="R8" s="132" t="n">
        <x:f>IFERROR(P8/O8,0)</x:f>
        <x:v>0</x:v>
      </x:c>
      <x:c r="S8" s="129" t="n"/>
      <x:c r="T8" s="129" t="n"/>
      <x:c r="U8" s="129" t="n"/>
      <x:c r="V8" s="129" t="n"/>
      <x:c r="W8" s="133" t="n">
        <x:f>SUMIFS('Phase 1 Calendar'!$AK$5:$AK$300,'Phase 1 Calendar'!$D$5:$D$300,A8)</x:f>
        <x:v>0</x:v>
      </x:c>
      <x:c r="X8" s="134" t="n">
        <x:f>SUMIFS('Phase 1 Calendar'!$AL$5:$AL$300,'Phase 1 Calendar'!$D$5:$D$300,A8)</x:f>
        <x:v>0</x:v>
      </x:c>
      <x:c r="Y8" s="134" t="n">
        <x:f>SUMIFS('Phase 1 Calendar'!$AI$5:$AI$300,'Phase 1 Calendar'!$D$5:$D$300,A8)</x:f>
        <x:v>0</x:v>
      </x:c>
      <x:c r="Z8" s="134" t="n">
        <x:f>IF(W8=0,0,Y8/W8)</x:f>
        <x:v>0</x:v>
      </x:c>
      <x:c r="AA8" s="131" t="n">
        <x:f>IF(C8=0,0,D8/C8)</x:f>
        <x:v>0</x:v>
      </x:c>
      <x:c r="AB8" s="133" t="n">
        <x:f>COUNTIFS('Phase 1 Calendar'!$D$5:$D$300,A8,'Phase 1 Calendar'!$AF$5:$AF$300,"Core",'Phase 1 Calendar'!$AJ$5:$AJ$300,"&lt;&gt;")</x:f>
        <x:v>0</x:v>
      </x:c>
    </x:row>
    <x:row r="9" ht="48" customHeight="1">
      <x:c r="A9" s="110" t="n">
        <x:v>5</x:v>
      </x:c>
      <x:c r="B9" s="109" t="n">
        <x:v>46279</x:v>
      </x:c>
      <x:c r="C9" s="110" t="n">
        <x:f>COUNTIFS('Phase 1 Calendar'!$D$5:$D$300,A9,'Phase 1 Calendar'!$AF$5:$AF$300,"Core")</x:f>
        <x:v>4</x:v>
      </x:c>
      <x:c r="D9" s="123" t="n">
        <x:f>COUNTIFS('Phase 1 Calendar'!$D$5:$D$300,A9,'Phase 1 Calendar'!$AF$5:$AF$300,"Core",'Phase 1 Calendar'!$W$5:$W$300,"Posted")</x:f>
        <x:v>0</x:v>
      </x:c>
      <x:c r="E9" s="124" t="n"/>
      <x:c r="F9" s="111" t="n">
        <x:f>IFERROR(E9/D9,0)</x:f>
        <x:v>0</x:v>
      </x:c>
      <x:c r="G9" s="125" t="n"/>
      <x:c r="H9" s="123" t="n"/>
      <x:c r="I9" s="125" t="n"/>
      <x:c r="J9" s="124" t="n"/>
      <x:c r="K9" s="111" t="n">
        <x:f>IFERROR(J9/E9*1000,0)</x:f>
        <x:v>0</x:v>
      </x:c>
      <x:c r="L9" s="124" t="n"/>
      <x:c r="M9" s="111" t="n">
        <x:f>IFERROR(L9/E9*1000,0)</x:f>
        <x:v>0</x:v>
      </x:c>
      <x:c r="N9" s="124" t="n"/>
      <x:c r="O9" s="124" t="n"/>
      <x:c r="P9" s="124" t="n"/>
      <x:c r="Q9" s="126" t="n">
        <x:f>IFERROR(O9/N9,0)</x:f>
        <x:v>0</x:v>
      </x:c>
      <x:c r="R9" s="126" t="n">
        <x:f>IFERROR(P9/O9,0)</x:f>
        <x:v>0</x:v>
      </x:c>
      <x:c r="S9" s="123" t="n"/>
      <x:c r="T9" s="123" t="n"/>
      <x:c r="U9" s="123" t="n"/>
      <x:c r="V9" s="123" t="n"/>
      <x:c r="W9" s="127" t="n">
        <x:f>SUMIFS('Phase 1 Calendar'!$AK$5:$AK$300,'Phase 1 Calendar'!$D$5:$D$300,A9)</x:f>
        <x:v>0</x:v>
      </x:c>
      <x:c r="X9" s="128" t="n">
        <x:f>SUMIFS('Phase 1 Calendar'!$AL$5:$AL$300,'Phase 1 Calendar'!$D$5:$D$300,A9)</x:f>
        <x:v>0</x:v>
      </x:c>
      <x:c r="Y9" s="128" t="n">
        <x:f>SUMIFS('Phase 1 Calendar'!$AI$5:$AI$300,'Phase 1 Calendar'!$D$5:$D$300,A9)</x:f>
        <x:v>0</x:v>
      </x:c>
      <x:c r="Z9" s="128" t="n">
        <x:f>IF(W9=0,0,Y9/W9)</x:f>
        <x:v>0</x:v>
      </x:c>
      <x:c r="AA9" s="125" t="n">
        <x:f>IF(C9=0,0,D9/C9)</x:f>
        <x:v>0</x:v>
      </x:c>
      <x:c r="AB9" s="127" t="n">
        <x:f>COUNTIFS('Phase 1 Calendar'!$D$5:$D$300,A9,'Phase 1 Calendar'!$AF$5:$AF$300,"Core",'Phase 1 Calendar'!$AJ$5:$AJ$300,"&lt;&gt;")</x:f>
        <x:v>0</x:v>
      </x:c>
    </x:row>
    <x:row r="10" ht="48" customHeight="1">
      <x:c r="A10" s="117" t="n">
        <x:v>6</x:v>
      </x:c>
      <x:c r="B10" s="116" t="n">
        <x:v>46286</x:v>
      </x:c>
      <x:c r="C10" s="117" t="n">
        <x:f>COUNTIFS('Phase 1 Calendar'!$D$5:$D$300,A10,'Phase 1 Calendar'!$AF$5:$AF$300,"Core")</x:f>
        <x:v>4</x:v>
      </x:c>
      <x:c r="D10" s="129" t="n">
        <x:f>COUNTIFS('Phase 1 Calendar'!$D$5:$D$300,A10,'Phase 1 Calendar'!$AF$5:$AF$300,"Core",'Phase 1 Calendar'!$W$5:$W$300,"Posted")</x:f>
        <x:v>0</x:v>
      </x:c>
      <x:c r="E10" s="130" t="n"/>
      <x:c r="F10" s="118" t="n">
        <x:f>IFERROR(E10/D10,0)</x:f>
        <x:v>0</x:v>
      </x:c>
      <x:c r="G10" s="131" t="n"/>
      <x:c r="H10" s="129" t="n"/>
      <x:c r="I10" s="131" t="n"/>
      <x:c r="J10" s="130" t="n"/>
      <x:c r="K10" s="118" t="n">
        <x:f>IFERROR(J10/E10*1000,0)</x:f>
        <x:v>0</x:v>
      </x:c>
      <x:c r="L10" s="130" t="n"/>
      <x:c r="M10" s="118" t="n">
        <x:f>IFERROR(L10/E10*1000,0)</x:f>
        <x:v>0</x:v>
      </x:c>
      <x:c r="N10" s="130" t="n"/>
      <x:c r="O10" s="130" t="n"/>
      <x:c r="P10" s="130" t="n"/>
      <x:c r="Q10" s="132" t="n">
        <x:f>IFERROR(O10/N10,0)</x:f>
        <x:v>0</x:v>
      </x:c>
      <x:c r="R10" s="132" t="n">
        <x:f>IFERROR(P10/O10,0)</x:f>
        <x:v>0</x:v>
      </x:c>
      <x:c r="S10" s="129" t="n"/>
      <x:c r="T10" s="129" t="n"/>
      <x:c r="U10" s="129" t="n"/>
      <x:c r="V10" s="129" t="n"/>
      <x:c r="W10" s="133" t="n">
        <x:f>SUMIFS('Phase 1 Calendar'!$AK$5:$AK$300,'Phase 1 Calendar'!$D$5:$D$300,A10)</x:f>
        <x:v>0</x:v>
      </x:c>
      <x:c r="X10" s="134" t="n">
        <x:f>SUMIFS('Phase 1 Calendar'!$AL$5:$AL$300,'Phase 1 Calendar'!$D$5:$D$300,A10)</x:f>
        <x:v>0</x:v>
      </x:c>
      <x:c r="Y10" s="134" t="n">
        <x:f>SUMIFS('Phase 1 Calendar'!$AI$5:$AI$300,'Phase 1 Calendar'!$D$5:$D$300,A10)</x:f>
        <x:v>0</x:v>
      </x:c>
      <x:c r="Z10" s="134" t="n">
        <x:f>IF(W10=0,0,Y10/W10)</x:f>
        <x:v>0</x:v>
      </x:c>
      <x:c r="AA10" s="131" t="n">
        <x:f>IF(C10=0,0,D10/C10)</x:f>
        <x:v>0</x:v>
      </x:c>
      <x:c r="AB10" s="133" t="n">
        <x:f>COUNTIFS('Phase 1 Calendar'!$D$5:$D$300,A10,'Phase 1 Calendar'!$AF$5:$AF$300,"Core",'Phase 1 Calendar'!$AJ$5:$AJ$300,"&lt;&gt;")</x:f>
        <x:v>0</x:v>
      </x:c>
    </x:row>
    <x:row r="11" ht="48" customHeight="1">
      <x:c r="A11" s="110" t="n">
        <x:v>7</x:v>
      </x:c>
      <x:c r="B11" s="109" t="n">
        <x:v>46293</x:v>
      </x:c>
      <x:c r="C11" s="110" t="n">
        <x:f>COUNTIFS('Phase 1 Calendar'!$D$5:$D$300,A11,'Phase 1 Calendar'!$AF$5:$AF$300,"Core")</x:f>
        <x:v>4</x:v>
      </x:c>
      <x:c r="D11" s="123" t="n">
        <x:f>COUNTIFS('Phase 1 Calendar'!$D$5:$D$300,A11,'Phase 1 Calendar'!$AF$5:$AF$300,"Core",'Phase 1 Calendar'!$W$5:$W$300,"Posted")</x:f>
        <x:v>0</x:v>
      </x:c>
      <x:c r="E11" s="124" t="n"/>
      <x:c r="F11" s="111" t="n">
        <x:f>IFERROR(E11/D11,0)</x:f>
        <x:v>0</x:v>
      </x:c>
      <x:c r="G11" s="125" t="n"/>
      <x:c r="H11" s="123" t="n"/>
      <x:c r="I11" s="125" t="n"/>
      <x:c r="J11" s="124" t="n"/>
      <x:c r="K11" s="111" t="n">
        <x:f>IFERROR(J11/E11*1000,0)</x:f>
        <x:v>0</x:v>
      </x:c>
      <x:c r="L11" s="124" t="n"/>
      <x:c r="M11" s="111" t="n">
        <x:f>IFERROR(L11/E11*1000,0)</x:f>
        <x:v>0</x:v>
      </x:c>
      <x:c r="N11" s="124" t="n"/>
      <x:c r="O11" s="124" t="n"/>
      <x:c r="P11" s="124" t="n"/>
      <x:c r="Q11" s="126" t="n">
        <x:f>IFERROR(O11/N11,0)</x:f>
        <x:v>0</x:v>
      </x:c>
      <x:c r="R11" s="126" t="n">
        <x:f>IFERROR(P11/O11,0)</x:f>
        <x:v>0</x:v>
      </x:c>
      <x:c r="S11" s="123" t="n"/>
      <x:c r="T11" s="123" t="n"/>
      <x:c r="U11" s="123" t="n"/>
      <x:c r="V11" s="123" t="n"/>
      <x:c r="W11" s="127" t="n">
        <x:f>SUMIFS('Phase 1 Calendar'!$AK$5:$AK$300,'Phase 1 Calendar'!$D$5:$D$300,A11)</x:f>
        <x:v>0</x:v>
      </x:c>
      <x:c r="X11" s="128" t="n">
        <x:f>SUMIFS('Phase 1 Calendar'!$AL$5:$AL$300,'Phase 1 Calendar'!$D$5:$D$300,A11)</x:f>
        <x:v>0</x:v>
      </x:c>
      <x:c r="Y11" s="128" t="n">
        <x:f>SUMIFS('Phase 1 Calendar'!$AI$5:$AI$300,'Phase 1 Calendar'!$D$5:$D$300,A11)</x:f>
        <x:v>0</x:v>
      </x:c>
      <x:c r="Z11" s="128" t="n">
        <x:f>IF(W11=0,0,Y11/W11)</x:f>
        <x:v>0</x:v>
      </x:c>
      <x:c r="AA11" s="125" t="n">
        <x:f>IF(C11=0,0,D11/C11)</x:f>
        <x:v>0</x:v>
      </x:c>
      <x:c r="AB11" s="127" t="n">
        <x:f>COUNTIFS('Phase 1 Calendar'!$D$5:$D$300,A11,'Phase 1 Calendar'!$AF$5:$AF$300,"Core",'Phase 1 Calendar'!$AJ$5:$AJ$300,"&lt;&gt;")</x:f>
        <x:v>0</x:v>
      </x:c>
    </x:row>
    <x:row r="12" ht="48" customHeight="1">
      <x:c r="A12" s="117" t="n">
        <x:v>8</x:v>
      </x:c>
      <x:c r="B12" s="116" t="n">
        <x:v>46300</x:v>
      </x:c>
      <x:c r="C12" s="117" t="n">
        <x:f>COUNTIFS('Phase 1 Calendar'!$D$5:$D$300,A12,'Phase 1 Calendar'!$AF$5:$AF$300,"Core")</x:f>
        <x:v>4</x:v>
      </x:c>
      <x:c r="D12" s="129" t="n">
        <x:f>COUNTIFS('Phase 1 Calendar'!$D$5:$D$300,A12,'Phase 1 Calendar'!$AF$5:$AF$300,"Core",'Phase 1 Calendar'!$W$5:$W$300,"Posted")</x:f>
        <x:v>0</x:v>
      </x:c>
      <x:c r="E12" s="130" t="n"/>
      <x:c r="F12" s="118" t="n">
        <x:f>IFERROR(E12/D12,0)</x:f>
        <x:v>0</x:v>
      </x:c>
      <x:c r="G12" s="131" t="n"/>
      <x:c r="H12" s="129" t="n"/>
      <x:c r="I12" s="131" t="n"/>
      <x:c r="J12" s="130" t="n"/>
      <x:c r="K12" s="118" t="n">
        <x:f>IFERROR(J12/E12*1000,0)</x:f>
        <x:v>0</x:v>
      </x:c>
      <x:c r="L12" s="130" t="n"/>
      <x:c r="M12" s="118" t="n">
        <x:f>IFERROR(L12/E12*1000,0)</x:f>
        <x:v>0</x:v>
      </x:c>
      <x:c r="N12" s="130" t="n"/>
      <x:c r="O12" s="130" t="n"/>
      <x:c r="P12" s="130" t="n"/>
      <x:c r="Q12" s="132" t="n">
        <x:f>IFERROR(O12/N12,0)</x:f>
        <x:v>0</x:v>
      </x:c>
      <x:c r="R12" s="132" t="n">
        <x:f>IFERROR(P12/O12,0)</x:f>
        <x:v>0</x:v>
      </x:c>
      <x:c r="S12" s="129" t="n"/>
      <x:c r="T12" s="129" t="n"/>
      <x:c r="U12" s="129" t="n"/>
      <x:c r="V12" s="129" t="n"/>
      <x:c r="W12" s="133" t="n">
        <x:f>SUMIFS('Phase 1 Calendar'!$AK$5:$AK$300,'Phase 1 Calendar'!$D$5:$D$300,A12)</x:f>
        <x:v>0</x:v>
      </x:c>
      <x:c r="X12" s="134" t="n">
        <x:f>SUMIFS('Phase 1 Calendar'!$AL$5:$AL$300,'Phase 1 Calendar'!$D$5:$D$300,A12)</x:f>
        <x:v>0</x:v>
      </x:c>
      <x:c r="Y12" s="134" t="n">
        <x:f>SUMIFS('Phase 1 Calendar'!$AI$5:$AI$300,'Phase 1 Calendar'!$D$5:$D$300,A12)</x:f>
        <x:v>0</x:v>
      </x:c>
      <x:c r="Z12" s="134" t="n">
        <x:f>IF(W12=0,0,Y12/W12)</x:f>
        <x:v>0</x:v>
      </x:c>
      <x:c r="AA12" s="131" t="n">
        <x:f>IF(C12=0,0,D12/C12)</x:f>
        <x:v>0</x:v>
      </x:c>
      <x:c r="AB12" s="133" t="n">
        <x:f>COUNTIFS('Phase 1 Calendar'!$D$5:$D$300,A12,'Phase 1 Calendar'!$AF$5:$AF$300,"Core",'Phase 1 Calendar'!$AJ$5:$AJ$300,"&lt;&gt;")</x:f>
        <x:v>0</x:v>
      </x:c>
    </x:row>
    <x:row r="13" ht="48" customHeight="1">
      <x:c r="A13" s="110" t="n">
        <x:v>9</x:v>
      </x:c>
      <x:c r="B13" s="109" t="n">
        <x:v>46307</x:v>
      </x:c>
      <x:c r="C13" s="110" t="n">
        <x:f>COUNTIFS('Phase 1 Calendar'!$D$5:$D$300,A13,'Phase 1 Calendar'!$AF$5:$AF$300,"Core")</x:f>
        <x:v>4</x:v>
      </x:c>
      <x:c r="D13" s="123" t="n">
        <x:f>COUNTIFS('Phase 1 Calendar'!$D$5:$D$300,A13,'Phase 1 Calendar'!$AF$5:$AF$300,"Core",'Phase 1 Calendar'!$W$5:$W$300,"Posted")</x:f>
        <x:v>0</x:v>
      </x:c>
      <x:c r="E13" s="124" t="n"/>
      <x:c r="F13" s="111" t="n">
        <x:f>IFERROR(E13/D13,0)</x:f>
        <x:v>0</x:v>
      </x:c>
      <x:c r="G13" s="125" t="n"/>
      <x:c r="H13" s="123" t="n"/>
      <x:c r="I13" s="125" t="n"/>
      <x:c r="J13" s="124" t="n"/>
      <x:c r="K13" s="111" t="n">
        <x:f>IFERROR(J13/E13*1000,0)</x:f>
        <x:v>0</x:v>
      </x:c>
      <x:c r="L13" s="124" t="n"/>
      <x:c r="M13" s="111" t="n">
        <x:f>IFERROR(L13/E13*1000,0)</x:f>
        <x:v>0</x:v>
      </x:c>
      <x:c r="N13" s="124" t="n"/>
      <x:c r="O13" s="124" t="n"/>
      <x:c r="P13" s="124" t="n"/>
      <x:c r="Q13" s="126" t="n">
        <x:f>IFERROR(O13/N13,0)</x:f>
        <x:v>0</x:v>
      </x:c>
      <x:c r="R13" s="126" t="n">
        <x:f>IFERROR(P13/O13,0)</x:f>
        <x:v>0</x:v>
      </x:c>
      <x:c r="S13" s="123" t="n"/>
      <x:c r="T13" s="123" t="n"/>
      <x:c r="U13" s="123" t="n"/>
      <x:c r="V13" s="123" t="n"/>
      <x:c r="W13" s="127" t="n">
        <x:f>SUMIFS('Phase 1 Calendar'!$AK$5:$AK$300,'Phase 1 Calendar'!$D$5:$D$300,A13)</x:f>
        <x:v>0</x:v>
      </x:c>
      <x:c r="X13" s="128" t="n">
        <x:f>SUMIFS('Phase 1 Calendar'!$AL$5:$AL$300,'Phase 1 Calendar'!$D$5:$D$300,A13)</x:f>
        <x:v>0</x:v>
      </x:c>
      <x:c r="Y13" s="128" t="n">
        <x:f>SUMIFS('Phase 1 Calendar'!$AI$5:$AI$300,'Phase 1 Calendar'!$D$5:$D$300,A13)</x:f>
        <x:v>0</x:v>
      </x:c>
      <x:c r="Z13" s="128" t="n">
        <x:f>IF(W13=0,0,Y13/W13)</x:f>
        <x:v>0</x:v>
      </x:c>
      <x:c r="AA13" s="125" t="n">
        <x:f>IF(C13=0,0,D13/C13)</x:f>
        <x:v>0</x:v>
      </x:c>
      <x:c r="AB13" s="127" t="n">
        <x:f>COUNTIFS('Phase 1 Calendar'!$D$5:$D$300,A13,'Phase 1 Calendar'!$AF$5:$AF$300,"Core",'Phase 1 Calendar'!$AJ$5:$AJ$300,"&lt;&gt;")</x:f>
        <x:v>0</x:v>
      </x:c>
    </x:row>
    <x:row r="14" ht="48" customHeight="1">
      <x:c r="A14" s="117" t="n">
        <x:v>10</x:v>
      </x:c>
      <x:c r="B14" s="116" t="n">
        <x:v>46314</x:v>
      </x:c>
      <x:c r="C14" s="117" t="n">
        <x:f>COUNTIFS('Phase 1 Calendar'!$D$5:$D$300,A14,'Phase 1 Calendar'!$AF$5:$AF$300,"Core")</x:f>
        <x:v>4</x:v>
      </x:c>
      <x:c r="D14" s="129" t="n">
        <x:f>COUNTIFS('Phase 1 Calendar'!$D$5:$D$300,A14,'Phase 1 Calendar'!$AF$5:$AF$300,"Core",'Phase 1 Calendar'!$W$5:$W$300,"Posted")</x:f>
        <x:v>0</x:v>
      </x:c>
      <x:c r="E14" s="130" t="n"/>
      <x:c r="F14" s="118" t="n">
        <x:f>IFERROR(E14/D14,0)</x:f>
        <x:v>0</x:v>
      </x:c>
      <x:c r="G14" s="131" t="n"/>
      <x:c r="H14" s="129" t="n"/>
      <x:c r="I14" s="131" t="n"/>
      <x:c r="J14" s="130" t="n"/>
      <x:c r="K14" s="118" t="n">
        <x:f>IFERROR(J14/E14*1000,0)</x:f>
        <x:v>0</x:v>
      </x:c>
      <x:c r="L14" s="130" t="n"/>
      <x:c r="M14" s="118" t="n">
        <x:f>IFERROR(L14/E14*1000,0)</x:f>
        <x:v>0</x:v>
      </x:c>
      <x:c r="N14" s="130" t="n"/>
      <x:c r="O14" s="130" t="n"/>
      <x:c r="P14" s="130" t="n"/>
      <x:c r="Q14" s="132" t="n">
        <x:f>IFERROR(O14/N14,0)</x:f>
        <x:v>0</x:v>
      </x:c>
      <x:c r="R14" s="132" t="n">
        <x:f>IFERROR(P14/O14,0)</x:f>
        <x:v>0</x:v>
      </x:c>
      <x:c r="S14" s="129" t="n"/>
      <x:c r="T14" s="129" t="n"/>
      <x:c r="U14" s="129" t="n"/>
      <x:c r="V14" s="129" t="n"/>
      <x:c r="W14" s="133" t="n">
        <x:f>SUMIFS('Phase 1 Calendar'!$AK$5:$AK$300,'Phase 1 Calendar'!$D$5:$D$300,A14)</x:f>
        <x:v>0</x:v>
      </x:c>
      <x:c r="X14" s="134" t="n">
        <x:f>SUMIFS('Phase 1 Calendar'!$AL$5:$AL$300,'Phase 1 Calendar'!$D$5:$D$300,A14)</x:f>
        <x:v>0</x:v>
      </x:c>
      <x:c r="Y14" s="134" t="n">
        <x:f>SUMIFS('Phase 1 Calendar'!$AI$5:$AI$300,'Phase 1 Calendar'!$D$5:$D$300,A14)</x:f>
        <x:v>0</x:v>
      </x:c>
      <x:c r="Z14" s="134" t="n">
        <x:f>IF(W14=0,0,Y14/W14)</x:f>
        <x:v>0</x:v>
      </x:c>
      <x:c r="AA14" s="131" t="n">
        <x:f>IF(C14=0,0,D14/C14)</x:f>
        <x:v>0</x:v>
      </x:c>
      <x:c r="AB14" s="133" t="n">
        <x:f>COUNTIFS('Phase 1 Calendar'!$D$5:$D$300,A14,'Phase 1 Calendar'!$AF$5:$AF$300,"Core",'Phase 1 Calendar'!$AJ$5:$AJ$300,"&lt;&gt;")</x:f>
        <x:v>0</x:v>
      </x:c>
    </x:row>
    <x:row r="15" ht="48" customHeight="1">
      <x:c r="A15" s="110" t="n">
        <x:v>11</x:v>
      </x:c>
      <x:c r="B15" s="109" t="n">
        <x:v>46321</x:v>
      </x:c>
      <x:c r="C15" s="110" t="n">
        <x:f>COUNTIFS('Phase 1 Calendar'!$D$5:$D$300,A15,'Phase 1 Calendar'!$AF$5:$AF$300,"Core")</x:f>
        <x:v>4</x:v>
      </x:c>
      <x:c r="D15" s="123" t="n">
        <x:f>COUNTIFS('Phase 1 Calendar'!$D$5:$D$300,A15,'Phase 1 Calendar'!$AF$5:$AF$300,"Core",'Phase 1 Calendar'!$W$5:$W$300,"Posted")</x:f>
        <x:v>0</x:v>
      </x:c>
      <x:c r="E15" s="124" t="n"/>
      <x:c r="F15" s="111" t="n">
        <x:f>IFERROR(E15/D15,0)</x:f>
        <x:v>0</x:v>
      </x:c>
      <x:c r="G15" s="125" t="n"/>
      <x:c r="H15" s="123" t="n"/>
      <x:c r="I15" s="125" t="n"/>
      <x:c r="J15" s="124" t="n"/>
      <x:c r="K15" s="111" t="n">
        <x:f>IFERROR(J15/E15*1000,0)</x:f>
        <x:v>0</x:v>
      </x:c>
      <x:c r="L15" s="124" t="n"/>
      <x:c r="M15" s="111" t="n">
        <x:f>IFERROR(L15/E15*1000,0)</x:f>
        <x:v>0</x:v>
      </x:c>
      <x:c r="N15" s="124" t="n"/>
      <x:c r="O15" s="124" t="n"/>
      <x:c r="P15" s="124" t="n"/>
      <x:c r="Q15" s="126" t="n">
        <x:f>IFERROR(O15/N15,0)</x:f>
        <x:v>0</x:v>
      </x:c>
      <x:c r="R15" s="126" t="n">
        <x:f>IFERROR(P15/O15,0)</x:f>
        <x:v>0</x:v>
      </x:c>
      <x:c r="S15" s="123" t="n"/>
      <x:c r="T15" s="123" t="n"/>
      <x:c r="U15" s="123" t="n"/>
      <x:c r="V15" s="123" t="n"/>
      <x:c r="W15" s="127" t="n">
        <x:f>SUMIFS('Phase 1 Calendar'!$AK$5:$AK$300,'Phase 1 Calendar'!$D$5:$D$300,A15)</x:f>
        <x:v>0</x:v>
      </x:c>
      <x:c r="X15" s="128" t="n">
        <x:f>SUMIFS('Phase 1 Calendar'!$AL$5:$AL$300,'Phase 1 Calendar'!$D$5:$D$300,A15)</x:f>
        <x:v>0</x:v>
      </x:c>
      <x:c r="Y15" s="128" t="n">
        <x:f>SUMIFS('Phase 1 Calendar'!$AI$5:$AI$300,'Phase 1 Calendar'!$D$5:$D$300,A15)</x:f>
        <x:v>0</x:v>
      </x:c>
      <x:c r="Z15" s="128" t="n">
        <x:f>IF(W15=0,0,Y15/W15)</x:f>
        <x:v>0</x:v>
      </x:c>
      <x:c r="AA15" s="125" t="n">
        <x:f>IF(C15=0,0,D15/C15)</x:f>
        <x:v>0</x:v>
      </x:c>
      <x:c r="AB15" s="127" t="n">
        <x:f>COUNTIFS('Phase 1 Calendar'!$D$5:$D$300,A15,'Phase 1 Calendar'!$AF$5:$AF$300,"Core",'Phase 1 Calendar'!$AJ$5:$AJ$300,"&lt;&gt;")</x:f>
        <x:v>0</x:v>
      </x:c>
    </x:row>
    <x:row r="16" ht="48" customHeight="1">
      <x:c r="A16" s="117" t="n">
        <x:v>12</x:v>
      </x:c>
      <x:c r="B16" s="116" t="n">
        <x:v>46328</x:v>
      </x:c>
      <x:c r="C16" s="117" t="n">
        <x:f>COUNTIFS('Phase 1 Calendar'!$D$5:$D$300,A16,'Phase 1 Calendar'!$AF$5:$AF$300,"Core")</x:f>
        <x:v>4</x:v>
      </x:c>
      <x:c r="D16" s="129" t="n">
        <x:f>COUNTIFS('Phase 1 Calendar'!$D$5:$D$300,A16,'Phase 1 Calendar'!$AF$5:$AF$300,"Core",'Phase 1 Calendar'!$W$5:$W$300,"Posted")</x:f>
        <x:v>0</x:v>
      </x:c>
      <x:c r="E16" s="130" t="n"/>
      <x:c r="F16" s="118" t="n">
        <x:f>IFERROR(E16/D16,0)</x:f>
        <x:v>0</x:v>
      </x:c>
      <x:c r="G16" s="131" t="n"/>
      <x:c r="H16" s="129" t="n"/>
      <x:c r="I16" s="131" t="n"/>
      <x:c r="J16" s="130" t="n"/>
      <x:c r="K16" s="118" t="n">
        <x:f>IFERROR(J16/E16*1000,0)</x:f>
        <x:v>0</x:v>
      </x:c>
      <x:c r="L16" s="130" t="n"/>
      <x:c r="M16" s="118" t="n">
        <x:f>IFERROR(L16/E16*1000,0)</x:f>
        <x:v>0</x:v>
      </x:c>
      <x:c r="N16" s="130" t="n"/>
      <x:c r="O16" s="130" t="n"/>
      <x:c r="P16" s="130" t="n"/>
      <x:c r="Q16" s="132" t="n">
        <x:f>IFERROR(O16/N16,0)</x:f>
        <x:v>0</x:v>
      </x:c>
      <x:c r="R16" s="132" t="n">
        <x:f>IFERROR(P16/O16,0)</x:f>
        <x:v>0</x:v>
      </x:c>
      <x:c r="S16" s="129" t="n"/>
      <x:c r="T16" s="129" t="n"/>
      <x:c r="U16" s="129" t="n"/>
      <x:c r="V16" s="129" t="n"/>
      <x:c r="W16" s="133" t="n">
        <x:f>SUMIFS('Phase 1 Calendar'!$AK$5:$AK$300,'Phase 1 Calendar'!$D$5:$D$300,A16)</x:f>
        <x:v>0</x:v>
      </x:c>
      <x:c r="X16" s="134" t="n">
        <x:f>SUMIFS('Phase 1 Calendar'!$AL$5:$AL$300,'Phase 1 Calendar'!$D$5:$D$300,A16)</x:f>
        <x:v>0</x:v>
      </x:c>
      <x:c r="Y16" s="134" t="n">
        <x:f>SUMIFS('Phase 1 Calendar'!$AI$5:$AI$300,'Phase 1 Calendar'!$D$5:$D$300,A16)</x:f>
        <x:v>0</x:v>
      </x:c>
      <x:c r="Z16" s="134" t="n">
        <x:f>IF(W16=0,0,Y16/W16)</x:f>
        <x:v>0</x:v>
      </x:c>
      <x:c r="AA16" s="131" t="n">
        <x:f>IF(C16=0,0,D16/C16)</x:f>
        <x:v>0</x:v>
      </x:c>
      <x:c r="AB16" s="133" t="n">
        <x:f>COUNTIFS('Phase 1 Calendar'!$D$5:$D$300,A16,'Phase 1 Calendar'!$AF$5:$AF$300,"Core",'Phase 1 Calendar'!$AJ$5:$AJ$300,"&lt;&gt;")</x:f>
        <x:v>0</x:v>
      </x:c>
    </x:row>
    <x:row r="17" ht="48" customHeight="1">
      <x:c r="A17" s="110" t="n">
        <x:v>13</x:v>
      </x:c>
      <x:c r="B17" s="109" t="n">
        <x:v>46335</x:v>
      </x:c>
      <x:c r="C17" s="110" t="n">
        <x:f>COUNTIFS('Phase 1 Calendar'!$D$5:$D$300,A17,'Phase 1 Calendar'!$AF$5:$AF$300,"Core")</x:f>
        <x:v>4</x:v>
      </x:c>
      <x:c r="D17" s="123" t="n">
        <x:f>COUNTIFS('Phase 1 Calendar'!$D$5:$D$300,A17,'Phase 1 Calendar'!$AF$5:$AF$300,"Core",'Phase 1 Calendar'!$W$5:$W$300,"Posted")</x:f>
        <x:v>0</x:v>
      </x:c>
      <x:c r="E17" s="124" t="n"/>
      <x:c r="F17" s="111" t="n">
        <x:f>IFERROR(E17/D17,0)</x:f>
        <x:v>0</x:v>
      </x:c>
      <x:c r="G17" s="125" t="n"/>
      <x:c r="H17" s="123" t="n"/>
      <x:c r="I17" s="125" t="n"/>
      <x:c r="J17" s="124" t="n"/>
      <x:c r="K17" s="111" t="n">
        <x:f>IFERROR(J17/E17*1000,0)</x:f>
        <x:v>0</x:v>
      </x:c>
      <x:c r="L17" s="124" t="n"/>
      <x:c r="M17" s="111" t="n">
        <x:f>IFERROR(L17/E17*1000,0)</x:f>
        <x:v>0</x:v>
      </x:c>
      <x:c r="N17" s="124" t="n"/>
      <x:c r="O17" s="124" t="n"/>
      <x:c r="P17" s="124" t="n"/>
      <x:c r="Q17" s="126" t="n">
        <x:f>IFERROR(O17/N17,0)</x:f>
        <x:v>0</x:v>
      </x:c>
      <x:c r="R17" s="126" t="n">
        <x:f>IFERROR(P17/O17,0)</x:f>
        <x:v>0</x:v>
      </x:c>
      <x:c r="S17" s="123" t="n"/>
      <x:c r="T17" s="123" t="n"/>
      <x:c r="U17" s="123" t="n"/>
      <x:c r="V17" s="123" t="n"/>
      <x:c r="W17" s="127" t="n">
        <x:f>SUMIFS('Phase 1 Calendar'!$AK$5:$AK$300,'Phase 1 Calendar'!$D$5:$D$300,A17)</x:f>
        <x:v>0</x:v>
      </x:c>
      <x:c r="X17" s="128" t="n">
        <x:f>SUMIFS('Phase 1 Calendar'!$AL$5:$AL$300,'Phase 1 Calendar'!$D$5:$D$300,A17)</x:f>
        <x:v>0</x:v>
      </x:c>
      <x:c r="Y17" s="128" t="n">
        <x:f>SUMIFS('Phase 1 Calendar'!$AI$5:$AI$300,'Phase 1 Calendar'!$D$5:$D$300,A17)</x:f>
        <x:v>0</x:v>
      </x:c>
      <x:c r="Z17" s="128" t="n">
        <x:f>IF(W17=0,0,Y17/W17)</x:f>
        <x:v>0</x:v>
      </x:c>
      <x:c r="AA17" s="125" t="n">
        <x:f>IF(C17=0,0,D17/C17)</x:f>
        <x:v>0</x:v>
      </x:c>
      <x:c r="AB17" s="127" t="n">
        <x:f>COUNTIFS('Phase 1 Calendar'!$D$5:$D$300,A17,'Phase 1 Calendar'!$AF$5:$AF$300,"Core",'Phase 1 Calendar'!$AJ$5:$AJ$300,"&lt;&gt;")</x:f>
        <x:v>0</x:v>
      </x:c>
    </x:row>
    <x:row r="18" ht="48" customHeight="1">
      <x:c r="A18" s="117" t="n">
        <x:v>14</x:v>
      </x:c>
      <x:c r="B18" s="116" t="n">
        <x:v>46342</x:v>
      </x:c>
      <x:c r="C18" s="117" t="n">
        <x:f>COUNTIFS('Phase 1 Calendar'!$D$5:$D$300,A18,'Phase 1 Calendar'!$AF$5:$AF$300,"Core")</x:f>
        <x:v>4</x:v>
      </x:c>
      <x:c r="D18" s="129" t="n">
        <x:f>COUNTIFS('Phase 1 Calendar'!$D$5:$D$300,A18,'Phase 1 Calendar'!$AF$5:$AF$300,"Core",'Phase 1 Calendar'!$W$5:$W$300,"Posted")</x:f>
        <x:v>0</x:v>
      </x:c>
      <x:c r="E18" s="130" t="n"/>
      <x:c r="F18" s="118" t="n">
        <x:f>IFERROR(E18/D18,0)</x:f>
        <x:v>0</x:v>
      </x:c>
      <x:c r="G18" s="131" t="n"/>
      <x:c r="H18" s="129" t="n"/>
      <x:c r="I18" s="131" t="n"/>
      <x:c r="J18" s="130" t="n"/>
      <x:c r="K18" s="118" t="n">
        <x:f>IFERROR(J18/E18*1000,0)</x:f>
        <x:v>0</x:v>
      </x:c>
      <x:c r="L18" s="130" t="n"/>
      <x:c r="M18" s="118" t="n">
        <x:f>IFERROR(L18/E18*1000,0)</x:f>
        <x:v>0</x:v>
      </x:c>
      <x:c r="N18" s="130" t="n"/>
      <x:c r="O18" s="130" t="n"/>
      <x:c r="P18" s="130" t="n"/>
      <x:c r="Q18" s="132" t="n">
        <x:f>IFERROR(O18/N18,0)</x:f>
        <x:v>0</x:v>
      </x:c>
      <x:c r="R18" s="132" t="n">
        <x:f>IFERROR(P18/O18,0)</x:f>
        <x:v>0</x:v>
      </x:c>
      <x:c r="S18" s="129" t="n"/>
      <x:c r="T18" s="129" t="n"/>
      <x:c r="U18" s="129" t="n"/>
      <x:c r="V18" s="129" t="n"/>
      <x:c r="W18" s="133" t="n">
        <x:f>SUMIFS('Phase 1 Calendar'!$AK$5:$AK$300,'Phase 1 Calendar'!$D$5:$D$300,A18)</x:f>
        <x:v>0</x:v>
      </x:c>
      <x:c r="X18" s="134" t="n">
        <x:f>SUMIFS('Phase 1 Calendar'!$AL$5:$AL$300,'Phase 1 Calendar'!$D$5:$D$300,A18)</x:f>
        <x:v>0</x:v>
      </x:c>
      <x:c r="Y18" s="134" t="n">
        <x:f>SUMIFS('Phase 1 Calendar'!$AI$5:$AI$300,'Phase 1 Calendar'!$D$5:$D$300,A18)</x:f>
        <x:v>0</x:v>
      </x:c>
      <x:c r="Z18" s="134" t="n">
        <x:f>IF(W18=0,0,Y18/W18)</x:f>
        <x:v>0</x:v>
      </x:c>
      <x:c r="AA18" s="131" t="n">
        <x:f>IF(C18=0,0,D18/C18)</x:f>
        <x:v>0</x:v>
      </x:c>
      <x:c r="AB18" s="133" t="n">
        <x:f>COUNTIFS('Phase 1 Calendar'!$D$5:$D$300,A18,'Phase 1 Calendar'!$AF$5:$AF$300,"Core",'Phase 1 Calendar'!$AJ$5:$AJ$300,"&lt;&gt;")</x:f>
        <x:v>0</x:v>
      </x:c>
    </x:row>
    <x:row r="19" ht="48" customHeight="1">
      <x:c r="A19" s="110" t="n">
        <x:v>15</x:v>
      </x:c>
      <x:c r="B19" s="109" t="n">
        <x:v>46349</x:v>
      </x:c>
      <x:c r="C19" s="110" t="n">
        <x:f>COUNTIFS('Phase 1 Calendar'!$D$5:$D$300,A19,'Phase 1 Calendar'!$AF$5:$AF$300,"Core")</x:f>
        <x:v>4</x:v>
      </x:c>
      <x:c r="D19" s="123" t="n">
        <x:f>COUNTIFS('Phase 1 Calendar'!$D$5:$D$300,A19,'Phase 1 Calendar'!$AF$5:$AF$300,"Core",'Phase 1 Calendar'!$W$5:$W$300,"Posted")</x:f>
        <x:v>0</x:v>
      </x:c>
      <x:c r="E19" s="124" t="n"/>
      <x:c r="F19" s="111" t="n">
        <x:f>IFERROR(E19/D19,0)</x:f>
        <x:v>0</x:v>
      </x:c>
      <x:c r="G19" s="125" t="n"/>
      <x:c r="H19" s="123" t="n"/>
      <x:c r="I19" s="125" t="n"/>
      <x:c r="J19" s="124" t="n"/>
      <x:c r="K19" s="111" t="n">
        <x:f>IFERROR(J19/E19*1000,0)</x:f>
        <x:v>0</x:v>
      </x:c>
      <x:c r="L19" s="124" t="n"/>
      <x:c r="M19" s="111" t="n">
        <x:f>IFERROR(L19/E19*1000,0)</x:f>
        <x:v>0</x:v>
      </x:c>
      <x:c r="N19" s="124" t="n"/>
      <x:c r="O19" s="124" t="n"/>
      <x:c r="P19" s="124" t="n"/>
      <x:c r="Q19" s="126" t="n">
        <x:f>IFERROR(O19/N19,0)</x:f>
        <x:v>0</x:v>
      </x:c>
      <x:c r="R19" s="126" t="n">
        <x:f>IFERROR(P19/O19,0)</x:f>
        <x:v>0</x:v>
      </x:c>
      <x:c r="S19" s="123" t="n"/>
      <x:c r="T19" s="123" t="n"/>
      <x:c r="U19" s="123" t="n"/>
      <x:c r="V19" s="123" t="n"/>
      <x:c r="W19" s="127" t="n">
        <x:f>SUMIFS('Phase 1 Calendar'!$AK$5:$AK$300,'Phase 1 Calendar'!$D$5:$D$300,A19)</x:f>
        <x:v>0</x:v>
      </x:c>
      <x:c r="X19" s="128" t="n">
        <x:f>SUMIFS('Phase 1 Calendar'!$AL$5:$AL$300,'Phase 1 Calendar'!$D$5:$D$300,A19)</x:f>
        <x:v>0</x:v>
      </x:c>
      <x:c r="Y19" s="128" t="n">
        <x:f>SUMIFS('Phase 1 Calendar'!$AI$5:$AI$300,'Phase 1 Calendar'!$D$5:$D$300,A19)</x:f>
        <x:v>0</x:v>
      </x:c>
      <x:c r="Z19" s="128" t="n">
        <x:f>IF(W19=0,0,Y19/W19)</x:f>
        <x:v>0</x:v>
      </x:c>
      <x:c r="AA19" s="125" t="n">
        <x:f>IF(C19=0,0,D19/C19)</x:f>
        <x:v>0</x:v>
      </x:c>
      <x:c r="AB19" s="127" t="n">
        <x:f>COUNTIFS('Phase 1 Calendar'!$D$5:$D$300,A19,'Phase 1 Calendar'!$AF$5:$AF$300,"Core",'Phase 1 Calendar'!$AJ$5:$AJ$300,"&lt;&gt;")</x:f>
        <x:v>0</x:v>
      </x:c>
    </x:row>
    <x:row r="20" ht="48" customHeight="1">
      <x:c r="A20" s="117" t="n">
        <x:v>16</x:v>
      </x:c>
      <x:c r="B20" s="116" t="n">
        <x:v>46356</x:v>
      </x:c>
      <x:c r="C20" s="117" t="n">
        <x:f>COUNTIFS('Phase 1 Calendar'!$D$5:$D$300,A20,'Phase 1 Calendar'!$AF$5:$AF$300,"Core")</x:f>
        <x:v>4</x:v>
      </x:c>
      <x:c r="D20" s="129" t="n">
        <x:f>COUNTIFS('Phase 1 Calendar'!$D$5:$D$300,A20,'Phase 1 Calendar'!$AF$5:$AF$300,"Core",'Phase 1 Calendar'!$W$5:$W$300,"Posted")</x:f>
        <x:v>0</x:v>
      </x:c>
      <x:c r="E20" s="130" t="n"/>
      <x:c r="F20" s="118" t="n">
        <x:f>IFERROR(E20/D20,0)</x:f>
        <x:v>0</x:v>
      </x:c>
      <x:c r="G20" s="131" t="n"/>
      <x:c r="H20" s="129" t="n"/>
      <x:c r="I20" s="131" t="n"/>
      <x:c r="J20" s="130" t="n"/>
      <x:c r="K20" s="118" t="n">
        <x:f>IFERROR(J20/E20*1000,0)</x:f>
        <x:v>0</x:v>
      </x:c>
      <x:c r="L20" s="130" t="n"/>
      <x:c r="M20" s="118" t="n">
        <x:f>IFERROR(L20/E20*1000,0)</x:f>
        <x:v>0</x:v>
      </x:c>
      <x:c r="N20" s="130" t="n"/>
      <x:c r="O20" s="130" t="n"/>
      <x:c r="P20" s="130" t="n"/>
      <x:c r="Q20" s="132" t="n">
        <x:f>IFERROR(O20/N20,0)</x:f>
        <x:v>0</x:v>
      </x:c>
      <x:c r="R20" s="132" t="n">
        <x:f>IFERROR(P20/O20,0)</x:f>
        <x:v>0</x:v>
      </x:c>
      <x:c r="S20" s="129" t="n"/>
      <x:c r="T20" s="129" t="n"/>
      <x:c r="U20" s="129" t="n"/>
      <x:c r="V20" s="129" t="n"/>
      <x:c r="W20" s="133" t="n">
        <x:f>SUMIFS('Phase 1 Calendar'!$AK$5:$AK$300,'Phase 1 Calendar'!$D$5:$D$300,A20)</x:f>
        <x:v>0</x:v>
      </x:c>
      <x:c r="X20" s="134" t="n">
        <x:f>SUMIFS('Phase 1 Calendar'!$AL$5:$AL$300,'Phase 1 Calendar'!$D$5:$D$300,A20)</x:f>
        <x:v>0</x:v>
      </x:c>
      <x:c r="Y20" s="134" t="n">
        <x:f>SUMIFS('Phase 1 Calendar'!$AI$5:$AI$300,'Phase 1 Calendar'!$D$5:$D$300,A20)</x:f>
        <x:v>0</x:v>
      </x:c>
      <x:c r="Z20" s="134" t="n">
        <x:f>IF(W20=0,0,Y20/W20)</x:f>
        <x:v>0</x:v>
      </x:c>
      <x:c r="AA20" s="131" t="n">
        <x:f>IF(C20=0,0,D20/C20)</x:f>
        <x:v>0</x:v>
      </x:c>
      <x:c r="AB20" s="133" t="n">
        <x:f>COUNTIFS('Phase 1 Calendar'!$D$5:$D$300,A20,'Phase 1 Calendar'!$AF$5:$AF$300,"Core",'Phase 1 Calendar'!$AJ$5:$AJ$300,"&lt;&gt;")</x:f>
        <x:v>0</x:v>
      </x:c>
    </x:row>
    <x:row r="21" ht="48" customHeight="1">
      <x:c r="A21" s="110" t="n">
        <x:v>17</x:v>
      </x:c>
      <x:c r="B21" s="109" t="n">
        <x:v>46363</x:v>
      </x:c>
      <x:c r="C21" s="110" t="n">
        <x:f>COUNTIFS('Phase 1 Calendar'!$D$5:$D$300,A21,'Phase 1 Calendar'!$AF$5:$AF$300,"Core")</x:f>
        <x:v>4</x:v>
      </x:c>
      <x:c r="D21" s="123" t="n">
        <x:f>COUNTIFS('Phase 1 Calendar'!$D$5:$D$300,A21,'Phase 1 Calendar'!$AF$5:$AF$300,"Core",'Phase 1 Calendar'!$W$5:$W$300,"Posted")</x:f>
        <x:v>0</x:v>
      </x:c>
      <x:c r="E21" s="124" t="n"/>
      <x:c r="F21" s="111" t="n">
        <x:f>IFERROR(E21/D21,0)</x:f>
        <x:v>0</x:v>
      </x:c>
      <x:c r="G21" s="125" t="n"/>
      <x:c r="H21" s="123" t="n"/>
      <x:c r="I21" s="125" t="n"/>
      <x:c r="J21" s="124" t="n"/>
      <x:c r="K21" s="111" t="n">
        <x:f>IFERROR(J21/E21*1000,0)</x:f>
        <x:v>0</x:v>
      </x:c>
      <x:c r="L21" s="124" t="n"/>
      <x:c r="M21" s="111" t="n">
        <x:f>IFERROR(L21/E21*1000,0)</x:f>
        <x:v>0</x:v>
      </x:c>
      <x:c r="N21" s="124" t="n"/>
      <x:c r="O21" s="124" t="n"/>
      <x:c r="P21" s="124" t="n"/>
      <x:c r="Q21" s="126" t="n">
        <x:f>IFERROR(O21/N21,0)</x:f>
        <x:v>0</x:v>
      </x:c>
      <x:c r="R21" s="126" t="n">
        <x:f>IFERROR(P21/O21,0)</x:f>
        <x:v>0</x:v>
      </x:c>
      <x:c r="S21" s="123" t="n"/>
      <x:c r="T21" s="123" t="n"/>
      <x:c r="U21" s="123" t="n"/>
      <x:c r="V21" s="123" t="n"/>
      <x:c r="W21" s="127" t="n">
        <x:f>SUMIFS('Phase 1 Calendar'!$AK$5:$AK$300,'Phase 1 Calendar'!$D$5:$D$300,A21)</x:f>
        <x:v>0</x:v>
      </x:c>
      <x:c r="X21" s="128" t="n">
        <x:f>SUMIFS('Phase 1 Calendar'!$AL$5:$AL$300,'Phase 1 Calendar'!$D$5:$D$300,A21)</x:f>
        <x:v>0</x:v>
      </x:c>
      <x:c r="Y21" s="128" t="n">
        <x:f>SUMIFS('Phase 1 Calendar'!$AI$5:$AI$300,'Phase 1 Calendar'!$D$5:$D$300,A21)</x:f>
        <x:v>0</x:v>
      </x:c>
      <x:c r="Z21" s="128" t="n">
        <x:f>IF(W21=0,0,Y21/W21)</x:f>
        <x:v>0</x:v>
      </x:c>
      <x:c r="AA21" s="125" t="n">
        <x:f>IF(C21=0,0,D21/C21)</x:f>
        <x:v>0</x:v>
      </x:c>
      <x:c r="AB21" s="127" t="n">
        <x:f>COUNTIFS('Phase 1 Calendar'!$D$5:$D$300,A21,'Phase 1 Calendar'!$AF$5:$AF$300,"Core",'Phase 1 Calendar'!$AJ$5:$AJ$300,"&lt;&gt;")</x:f>
        <x:v>0</x:v>
      </x:c>
    </x:row>
    <x:row r="22" ht="48" customHeight="1">
      <x:c r="A22" s="117" t="n">
        <x:v>18</x:v>
      </x:c>
      <x:c r="B22" s="116" t="n">
        <x:v>46370</x:v>
      </x:c>
      <x:c r="C22" s="117" t="n">
        <x:f>COUNTIFS('Phase 1 Calendar'!$D$5:$D$300,A22,'Phase 1 Calendar'!$AF$5:$AF$300,"Core")</x:f>
        <x:v>4</x:v>
      </x:c>
      <x:c r="D22" s="129" t="n">
        <x:f>COUNTIFS('Phase 1 Calendar'!$D$5:$D$300,A22,'Phase 1 Calendar'!$AF$5:$AF$300,"Core",'Phase 1 Calendar'!$W$5:$W$300,"Posted")</x:f>
        <x:v>0</x:v>
      </x:c>
      <x:c r="E22" s="130" t="n"/>
      <x:c r="F22" s="118" t="n">
        <x:f>IFERROR(E22/D22,0)</x:f>
        <x:v>0</x:v>
      </x:c>
      <x:c r="G22" s="131" t="n"/>
      <x:c r="H22" s="129" t="n"/>
      <x:c r="I22" s="131" t="n"/>
      <x:c r="J22" s="130" t="n"/>
      <x:c r="K22" s="118" t="n">
        <x:f>IFERROR(J22/E22*1000,0)</x:f>
        <x:v>0</x:v>
      </x:c>
      <x:c r="L22" s="130" t="n"/>
      <x:c r="M22" s="118" t="n">
        <x:f>IFERROR(L22/E22*1000,0)</x:f>
        <x:v>0</x:v>
      </x:c>
      <x:c r="N22" s="130" t="n"/>
      <x:c r="O22" s="130" t="n"/>
      <x:c r="P22" s="130" t="n"/>
      <x:c r="Q22" s="132" t="n">
        <x:f>IFERROR(O22/N22,0)</x:f>
        <x:v>0</x:v>
      </x:c>
      <x:c r="R22" s="132" t="n">
        <x:f>IFERROR(P22/O22,0)</x:f>
        <x:v>0</x:v>
      </x:c>
      <x:c r="S22" s="129" t="n"/>
      <x:c r="T22" s="129" t="n"/>
      <x:c r="U22" s="129" t="n"/>
      <x:c r="V22" s="129" t="n"/>
      <x:c r="W22" s="133" t="n">
        <x:f>SUMIFS('Phase 1 Calendar'!$AK$5:$AK$300,'Phase 1 Calendar'!$D$5:$D$300,A22)</x:f>
        <x:v>0</x:v>
      </x:c>
      <x:c r="X22" s="134" t="n">
        <x:f>SUMIFS('Phase 1 Calendar'!$AL$5:$AL$300,'Phase 1 Calendar'!$D$5:$D$300,A22)</x:f>
        <x:v>0</x:v>
      </x:c>
      <x:c r="Y22" s="134" t="n">
        <x:f>SUMIFS('Phase 1 Calendar'!$AI$5:$AI$300,'Phase 1 Calendar'!$D$5:$D$300,A22)</x:f>
        <x:v>0</x:v>
      </x:c>
      <x:c r="Z22" s="134" t="n">
        <x:f>IF(W22=0,0,Y22/W22)</x:f>
        <x:v>0</x:v>
      </x:c>
      <x:c r="AA22" s="131" t="n">
        <x:f>IF(C22=0,0,D22/C22)</x:f>
        <x:v>0</x:v>
      </x:c>
      <x:c r="AB22" s="133" t="n">
        <x:f>COUNTIFS('Phase 1 Calendar'!$D$5:$D$300,A22,'Phase 1 Calendar'!$AF$5:$AF$300,"Core",'Phase 1 Calendar'!$AJ$5:$AJ$300,"&lt;&gt;")</x:f>
        <x:v>0</x:v>
      </x:c>
    </x:row>
    <x:row r="23" ht="48" customHeight="1">
      <x:c r="A23" s="110" t="n">
        <x:v>19</x:v>
      </x:c>
      <x:c r="B23" s="109" t="n">
        <x:v>46377</x:v>
      </x:c>
      <x:c r="C23" s="110" t="n">
        <x:f>COUNTIFS('Phase 1 Calendar'!$D$5:$D$300,A23,'Phase 1 Calendar'!$AF$5:$AF$300,"Core")</x:f>
        <x:v>4</x:v>
      </x:c>
      <x:c r="D23" s="123" t="n">
        <x:f>COUNTIFS('Phase 1 Calendar'!$D$5:$D$300,A23,'Phase 1 Calendar'!$AF$5:$AF$300,"Core",'Phase 1 Calendar'!$W$5:$W$300,"Posted")</x:f>
        <x:v>0</x:v>
      </x:c>
      <x:c r="E23" s="124" t="n"/>
      <x:c r="F23" s="111" t="n">
        <x:f>IFERROR(E23/D23,0)</x:f>
        <x:v>0</x:v>
      </x:c>
      <x:c r="G23" s="125" t="n"/>
      <x:c r="H23" s="123" t="n"/>
      <x:c r="I23" s="125" t="n"/>
      <x:c r="J23" s="124" t="n"/>
      <x:c r="K23" s="111" t="n">
        <x:f>IFERROR(J23/E23*1000,0)</x:f>
        <x:v>0</x:v>
      </x:c>
      <x:c r="L23" s="124" t="n"/>
      <x:c r="M23" s="111" t="n">
        <x:f>IFERROR(L23/E23*1000,0)</x:f>
        <x:v>0</x:v>
      </x:c>
      <x:c r="N23" s="124" t="n"/>
      <x:c r="O23" s="124" t="n"/>
      <x:c r="P23" s="124" t="n"/>
      <x:c r="Q23" s="126" t="n">
        <x:f>IFERROR(O23/N23,0)</x:f>
        <x:v>0</x:v>
      </x:c>
      <x:c r="R23" s="126" t="n">
        <x:f>IFERROR(P23/O23,0)</x:f>
        <x:v>0</x:v>
      </x:c>
      <x:c r="S23" s="123" t="n"/>
      <x:c r="T23" s="123" t="n"/>
      <x:c r="U23" s="123" t="n"/>
      <x:c r="V23" s="123" t="n"/>
      <x:c r="W23" s="127" t="n">
        <x:f>SUMIFS('Phase 1 Calendar'!$AK$5:$AK$300,'Phase 1 Calendar'!$D$5:$D$300,A23)</x:f>
        <x:v>0</x:v>
      </x:c>
      <x:c r="X23" s="128" t="n">
        <x:f>SUMIFS('Phase 1 Calendar'!$AL$5:$AL$300,'Phase 1 Calendar'!$D$5:$D$300,A23)</x:f>
        <x:v>0</x:v>
      </x:c>
      <x:c r="Y23" s="128" t="n">
        <x:f>SUMIFS('Phase 1 Calendar'!$AI$5:$AI$300,'Phase 1 Calendar'!$D$5:$D$300,A23)</x:f>
        <x:v>0</x:v>
      </x:c>
      <x:c r="Z23" s="128" t="n">
        <x:f>IF(W23=0,0,Y23/W23)</x:f>
        <x:v>0</x:v>
      </x:c>
      <x:c r="AA23" s="125" t="n">
        <x:f>IF(C23=0,0,D23/C23)</x:f>
        <x:v>0</x:v>
      </x:c>
      <x:c r="AB23" s="127" t="n">
        <x:f>COUNTIFS('Phase 1 Calendar'!$D$5:$D$300,A23,'Phase 1 Calendar'!$AF$5:$AF$300,"Core",'Phase 1 Calendar'!$AJ$5:$AJ$300,"&lt;&gt;")</x:f>
        <x:v>0</x:v>
      </x:c>
    </x:row>
    <x:row r="24" ht="48" customHeight="1">
      <x:c r="A24" s="117" t="n">
        <x:v>20</x:v>
      </x:c>
      <x:c r="B24" s="116" t="n">
        <x:v>46384</x:v>
      </x:c>
      <x:c r="C24" s="117" t="n">
        <x:f>COUNTIFS('Phase 1 Calendar'!$D$5:$D$300,A24,'Phase 1 Calendar'!$AF$5:$AF$300,"Core")</x:f>
        <x:v>3</x:v>
      </x:c>
      <x:c r="D24" s="129" t="n">
        <x:f>COUNTIFS('Phase 1 Calendar'!$D$5:$D$300,A24,'Phase 1 Calendar'!$AF$5:$AF$300,"Core",'Phase 1 Calendar'!$W$5:$W$300,"Posted")</x:f>
        <x:v>0</x:v>
      </x:c>
      <x:c r="E24" s="130" t="n"/>
      <x:c r="F24" s="118" t="n">
        <x:f>IFERROR(E24/D24,0)</x:f>
        <x:v>0</x:v>
      </x:c>
      <x:c r="G24" s="131" t="n"/>
      <x:c r="H24" s="129" t="n"/>
      <x:c r="I24" s="131" t="n"/>
      <x:c r="J24" s="130" t="n"/>
      <x:c r="K24" s="118" t="n">
        <x:f>IFERROR(J24/E24*1000,0)</x:f>
        <x:v>0</x:v>
      </x:c>
      <x:c r="L24" s="130" t="n"/>
      <x:c r="M24" s="118" t="n">
        <x:f>IFERROR(L24/E24*1000,0)</x:f>
        <x:v>0</x:v>
      </x:c>
      <x:c r="N24" s="130" t="n"/>
      <x:c r="O24" s="130" t="n"/>
      <x:c r="P24" s="130" t="n"/>
      <x:c r="Q24" s="132" t="n">
        <x:f>IFERROR(O24/N24,0)</x:f>
        <x:v>0</x:v>
      </x:c>
      <x:c r="R24" s="132" t="n">
        <x:f>IFERROR(P24/O24,0)</x:f>
        <x:v>0</x:v>
      </x:c>
      <x:c r="S24" s="129" t="n"/>
      <x:c r="T24" s="129" t="n"/>
      <x:c r="U24" s="129" t="n"/>
      <x:c r="V24" s="129" t="n"/>
      <x:c r="W24" s="133" t="n">
        <x:f>SUMIFS('Phase 1 Calendar'!$AK$5:$AK$300,'Phase 1 Calendar'!$D$5:$D$300,A24)</x:f>
        <x:v>0</x:v>
      </x:c>
      <x:c r="X24" s="134" t="n">
        <x:f>SUMIFS('Phase 1 Calendar'!$AL$5:$AL$300,'Phase 1 Calendar'!$D$5:$D$300,A24)</x:f>
        <x:v>0</x:v>
      </x:c>
      <x:c r="Y24" s="134" t="n">
        <x:f>SUMIFS('Phase 1 Calendar'!$AI$5:$AI$300,'Phase 1 Calendar'!$D$5:$D$300,A24)</x:f>
        <x:v>0</x:v>
      </x:c>
      <x:c r="Z24" s="134" t="n">
        <x:f>IF(W24=0,0,Y24/W24)</x:f>
        <x:v>0</x:v>
      </x:c>
      <x:c r="AA24" s="131" t="n">
        <x:f>IF(C24=0,0,D24/C24)</x:f>
        <x:v>0</x:v>
      </x:c>
      <x:c r="AB24" s="133" t="n">
        <x:f>COUNTIFS('Phase 1 Calendar'!$D$5:$D$300,A24,'Phase 1 Calendar'!$AF$5:$AF$300,"Core",'Phase 1 Calendar'!$AJ$5:$AJ$300,"&lt;&gt;")</x:f>
        <x:v>0</x:v>
      </x:c>
    </x:row>
  </x:sheetData>
  <x:mergeCells>
    <x:mergeCell ref="A2:V2"/>
    <x:mergeCell ref="A1:V1"/>
  </x:mergeCells>
  <x:pageMargins left="0.7" right="0.7" top="0.75" bottom="0.75" header="0.3" footer="0.3"/>
  <x:legacyDrawing xmlns:r="http://schemas.openxmlformats.org/officeDocument/2006/relationships" r:id="Rf0f04a7c53294464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42" customWidth="1"/>
    <x:col min="3" max="3" width="34" customWidth="1"/>
    <x:col min="4" max="4" width="46" customWidth="1"/>
    <x:col min="5" max="5" width="48" customWidth="1"/>
    <x:col min="6" max="6" width="48" customWidth="1"/>
  </x:cols>
  <x:sheetData>
    <x:row r="1" ht="28" customHeight="1">
      <x:c r="A1" s="106" t="inlineStr">
        <x:is>
          <x:t xml:space="preserve">KPI DECISION RULES</x:t>
        </x:is>
      </x:c>
    </x:row>
    <x:row r="2" ht="34" customHeight="1">
      <x:c r="A2" s="107" t="inlineStr">
        <x:is>
          <x:t xml:space="preserve">Use these rules in the weekly review so metrics turn into content decisions.</x:t>
        </x:is>
      </x:c>
    </x:row>
    <x:row r="3"/>
    <x:row r="4" ht="36" customHeight="1">
      <x:c r="A4" s="108" t="inlineStr">
        <x:is>
          <x:t xml:space="preserve">Metric</x:t>
        </x:is>
      </x:c>
      <x:c r="B4" s="108" t="inlineStr">
        <x:is>
          <x:t xml:space="preserve">What It Measures</x:t>
        </x:is>
      </x:c>
      <x:c r="C4" s="108" t="inlineStr">
        <x:is>
          <x:t xml:space="preserve">Phase 1 Target / Benchmark</x:t>
        </x:is>
      </x:c>
      <x:c r="D4" s="108" t="inlineStr">
        <x:is>
          <x:t xml:space="preserve">Decision Rule</x:t>
        </x:is>
      </x:c>
      <x:c r="E4" s="108" t="inlineStr">
        <x:is>
          <x:t xml:space="preserve">Action If Weak</x:t>
        </x:is>
      </x:c>
      <x:c r="F4" s="108" t="inlineStr">
        <x:is>
          <x:t xml:space="preserve">Action If Strong</x:t>
        </x:is>
      </x:c>
    </x:row>
    <x:row r="5" ht="62" customHeight="1">
      <x:c r="A5" s="110" t="inlineStr">
        <x:is>
          <x:t xml:space="preserve">Posts published</x:t>
        </x:is>
      </x:c>
      <x:c r="B5" s="110" t="inlineStr">
        <x:is>
          <x:t xml:space="preserve">Actual posts vs planned calendar</x:t>
        </x:is>
      </x:c>
      <x:c r="C5" s="110" t="inlineStr">
        <x:is>
          <x:t xml:space="preserve">90%+ of planned posts</x:t>
        </x:is>
      </x:c>
      <x:c r="D5" s="110" t="inlineStr">
        <x:is>
          <x:t xml:space="preserve">If below target for 2 weeks, simplify formats and reduce production load.</x:t>
        </x:is>
      </x:c>
      <x:c r="E5" s="110" t="inlineStr">
        <x:is>
          <x:t xml:space="preserve">Batch more, use templates, cut hero videos into more pieces.</x:t>
        </x:is>
      </x:c>
      <x:c r="F5" s="110" t="inlineStr">
        <x:is>
          <x:t xml:space="preserve">Increase ambition: more road checks or community replies.</x:t>
        </x:is>
      </x:c>
    </x:row>
    <x:row r="6" ht="62" customHeight="1">
      <x:c r="A6" s="117" t="inlineStr">
        <x:is>
          <x:t xml:space="preserve">3-second hold</x:t>
        </x:is>
      </x:c>
      <x:c r="B6" s="117" t="inlineStr">
        <x:is>
          <x:t xml:space="preserve">Hook strength and first-frame clarity</x:t>
        </x:is>
      </x:c>
      <x:c r="C6" s="117" t="inlineStr">
        <x:is>
          <x:t xml:space="preserve">Improve week over week</x:t>
        </x:is>
      </x:c>
      <x:c r="D6" s="117" t="inlineStr">
        <x:is>
          <x:t xml:space="preserve">If weak, change first visual and first sentence before changing topic.</x:t>
        </x:is>
      </x:c>
      <x:c r="E6" s="117" t="inlineStr">
        <x:is>
          <x:t xml:space="preserve">Start with road moment/problem; remove logo/intros.</x:t>
        </x:is>
      </x:c>
      <x:c r="F6" s="117" t="inlineStr">
        <x:is>
          <x:t xml:space="preserve">Use winning hook structure in next 5 posts.</x:t>
        </x:is>
      </x:c>
    </x:row>
    <x:row r="7" ht="62" customHeight="1">
      <x:c r="A7" s="110" t="inlineStr">
        <x:is>
          <x:t xml:space="preserve">Average watch time</x:t>
        </x:is>
      </x:c>
      <x:c r="B7" s="110" t="inlineStr">
        <x:is>
          <x:t xml:space="preserve">Depth of attention</x:t>
        </x:is>
      </x:c>
      <x:c r="C7" s="110" t="inlineStr">
        <x:is>
          <x:t xml:space="preserve">Improve week over week</x:t>
        </x:is>
      </x:c>
      <x:c r="D7" s="110" t="inlineStr">
        <x:is>
          <x:t xml:space="preserve">If views are high but watch time low, payoff is too slow.</x:t>
        </x:is>
      </x:c>
      <x:c r="E7" s="110" t="inlineStr">
        <x:is>
          <x:t xml:space="preserve">Shorten setup, move proof earlier, remove filler.</x:t>
        </x:is>
      </x:c>
      <x:c r="F7" s="110" t="inlineStr">
        <x:is>
          <x:t xml:space="preserve">Make a longer YouTube/hero version.</x:t>
        </x:is>
      </x:c>
    </x:row>
    <x:row r="8" ht="62" customHeight="1">
      <x:c r="A8" s="117" t="inlineStr">
        <x:is>
          <x:t xml:space="preserve">Completion rate</x:t>
        </x:is>
      </x:c>
      <x:c r="B8" s="117" t="inlineStr">
        <x:is>
          <x:t xml:space="preserve">Story tightness</x:t>
        </x:is>
      </x:c>
      <x:c r="C8" s="117" t="inlineStr">
        <x:is>
          <x:t xml:space="preserve">Improve week over week by format</x:t>
        </x:is>
      </x:c>
      <x:c r="D8" s="117" t="inlineStr">
        <x:is>
          <x:t xml:space="preserve">If completion falls on longer videos, split into parts.</x:t>
        </x:is>
      </x:c>
      <x:c r="E8" s="117" t="inlineStr">
        <x:is>
          <x:t xml:space="preserve">Cut intros and use a final payoff.</x:t>
        </x:is>
      </x:c>
      <x:c r="F8" s="117" t="inlineStr">
        <x:is>
          <x:t xml:space="preserve">Create recurring series from top format.</x:t>
        </x:is>
      </x:c>
    </x:row>
    <x:row r="9" ht="62" customHeight="1">
      <x:c r="A9" s="110" t="inlineStr">
        <x:is>
          <x:t xml:space="preserve">Saves</x:t>
        </x:is>
      </x:c>
      <x:c r="B9" s="110" t="inlineStr">
        <x:is>
          <x:t xml:space="preserve">Usefulness and reference value</x:t>
        </x:is>
      </x:c>
      <x:c r="C9" s="110" t="inlineStr">
        <x:is>
          <x:t xml:space="preserve">Strongest on checklists/explainers</x:t>
        </x:is>
      </x:c>
      <x:c r="D9" s="110" t="inlineStr">
        <x:is>
          <x:t xml:space="preserve">If saves low on education content, make it more step-by-step.</x:t>
        </x:is>
      </x:c>
      <x:c r="E9" s="110" t="inlineStr">
        <x:is>
          <x:t xml:space="preserve">Add final recap card and clearer list.</x:t>
        </x:is>
      </x:c>
      <x:c r="F9" s="110" t="inlineStr">
        <x:is>
          <x:t xml:space="preserve">Turn into carousel, PDF/checklist, or story highlight.</x:t>
        </x:is>
      </x:c>
    </x:row>
    <x:row r="10" ht="62" customHeight="1">
      <x:c r="A10" s="117" t="inlineStr">
        <x:is>
          <x:t xml:space="preserve">Shares / 1K views</x:t>
        </x:is>
      </x:c>
      <x:c r="B10" s="117" t="inlineStr">
        <x:is>
          <x:t xml:space="preserve">Relatability and utility</x:t>
        </x:is>
      </x:c>
      <x:c r="C10" s="117" t="inlineStr">
        <x:is>
          <x:t xml:space="preserve">Primary social KPI</x:t>
        </x:is>
      </x:c>
      <x:c r="D10" s="117" t="inlineStr">
        <x:is>
          <x:t xml:space="preserve">If low, content may be too brand-first.</x:t>
        </x:is>
      </x:c>
      <x:c r="E10" s="117" t="inlineStr">
        <x:is>
          <x:t xml:space="preserve">Make it more useful, route-specific, family/group-relevant.</x:t>
        </x:is>
      </x:c>
      <x:c r="F10" s="117" t="inlineStr">
        <x:is>
          <x:t xml:space="preserve">Create variants across routes/audiences.</x:t>
        </x:is>
      </x:c>
    </x:row>
    <x:row r="11" ht="62" customHeight="1">
      <x:c r="A11" s="110" t="inlineStr">
        <x:is>
          <x:t xml:space="preserve">Comments / 1K views</x:t>
        </x:is>
      </x:c>
      <x:c r="B11" s="110" t="inlineStr">
        <x:is>
          <x:t xml:space="preserve">Conversation strength</x:t>
        </x:is>
      </x:c>
      <x:c r="C11" s="110" t="inlineStr">
        <x:is>
          <x:t xml:space="preserve">Strongest on debate/community posts</x:t>
        </x:is>
      </x:c>
      <x:c r="D11" s="110" t="inlineStr">
        <x:is>
          <x:t xml:space="preserve">If low, ask a more specific question.</x:t>
        </x:is>
      </x:c>
      <x:c r="E11" s="110" t="inlineStr">
        <x:is>
          <x:t xml:space="preserve">Use polls, either/or prompts, and comment-to-video replies.</x:t>
        </x:is>
      </x:c>
      <x:c r="F11" s="110" t="inlineStr">
        <x:is>
          <x:t xml:space="preserve">Build next post from top comment.</x:t>
        </x:is>
      </x:c>
    </x:row>
    <x:row r="12" ht="62" customHeight="1">
      <x:c r="A12" s="117" t="inlineStr">
        <x:is>
          <x:t xml:space="preserve">Profile visits</x:t>
        </x:is>
      </x:c>
      <x:c r="B12" s="117" t="inlineStr">
        <x:is>
          <x:t xml:space="preserve">Brand curiosity</x:t>
        </x:is>
      </x:c>
      <x:c r="C12" s="117" t="inlineStr">
        <x:is>
          <x:t xml:space="preserve">Should rise on founder/proof content</x:t>
        </x:is>
      </x:c>
      <x:c r="D12" s="117" t="inlineStr">
        <x:is>
          <x:t xml:space="preserve">If low, viewers like video but do not know why to follow.</x:t>
        </x:is>
      </x:c>
      <x:c r="E12" s="117" t="inlineStr">
        <x:is>
          <x:t xml:space="preserve">Stronger brand end card; clearer page promise.</x:t>
        </x:is>
      </x:c>
      <x:c r="F12" s="117" t="inlineStr">
        <x:is>
          <x:t xml:space="preserve">Update profile pinned posts to match winning topics.</x:t>
        </x:is>
      </x:c>
    </x:row>
    <x:row r="13" ht="62" customHeight="1">
      <x:c r="A13" s="110" t="inlineStr">
        <x:is>
          <x:t xml:space="preserve">App store clicks</x:t>
        </x:is>
      </x:c>
      <x:c r="B13" s="110" t="inlineStr">
        <x:is>
          <x:t xml:space="preserve">Commercial intent</x:t>
        </x:is>
      </x:c>
      <x:c r="C13" s="110" t="inlineStr">
        <x:is>
          <x:t xml:space="preserve">Track weekly by platform</x:t>
        </x:is>
      </x:c>
      <x:c r="D13" s="110" t="inlineStr">
        <x:is>
          <x:t xml:space="preserve">If low despite good engagement, CTA/product proof is weak.</x:t>
        </x:is>
      </x:c>
      <x:c r="E13" s="110" t="inlineStr">
        <x:is>
          <x:t xml:space="preserve">Show feature outcome earlier and use direct CTA after proof.</x:t>
        </x:is>
      </x:c>
      <x:c r="F13" s="110" t="inlineStr">
        <x:is>
          <x:t xml:space="preserve">Retarget or boost winning product proof.</x:t>
        </x:is>
      </x:c>
    </x:row>
    <x:row r="14" ht="62" customHeight="1">
      <x:c r="A14" s="117" t="inlineStr">
        <x:is>
          <x:t xml:space="preserve">Install conversion</x:t>
        </x:is>
      </x:c>
      <x:c r="B14" s="117" t="inlineStr">
        <x:is>
          <x:t xml:space="preserve">Click quality and onboarding clarity</x:t>
        </x:is>
      </x:c>
      <x:c r="C14" s="117" t="inlineStr">
        <x:is>
          <x:t xml:space="preserve">Improve after conversion content improves</x:t>
        </x:is>
      </x:c>
      <x:c r="D14" s="117" t="inlineStr">
        <x:is>
          <x:t xml:space="preserve">If clicks high but installs low, store/onboarding may need work.</x:t>
        </x:is>
      </x:c>
      <x:c r="E14" s="117" t="inlineStr">
        <x:is>
          <x:t xml:space="preserve">Review app-store listing, screenshots, first-run setup.</x:t>
        </x:is>
      </x:c>
      <x:c r="F14" s="117" t="inlineStr">
        <x:is>
          <x:t xml:space="preserve">Scale content angle and add onboarding tutorial.</x:t>
        </x:is>
      </x:c>
    </x:row>
    <x:row r="15" ht="62" customHeight="1">
      <x:c r="A15" s="110" t="inlineStr">
        <x:is>
          <x:t xml:space="preserve">Follower growth</x:t>
        </x:is>
      </x:c>
      <x:c r="B15" s="110" t="inlineStr">
        <x:is>
          <x:t xml:space="preserve">Audience compounding</x:t>
        </x:is>
      </x:c>
      <x:c r="C15" s="110" t="inlineStr">
        <x:is>
          <x:t xml:space="preserve">Steady week-over-week growth</x:t>
        </x:is>
      </x:c>
      <x:c r="D15" s="110" t="inlineStr">
        <x:is>
          <x:t xml:space="preserve">If weak, the page promise may be unclear.</x:t>
        </x:is>
      </x:c>
      <x:c r="E15" s="110" t="inlineStr">
        <x:is>
          <x:t xml:space="preserve">Pin best “what is Msafiri” and road-check videos.</x:t>
        </x:is>
      </x:c>
      <x:c r="F15" s="110" t="inlineStr">
        <x:is>
          <x:t xml:space="preserve">Create more serial content and community loops.</x:t>
        </x:is>
      </x:c>
    </x:row>
    <x:row r="16" ht="62" customHeight="1">
      <x:c r="A16" s="117" t="inlineStr">
        <x:is>
          <x:t xml:space="preserve">Top series</x:t>
        </x:is>
      </x:c>
      <x:c r="B16" s="117" t="inlineStr">
        <x:is>
          <x:t xml:space="preserve">Series with strongest retention/share mix</x:t>
        </x:is>
      </x:c>
      <x:c r="C16" s="117" t="inlineStr">
        <x:is>
          <x:t xml:space="preserve">Identify top 3 by end of month 1</x:t>
        </x:is>
      </x:c>
      <x:c r="D16" s="117" t="inlineStr">
        <x:is>
          <x:t xml:space="preserve">If no series wins, formats may be too scattered.</x:t>
        </x:is>
      </x:c>
      <x:c r="E16" s="117" t="inlineStr">
        <x:is>
          <x:t xml:space="preserve">Repeat series cadence and compare apples-to-apples.</x:t>
        </x:is>
      </x:c>
      <x:c r="F16" s="117" t="inlineStr">
        <x:is>
          <x:t xml:space="preserve">Increase cadence and create sponsor/PR-ready clips.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2" customWidth="1"/>
    <x:col min="4" max="4" width="46" customWidth="1"/>
    <x:col min="5" max="5" width="52" customWidth="1"/>
    <x:col min="6" max="6" width="38" customWidth="1"/>
    <x:col min="7" max="7" width="38" customWidth="1"/>
    <x:col min="8" max="8" width="48" customWidth="1"/>
    <x:col min="9" max="9" width="56" customWidth="1"/>
  </x:cols>
  <x:sheetData>
    <x:row r="1" ht="28" customHeight="1">
      <x:c r="A1" s="106" t="inlineStr">
        <x:is>
          <x:t xml:space="preserve">CAMPAIGN MOMENTS</x:t>
        </x:is>
      </x:c>
    </x:row>
    <x:row r="2" ht="34" customHeight="1">
      <x:c r="A2" s="107" t="inlineStr">
        <x:is>
          <x:t xml:space="preserve">Seasonal and campaign hooks that should shape calendar priorities and CTAs.</x:t>
        </x:is>
      </x:c>
    </x:row>
    <x:row r="3"/>
    <x:row r="4" ht="36" customHeight="1">
      <x:c r="A4" s="108" t="inlineStr">
        <x:is>
          <x:t xml:space="preserve">Date / Window</x:t>
        </x:is>
      </x:c>
      <x:c r="B4" s="108" t="inlineStr">
        <x:is>
          <x:t xml:space="preserve">Moment / Campaign</x:t>
        </x:is>
      </x:c>
      <x:c r="C4" s="108" t="inlineStr">
        <x:is>
          <x:t xml:space="preserve">Audience Emotion</x:t>
        </x:is>
      </x:c>
      <x:c r="D4" s="108" t="inlineStr">
        <x:is>
          <x:t xml:space="preserve">Content Approach</x:t>
        </x:is>
      </x:c>
      <x:c r="E4" s="108" t="inlineStr">
        <x:is>
          <x:t xml:space="preserve">Content Ideas</x:t>
        </x:is>
      </x:c>
      <x:c r="F4" s="108" t="inlineStr">
        <x:is>
          <x:t xml:space="preserve">Features to Highlight</x:t>
        </x:is>
      </x:c>
      <x:c r="G4" s="108" t="inlineStr">
        <x:is>
          <x:t xml:space="preserve">CTA</x:t>
        </x:is>
      </x:c>
      <x:c r="H4" s="108" t="inlineStr">
        <x:is>
          <x:t xml:space="preserve">Risk / Guardrail</x:t>
        </x:is>
      </x:c>
      <x:c r="I4" s="108" t="inlineStr">
        <x:is>
          <x:t xml:space="preserve">Source URL</x:t>
        </x:is>
      </x:c>
    </x:row>
    <x:row r="5" ht="70" customHeight="1">
      <x:c r="A5" s="110" t="inlineStr">
        <x:is>
          <x:t xml:space="preserve">17 Aug 2026</x:t>
        </x:is>
      </x:c>
      <x:c r="B5" s="110" t="inlineStr">
        <x:is>
          <x:t xml:space="preserve">Phase 1 kickoff</x:t>
        </x:is>
      </x:c>
      <x:c r="C5" s="110" t="inlineStr">
        <x:is>
          <x:t xml:space="preserve">Curiosity; what is Msafiri?</x:t>
        </x:is>
      </x:c>
      <x:c r="D5" s="110" t="inlineStr">
        <x:is>
          <x:t xml:space="preserve">Strong positioning and simple product promise.</x:t>
        </x:is>
      </x:c>
      <x:c r="E5" s="110" t="inlineStr">
        <x:is>
          <x:t xml:space="preserve">Founder intro; road-check hero; “what Msafiri helps with” carousel.</x:t>
        </x:is>
      </x:c>
      <x:c r="F5" s="110" t="inlineStr">
        <x:is>
          <x:t xml:space="preserve">Msafiri brand trust, speed camera alerts, road alerts.</x:t>
        </x:is>
      </x:c>
      <x:c r="G5" s="110" t="inlineStr">
        <x:is>
          <x:t xml:space="preserve">Follow Msafiri for Kenyan road intelligence.</x:t>
        </x:is>
      </x:c>
      <x:c r="H5" s="110" t="inlineStr">
        <x:is>
          <x:t xml:space="preserve">Do not over-explain every feature on day one.</x:t>
        </x:is>
      </x:c>
      <x:c r="I5" s="110" t="n"/>
    </x:row>
    <x:row r="6" ht="70" customHeight="1">
      <x:c r="A6" s="117" t="inlineStr">
        <x:is>
          <x:t xml:space="preserve">Aug–Sep weekly</x:t>
        </x:is>
      </x:c>
      <x:c r="B6" s="117" t="inlineStr">
        <x:is>
          <x:t xml:space="preserve">Commuter routine build</x:t>
        </x:is>
      </x:c>
      <x:c r="C6" s="117" t="inlineStr">
        <x:is>
          <x:t xml:space="preserve">Daily frustration; time pressure.</x:t>
        </x:is>
      </x:c>
      <x:c r="D6" s="117" t="inlineStr">
        <x:is>
          <x:t xml:space="preserve">Make Msafiri useful for ordinary drives.</x:t>
        </x:is>
      </x:c>
      <x:c r="E6" s="117" t="inlineStr">
        <x:is>
          <x:t xml:space="preserve">Monday Road Check; Tuesday Feature in the Wild; Wednesday driver-problem skit.</x:t>
        </x:is>
      </x:c>
      <x:c r="F6" s="117" t="inlineStr">
        <x:is>
          <x:t xml:space="preserve">Speed camera alerts, road alerts, dashcam.</x:t>
        </x:is>
      </x:c>
      <x:c r="G6" s="117" t="inlineStr">
        <x:is>
          <x:t xml:space="preserve">Try Msafiri on your next commute.</x:t>
        </x:is>
      </x:c>
      <x:c r="H6" s="117" t="inlineStr">
        <x:is>
          <x:t xml:space="preserve">Avoid sounding like a traffic-news page only.</x:t>
        </x:is>
      </x:c>
      <x:c r="I6" s="117" t="n"/>
    </x:row>
    <x:row r="7" ht="70" customHeight="1">
      <x:c r="A7" s="110" t="inlineStr">
        <x:is>
          <x:t xml:space="preserve">10 Oct 2026</x:t>
        </x:is>
      </x:c>
      <x:c r="B7" s="110" t="inlineStr">
        <x:is>
          <x:t xml:space="preserve">10 October public holiday travel window</x:t>
        </x:is>
      </x:c>
      <x:c r="C7" s="110" t="inlineStr">
        <x:is>
          <x:t xml:space="preserve">Family visits, culture/service day mood, local movement.</x:t>
        </x:is>
      </x:c>
      <x:c r="D7" s="110" t="inlineStr">
        <x:is>
          <x:t xml:space="preserve">Warm, practical pre-drive checklist and family-safety angle.</x:t>
        </x:is>
      </x:c>
      <x:c r="E7" s="110" t="inlineStr">
        <x:is>
          <x:t xml:space="preserve">Holiday-weekend checklist; family driver reel; road alerts reminder.</x:t>
        </x:is>
      </x:c>
      <x:c r="F7" s="110" t="inlineStr">
        <x:is>
          <x:t xml:space="preserve">Road alerts, trips, vehicle care.</x:t>
        </x:is>
      </x:c>
      <x:c r="G7" s="110" t="inlineStr">
        <x:is>
          <x:t xml:space="preserve">Save this before the family drive.</x:t>
        </x:is>
      </x:c>
      <x:c r="H7" s="110" t="inlineStr">
        <x:is>
          <x:t xml:space="preserve">Verify any official holiday naming/observance before posting.</x:t>
        </x:is>
      </x:c>
      <x:c r="I7" s="110" t="inlineStr">
        <x:is>
          <x:t xml:space="preserve">https://www.interior.go.ke/ova_doc/public-holidays-act-cap-110/</x:t>
        </x:is>
      </x:c>
    </x:row>
    <x:row r="8" ht="70" customHeight="1">
      <x:c r="A8" s="117" t="inlineStr">
        <x:is>
          <x:t xml:space="preserve">20 Oct 2026</x:t>
        </x:is>
      </x:c>
      <x:c r="B8" s="117" t="inlineStr">
        <x:is>
          <x:t xml:space="preserve">Mashujaa Day</x:t>
        </x:is>
      </x:c>
      <x:c r="C8" s="117" t="inlineStr">
        <x:is>
          <x:t xml:space="preserve">Pride, heroes, responsibility.</x:t>
        </x:is>
      </x:c>
      <x:c r="D8" s="117" t="inlineStr">
        <x:is>
          <x:t xml:space="preserve">Celebrate everyday road heroes and patient drivers.</x:t>
        </x:is>
      </x:c>
      <x:c r="E8" s="117" t="inlineStr">
        <x:is>
          <x:t xml:space="preserve">Tag a road hero; emergency responder respect; safe-driver tribute.</x:t>
        </x:is>
      </x:c>
      <x:c r="F8" s="117" t="inlineStr">
        <x:is>
          <x:t xml:space="preserve">Accident Assistant, dashcam, road alerts.</x:t>
        </x:is>
      </x:c>
      <x:c r="G8" s="117" t="inlineStr">
        <x:is>
          <x:t xml:space="preserve">Tag a road hero who drives safely.</x:t>
        </x:is>
      </x:c>
      <x:c r="H8" s="117" t="inlineStr">
        <x:is>
          <x:t xml:space="preserve">Keep tone respectful, not opportunistic.</x:t>
        </x:is>
      </x:c>
      <x:c r="I8" s="117" t="inlineStr">
        <x:is>
          <x:t xml:space="preserve">https://www.interior.go.ke/ova_doc/public-holidays-act-cap-110/</x:t>
        </x:is>
      </x:c>
    </x:row>
    <x:row r="9" ht="70" customHeight="1">
      <x:c r="A9" s="110" t="inlineStr">
        <x:is>
          <x:t xml:space="preserve">Late Nov 2026</x:t>
        </x:is>
      </x:c>
      <x:c r="B9" s="110" t="inlineStr">
        <x:is>
          <x:t xml:space="preserve">December travel countdown begins</x:t>
        </x:is>
      </x:c>
      <x:c r="C9" s="110" t="inlineStr">
        <x:is>
          <x:t xml:space="preserve">Planning, anticipation, cost and safety pressure.</x:t>
        </x:is>
      </x:c>
      <x:c r="D9" s="110" t="inlineStr">
        <x:is>
          <x:t xml:space="preserve">Start early; make Msafiri part of pre-trip habit.</x:t>
        </x:is>
      </x:c>
      <x:c r="E9" s="110" t="inlineStr">
        <x:is>
          <x:t xml:space="preserve">5 checks before December drive; road-trip group skit; car-care checklist.</x:t>
        </x:is>
      </x:c>
      <x:c r="F9" s="110" t="inlineStr">
        <x:is>
          <x:t xml:space="preserve">Trips / trip sharing, vehicle care, Find Nearby.</x:t>
        </x:is>
      </x:c>
      <x:c r="G9" s="110" t="inlineStr">
        <x:is>
          <x:t xml:space="preserve">Send this to your trip group.</x:t>
        </x:is>
      </x:c>
      <x:c r="H9" s="110" t="inlineStr">
        <x:is>
          <x:t xml:space="preserve">Do not wait until Christmas week to educate.</x:t>
        </x:is>
      </x:c>
      <x:c r="I9" s="110" t="n"/>
    </x:row>
    <x:row r="10" ht="70" customHeight="1">
      <x:c r="A10" s="117" t="inlineStr">
        <x:is>
          <x:t xml:space="preserve">12 Dec 2026</x:t>
        </x:is>
      </x:c>
      <x:c r="B10" s="117" t="inlineStr">
        <x:is>
          <x:t xml:space="preserve">Jamhuri Day</x:t>
        </x:is>
      </x:c>
      <x:c r="C10" s="117" t="inlineStr">
        <x:is>
          <x:t xml:space="preserve">Holiday travel and national pride.</x:t>
        </x:is>
      </x:c>
      <x:c r="D10" s="117" t="inlineStr">
        <x:is>
          <x:t xml:space="preserve">Long-drive prep and route readiness.</x:t>
        </x:is>
      </x:c>
      <x:c r="E10" s="117" t="inlineStr">
        <x:is>
          <x:t xml:space="preserve">Jamhuri trip checklist; route planning; family/group road rules.</x:t>
        </x:is>
      </x:c>
      <x:c r="F10" s="117" t="inlineStr">
        <x:is>
          <x:t xml:space="preserve">Trips / trip sharing, road alerts, vehicle care.</x:t>
        </x:is>
      </x:c>
      <x:c r="G10" s="117" t="inlineStr">
        <x:is>
          <x:t xml:space="preserve">Send this to the person driving this weekend.</x:t>
        </x:is>
      </x:c>
      <x:c r="H10" s="117" t="inlineStr">
        <x:is>
          <x:t xml:space="preserve">Avoid claiming specific road conditions unless verified.</x:t>
        </x:is>
      </x:c>
      <x:c r="I10" s="117" t="inlineStr">
        <x:is>
          <x:t xml:space="preserve">https://www.interior.go.ke/ova_doc/public-holidays-act-cap-110/</x:t>
        </x:is>
      </x:c>
    </x:row>
    <x:row r="11" ht="70" customHeight="1">
      <x:c r="A11" s="110" t="inlineStr">
        <x:is>
          <x:t xml:space="preserve">21–26 Dec 2026</x:t>
        </x:is>
      </x:c>
      <x:c r="B11" s="110" t="inlineStr">
        <x:is>
          <x:t xml:space="preserve">Christmas travel week</x:t>
        </x:is>
      </x:c>
      <x:c r="C11" s="110" t="inlineStr">
        <x:is>
          <x:t xml:space="preserve">Family, fatigue, traffic, patience.</x:t>
        </x:is>
      </x:c>
      <x:c r="D11" s="110" t="inlineStr">
        <x:is>
          <x:t xml:space="preserve">Warm emotional safety and practical checklists.</x:t>
        </x:is>
      </x:c>
      <x:c r="E11" s="110" t="inlineStr">
        <x:is>
          <x:t xml:space="preserve">Best gift is arriving safely; tired-driver reminder; family-driver checklist.</x:t>
        </x:is>
      </x:c>
      <x:c r="F11" s="110" t="inlineStr">
        <x:is>
          <x:t xml:space="preserve">Accident Assistant, road alerts, trips.</x:t>
        </x:is>
      </x:c>
      <x:c r="G11" s="110" t="inlineStr">
        <x:is>
          <x:t xml:space="preserve">Share this with someone driving today.</x:t>
        </x:is>
      </x:c>
      <x:c r="H11" s="110" t="inlineStr">
        <x:is>
          <x:t xml:space="preserve">Soft product presence; no fearbait.</x:t>
        </x:is>
      </x:c>
      <x:c r="I11" s="110" t="inlineStr">
        <x:is>
          <x:t xml:space="preserve">https://smarthr.co.ke/blog/kenya-public-holidays-2026</x:t>
        </x:is>
      </x:c>
    </x:row>
    <x:row r="12" ht="70" customHeight="1">
      <x:c r="A12" s="117" t="inlineStr">
        <x:is>
          <x:t xml:space="preserve">31 Dec 2026</x:t>
        </x:is>
      </x:c>
      <x:c r="B12" s="117" t="inlineStr">
        <x:is>
          <x:t xml:space="preserve">New Year’s Eve</x:t>
        </x:is>
      </x:c>
      <x:c r="C12" s="117" t="inlineStr">
        <x:is>
          <x:t xml:space="preserve">Celebration, risk, responsibility.</x:t>
        </x:is>
      </x:c>
      <x:c r="D12" s="117" t="inlineStr">
        <x:is>
          <x:t xml:space="preserve">Sober-driving planning and year-end recap.</x:t>
        </x:is>
      </x:c>
      <x:c r="E12" s="117" t="inlineStr">
        <x:is>
          <x:t xml:space="preserve">Keys-away reminder; Peter recap; community lessons from 2026.</x:t>
        </x:is>
      </x:c>
      <x:c r="F12" s="117" t="inlineStr">
        <x:is>
          <x:t xml:space="preserve">Sober-driving reminders, Msafiri brand trust.</x:t>
        </x:is>
      </x:c>
      <x:c r="G12" s="117" t="inlineStr">
        <x:is>
          <x:t xml:space="preserve">Plan the ride before midnight.</x:t>
        </x:is>
      </x:c>
      <x:c r="H12" s="117" t="inlineStr">
        <x:is>
          <x:t xml:space="preserve">No checkpoint locations or evasion advice.</x:t>
        </x:is>
      </x:c>
      <x:c r="I12" s="117" t="inlineStr">
        <x:is>
          <x:t xml:space="preserve">https://smarthr.co.ke/blog/kenya-public-holidays-2026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6" customWidth="1"/>
    <x:col min="3" max="3" width="48" customWidth="1"/>
    <x:col min="4" max="4" width="36" customWidth="1"/>
    <x:col min="5" max="5" width="58" customWidth="1"/>
    <x:col min="6" max="6" width="24" customWidth="1"/>
  </x:cols>
  <x:sheetData>
    <x:row r="1" ht="28" customHeight="1">
      <x:c r="A1" s="106" t="inlineStr">
        <x:is>
          <x:t xml:space="preserve">SAFETY &amp; COMPLIANCE GUARDRAILS</x:t>
        </x:is>
      </x:c>
    </x:row>
    <x:row r="2" ht="34" customHeight="1">
      <x:c r="A2" s="107" t="inlineStr">
        <x:is>
          <x:t xml:space="preserve">Use this before posting sensitive driving, enforcement, accident or user-story content.</x:t>
        </x:is>
      </x:c>
    </x:row>
    <x:row r="3"/>
    <x:row r="4" ht="36" customHeight="1">
      <x:c r="A4" s="108" t="inlineStr">
        <x:is>
          <x:t xml:space="preserve">Topic</x:t>
        </x:is>
      </x:c>
      <x:c r="B4" s="108" t="inlineStr">
        <x:is>
          <x:t xml:space="preserve">Allowed Framing</x:t>
        </x:is>
      </x:c>
      <x:c r="C4" s="108" t="inlineStr">
        <x:is>
          <x:t xml:space="preserve">Avoid / Do Not Publish</x:t>
        </x:is>
      </x:c>
      <x:c r="D4" s="108" t="inlineStr">
        <x:is>
          <x:t xml:space="preserve">Reason</x:t>
        </x:is>
      </x:c>
      <x:c r="E4" s="108" t="inlineStr">
        <x:is>
          <x:t xml:space="preserve">Approved Example Language</x:t>
        </x:is>
      </x:c>
      <x:c r="F4" s="108" t="inlineStr">
        <x:is>
          <x:t xml:space="preserve">Review Owner</x:t>
        </x:is>
      </x:c>
    </x:row>
    <x:row r="5" ht="72" customHeight="1">
      <x:c r="A5" s="110" t="inlineStr">
        <x:is>
          <x:t xml:space="preserve">Speed camera alerts</x:t>
        </x:is>
      </x:c>
      <x:c r="B5" s="110" t="inlineStr">
        <x:is>
          <x:t xml:space="preserve">Awareness, compliance, calmer driving, staying within limits.</x:t>
        </x:is>
      </x:c>
      <x:c r="C5" s="110" t="inlineStr">
        <x:is>
          <x:t xml:space="preserve">“Beat the camera,” “avoid being caught,” exact evasion tactics.</x:t>
        </x:is>
      </x:c>
      <x:c r="D5" s="110" t="inlineStr">
        <x:is>
          <x:t xml:space="preserve">Brand trust and road safety.</x:t>
        </x:is>
      </x:c>
      <x:c r="E5" s="110" t="inlineStr">
        <x:is>
          <x:t xml:space="preserve">The alert is there to help you stay aware and drive within the limit.</x:t>
        </x:is>
      </x:c>
      <x:c r="F5" s="110" t="inlineStr">
        <x:is>
          <x:t xml:space="preserve">Peter / Content Lead</x:t>
        </x:is>
      </x:c>
    </x:row>
    <x:row r="6" ht="72" customHeight="1">
      <x:c r="A6" s="117" t="inlineStr">
        <x:is>
          <x:t xml:space="preserve">Alcoblow / enforcement</x:t>
        </x:is>
      </x:c>
      <x:c r="B6" s="117" t="inlineStr">
        <x:is>
          <x:t xml:space="preserve">Sober-driving planning, safe ride alternatives, responsibility before celebration.</x:t>
        </x:is>
      </x:c>
      <x:c r="C6" s="117" t="inlineStr">
        <x:is>
          <x:t xml:space="preserve">Real-time checkpoint locations, evasion tips, “where Alcoblow is tonight.”</x:t>
        </x:is>
      </x:c>
      <x:c r="D6" s="117" t="inlineStr">
        <x:is>
          <x:t xml:space="preserve">Avoid encouraging illegal or unsafe behavior.</x:t>
        </x:is>
      </x:c>
      <x:c r="E6" s="117" t="inlineStr">
        <x:is>
          <x:t xml:space="preserve">Plan the ride before the celebration starts. If you have been drinking, do not drive.</x:t>
        </x:is>
      </x:c>
      <x:c r="F6" s="117" t="inlineStr">
        <x:is>
          <x:t xml:space="preserve">Peter / Content Lead</x:t>
        </x:is>
      </x:c>
    </x:row>
    <x:row r="7" ht="72" customHeight="1">
      <x:c r="A7" s="110" t="inlineStr">
        <x:is>
          <x:t xml:space="preserve">Accident Assistant</x:t>
        </x:is>
      </x:c>
      <x:c r="B7" s="110" t="inlineStr">
        <x:is>
          <x:t xml:space="preserve">Preparedness, evidence organization, calm first steps.</x:t>
        </x:is>
      </x:c>
      <x:c r="C7" s="110" t="inlineStr">
        <x:is>
          <x:t xml:space="preserve">Legal guarantees, medical advice, blame assignment, insurance promises.</x:t>
        </x:is>
      </x:c>
      <x:c r="D7" s="110" t="inlineStr">
        <x:is>
          <x:t xml:space="preserve">Users may rely on content during stress.</x:t>
        </x:is>
      </x:c>
      <x:c r="E7" s="110" t="inlineStr">
        <x:is>
          <x:t xml:space="preserve">Msafiri can help you organize information; contact emergency services and relevant professionals when needed.</x:t>
        </x:is>
      </x:c>
      <x:c r="F7" s="110" t="inlineStr">
        <x:is>
          <x:t xml:space="preserve">Content Lead</x:t>
        </x:is>
      </x:c>
    </x:row>
    <x:row r="8" ht="72" customHeight="1">
      <x:c r="A8" s="117" t="inlineStr">
        <x:is>
          <x:t xml:space="preserve">Dashcam footage</x:t>
        </x:is>
      </x:c>
      <x:c r="B8" s="117" t="inlineStr">
        <x:is>
          <x:t xml:space="preserve">Proof context, incident learning, anonymized examples.</x:t>
        </x:is>
      </x:c>
      <x:c r="C8" s="117" t="inlineStr">
        <x:is>
          <x:t xml:space="preserve">Faces/plates without consent, graphic footage, harassment of other drivers.</x:t>
        </x:is>
      </x:c>
      <x:c r="D8" s="117" t="inlineStr">
        <x:is>
          <x:t xml:space="preserve">Privacy and dignity.</x:t>
        </x:is>
      </x:c>
      <x:c r="E8" s="117" t="inlineStr">
        <x:is>
          <x:t xml:space="preserve">Blur identifying details and focus on the driving lesson, not public shaming.</x:t>
        </x:is>
      </x:c>
      <x:c r="F8" s="117" t="inlineStr">
        <x:is>
          <x:t xml:space="preserve">Editor</x:t>
        </x:is>
      </x:c>
    </x:row>
    <x:row r="9" ht="72" customHeight="1">
      <x:c r="A9" s="110" t="inlineStr">
        <x:is>
          <x:t xml:space="preserve">Insurance-ready reports</x:t>
        </x:is>
      </x:c>
      <x:c r="B9" s="110" t="inlineStr">
        <x:is>
          <x:t xml:space="preserve">Evidence organization and useful documentation.</x:t>
        </x:is>
      </x:c>
      <x:c r="C9" s="110" t="inlineStr">
        <x:is>
          <x:t xml:space="preserve">“Insurer will pay,” “guaranteed claim approval.”</x:t>
        </x:is>
      </x:c>
      <x:c r="D9" s="110" t="inlineStr">
        <x:is>
          <x:t xml:space="preserve">Avoid misleading financial/legal promises.</x:t>
        </x:is>
      </x:c>
      <x:c r="E9" s="110" t="inlineStr">
        <x:is>
          <x:t xml:space="preserve">A clean report can help organize what happened; the insurer decides based on policy and evidence.</x:t>
        </x:is>
      </x:c>
      <x:c r="F9" s="110" t="inlineStr">
        <x:is>
          <x:t xml:space="preserve">Peter / Content Lead</x:t>
        </x:is>
      </x:c>
    </x:row>
    <x:row r="10" ht="72" customHeight="1">
      <x:c r="A10" s="117" t="inlineStr">
        <x:is>
          <x:t xml:space="preserve">Road alerts / hazards</x:t>
        </x:is>
      </x:c>
      <x:c r="B10" s="117" t="inlineStr">
        <x:is>
          <x:t xml:space="preserve">Verified road context, careful language, source clarity.</x:t>
        </x:is>
      </x:c>
      <x:c r="C10" s="117" t="inlineStr">
        <x:is>
          <x:t xml:space="preserve">Unverified panic claims, exact unsafe instructions, rumours as fact.</x:t>
        </x:is>
      </x:c>
      <x:c r="D10" s="117" t="inlineStr">
        <x:is>
          <x:t xml:space="preserve">Trust and public safety.</x:t>
        </x:is>
      </x:c>
      <x:c r="E10" s="117" t="inlineStr">
        <x:is>
          <x:t xml:space="preserve">We are checking reports before amplifying them; here is what drivers should verify before leaving.</x:t>
        </x:is>
      </x:c>
      <x:c r="F10" s="117" t="inlineStr">
        <x:is>
          <x:t xml:space="preserve">Community Manager</x:t>
        </x:is>
      </x:c>
    </x:row>
    <x:row r="11" ht="72" customHeight="1">
      <x:c r="A11" s="110" t="inlineStr">
        <x:is>
          <x:t xml:space="preserve">Street interviews / UGC</x:t>
        </x:is>
      </x:c>
      <x:c r="B11" s="110" t="inlineStr">
        <x:is>
          <x:t xml:space="preserve">Consent, anonymized stories, respectful editing.</x:t>
        </x:is>
      </x:c>
      <x:c r="C11" s="110" t="inlineStr">
        <x:is>
          <x:t xml:space="preserve">Secret recording, mocking, personal details, minors without guardian consent.</x:t>
        </x:is>
      </x:c>
      <x:c r="D11" s="110" t="inlineStr">
        <x:is>
          <x:t xml:space="preserve">Privacy and brand trust.</x:t>
        </x:is>
      </x:c>
      <x:c r="E11" s="110" t="inlineStr">
        <x:is>
          <x:t xml:space="preserve">We asked drivers with consent and removed identifying details where needed.</x:t>
        </x:is>
      </x:c>
      <x:c r="F11" s="110" t="inlineStr">
        <x:is>
          <x:t xml:space="preserve">Community Manager</x:t>
        </x:is>
      </x:c>
    </x:row>
    <x:row r="12" ht="72" customHeight="1">
      <x:c r="A12" s="117" t="inlineStr">
        <x:is>
          <x:t xml:space="preserve">Vehicle care</x:t>
        </x:is>
      </x:c>
      <x:c r="B12" s="117" t="inlineStr">
        <x:is>
          <x:t xml:space="preserve">General reminders and checklists.</x:t>
        </x:is>
      </x:c>
      <x:c r="C12" s="117" t="inlineStr">
        <x:is>
          <x:t xml:space="preserve">Specialist mechanical diagnosis unless reviewed by expert.</x:t>
        </x:is>
      </x:c>
      <x:c r="D12" s="117" t="inlineStr">
        <x:is>
          <x:t xml:space="preserve">Avoid unsafe or incorrect advice.</x:t>
        </x:is>
      </x:c>
      <x:c r="E12" s="117" t="inlineStr">
        <x:is>
          <x:t xml:space="preserve">If something feels wrong, have a qualified mechanic inspect it.</x:t>
        </x:is>
      </x:c>
      <x:c r="F12" s="117" t="inlineStr">
        <x:is>
          <x:t xml:space="preserve">Content Lead</x:t>
        </x:is>
      </x:c>
    </x:row>
    <x:row r="13" ht="72" customHeight="1">
      <x:c r="A13" s="110" t="inlineStr">
        <x:is>
          <x:t xml:space="preserve">Holiday travel</x:t>
        </x:is>
      </x:c>
      <x:c r="B13" s="110" t="inlineStr">
        <x:is>
          <x:t xml:space="preserve">Warm safety reminders, preparation, rest, family responsibility.</x:t>
        </x:is>
      </x:c>
      <x:c r="C13" s="110" t="inlineStr">
        <x:is>
          <x:t xml:space="preserve">Fearbait, accident shock imagery, insensitive holiday messaging.</x:t>
        </x:is>
      </x:c>
      <x:c r="D13" s="110" t="inlineStr">
        <x:is>
          <x:t xml:space="preserve">Respectful seasonal content.</x:t>
        </x:is>
      </x:c>
      <x:c r="E13" s="110" t="inlineStr">
        <x:is>
          <x:t xml:space="preserve">The best gift is arriving safely; prepare, rest, and drive patiently.</x:t>
        </x:is>
      </x:c>
      <x:c r="F13" s="110" t="inlineStr">
        <x:is>
          <x:t xml:space="preserve">Content Lead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70" customWidth="1"/>
    <x:col min="3" max="3" width="44" customWidth="1"/>
    <x:col min="4" max="4" width="20" customWidth="1"/>
    <x:col min="5" max="5" width="16" customWidth="1"/>
    <x:col min="6" max="6" width="38" customWidth="1"/>
  </x:cols>
  <x:sheetData>
    <x:row r="1" ht="30" customHeight="1">
      <x:c r="A1" s="1" t="n"/>
      <x:c r="B1" s="1" t="inlineStr">
        <x:is>
          <x:t xml:space="preserve">Sources</x:t>
        </x:is>
      </x:c>
      <x:c r="C1" s="1" t="n"/>
      <x:c r="D1" s="1" t="n"/>
      <x:c r="E1" s="1" t="n"/>
      <x:c r="F1" s="1" t="n"/>
    </x:row>
    <x:row r="2" ht="34" customHeight="1">
      <x:c r="A2" s="2" t="n"/>
      <x:c r="B2" s="2" t="inlineStr">
        <x:is>
          <x:t xml:space="preserve">Plain-text source URLs used for official fees, compliance references, and platform notes. Verify live fees before paying.</x:t>
        </x:is>
      </x:c>
      <x:c r="C2" s="2" t="n"/>
      <x:c r="D2" s="2" t="n"/>
      <x:c r="E2" s="2" t="n"/>
      <x:c r="F2" s="2" t="n"/>
    </x:row>
    <x:row r="3"/>
    <x:row r="4" ht="32" customHeight="1">
      <x:c r="A4" s="10" t="inlineStr">
        <x:is>
          <x:t xml:space="preserve">Source Name</x:t>
        </x:is>
      </x:c>
      <x:c r="B4" s="10" t="inlineStr">
        <x:is>
          <x:t xml:space="preserve">URL</x:t>
        </x:is>
      </x:c>
      <x:c r="C4" s="10" t="inlineStr">
        <x:is>
          <x:t xml:space="preserve">Used For</x:t>
        </x:is>
      </x:c>
      <x:c r="D4" s="10" t="inlineStr">
        <x:is>
          <x:t xml:space="preserve">Source Type</x:t>
        </x:is>
      </x:c>
      <x:c r="E4" s="10" t="inlineStr">
        <x:is>
          <x:t xml:space="preserve">Checked Date</x:t>
        </x:is>
      </x:c>
      <x:c r="F4" s="10" t="inlineStr">
        <x:is>
          <x:t xml:space="preserve">Notes</x:t>
        </x:is>
      </x:c>
    </x:row>
    <x:row r="5" ht="44" customHeight="1">
      <x:c r="A5" s="7" t="inlineStr">
        <x:is>
          <x:t xml:space="preserve">Business Registration Service - Companies Registry Fee Schedule</x:t>
        </x:is>
      </x:c>
      <x:c r="B5" s="24" t="inlineStr">
        <x:is>
          <x:t xml:space="preserve">https://brs.go.ke/fee-schedule-companies-registry/</x:t>
        </x:is>
      </x:c>
      <x:c r="C5" s="21" t="inlineStr">
        <x:is>
          <x:t xml:space="preserve">Business name and Private Limited Company official fee references</x:t>
        </x:is>
      </x:c>
      <x:c r="D5" s="21" t="inlineStr">
        <x:is>
          <x:t xml:space="preserve">Official</x:t>
        </x:is>
      </x:c>
      <x:c r="E5" s="21" t="inlineStr">
        <x:is>
          <x:t xml:space="preserve">2026-08-12</x:t>
        </x:is>
      </x:c>
      <x:c r="F5" s="21" t="inlineStr">
        <x:is>
          <x:t xml:space="preserve">Verify live eCitizen/BRS invoice before payment.</x:t>
        </x:is>
      </x:c>
    </x:row>
    <x:row r="6" ht="44" customHeight="1">
      <x:c r="A6" s="5" t="inlineStr">
        <x:is>
          <x:t xml:space="preserve">Office of the Data Protection Commissioner - FAQs</x:t>
        </x:is>
      </x:c>
      <x:c r="B6" s="24" t="inlineStr">
        <x:is>
          <x:t xml:space="preserve">https://www.odpc.go.ke/faqs/</x:t>
        </x:is>
      </x:c>
      <x:c r="C6" s="21" t="inlineStr">
        <x:is>
          <x:t xml:space="preserve">ODPC categories, fees, renewal and validity references</x:t>
        </x:is>
      </x:c>
      <x:c r="D6" s="21" t="inlineStr">
        <x:is>
          <x:t xml:space="preserve">Official</x:t>
        </x:is>
      </x:c>
      <x:c r="E6" s="21" t="inlineStr">
        <x:is>
          <x:t xml:space="preserve">2026-08-12</x:t>
        </x:is>
      </x:c>
      <x:c r="F6" s="21" t="inlineStr">
        <x:is>
          <x:t xml:space="preserve">Assess applicability based on actual data processing.</x:t>
        </x:is>
      </x:c>
    </x:row>
    <x:row r="7" ht="44" customHeight="1">
      <x:c r="A7" s="7" t="inlineStr">
        <x:is>
          <x:t xml:space="preserve">ODPC Data Protection Compliance</x:t>
        </x:is>
      </x:c>
      <x:c r="B7" s="24" t="inlineStr">
        <x:is>
          <x:t xml:space="preserve">https://www.odpc.go.ke/data-protection-compliance/</x:t>
        </x:is>
      </x:c>
      <x:c r="C7" s="21" t="inlineStr">
        <x:is>
          <x:t xml:space="preserve">Registration portal and compliance context</x:t>
        </x:is>
      </x:c>
      <x:c r="D7" s="21" t="inlineStr">
        <x:is>
          <x:t xml:space="preserve">Official</x:t>
        </x:is>
      </x:c>
      <x:c r="E7" s="21" t="inlineStr">
        <x:is>
          <x:t xml:space="preserve">2026-08-12</x:t>
        </x:is>
      </x:c>
      <x:c r="F7" s="21" t="inlineStr">
        <x:is>
          <x:t xml:space="preserve">Used for privacy/compliance workflow.</x:t>
        </x:is>
      </x:c>
    </x:row>
    <x:row r="8" ht="44" customHeight="1">
      <x:c r="A8" s="5" t="inlineStr">
        <x:is>
          <x:t xml:space="preserve">Google Play Console Help - Get started</x:t>
        </x:is>
      </x:c>
      <x:c r="B8" s="24" t="inlineStr">
        <x:is>
          <x:t xml:space="preserve">https://support.google.com/googleplay/android-developer/answer/6112435</x:t>
        </x:is>
      </x:c>
      <x:c r="C8" s="21" t="inlineStr">
        <x:is>
          <x:t xml:space="preserve">Google Play developer fee and setup steps</x:t>
        </x:is>
      </x:c>
      <x:c r="D8" s="21" t="inlineStr">
        <x:is>
          <x:t xml:space="preserve">Official</x:t>
        </x:is>
      </x:c>
      <x:c r="E8" s="21" t="inlineStr">
        <x:is>
          <x:t xml:space="preserve">2026-08-12</x:t>
        </x:is>
      </x:c>
      <x:c r="F8" s="21" t="inlineStr">
        <x:is>
          <x:t xml:space="preserve">US$25 one-time fee.</x:t>
        </x:is>
      </x:c>
    </x:row>
    <x:row r="9" ht="44" customHeight="1">
      <x:c r="A9" s="7" t="inlineStr">
        <x:is>
          <x:t xml:space="preserve">Apple Developer Program</x:t>
        </x:is>
      </x:c>
      <x:c r="B9" s="24" t="inlineStr">
        <x:is>
          <x:t xml:space="preserve">https://developer.apple.com/programs/</x:t>
        </x:is>
      </x:c>
      <x:c r="C9" s="21" t="inlineStr">
        <x:is>
          <x:t xml:space="preserve">Apple Developer Program annual fee reference</x:t>
        </x:is>
      </x:c>
      <x:c r="D9" s="21" t="inlineStr">
        <x:is>
          <x:t xml:space="preserve">Official</x:t>
        </x:is>
      </x:c>
      <x:c r="E9" s="21" t="inlineStr">
        <x:is>
          <x:t xml:space="preserve">2026-08-12</x:t>
        </x:is>
      </x:c>
      <x:c r="F9" s="21" t="inlineStr">
        <x:is>
          <x:t xml:space="preserve">US$99/year.</x:t>
        </x:is>
      </x:c>
    </x:row>
    <x:row r="10" ht="44" customHeight="1">
      <x:c r="A10" s="5" t="inlineStr">
        <x:is>
          <x:t xml:space="preserve">M-PESA Business Hub</x:t>
        </x:is>
      </x:c>
      <x:c r="B10" s="24" t="inlineStr">
        <x:is>
          <x:t xml:space="preserve">https://hub.m-pesaforbusiness.co.ke/</x:t>
        </x:is>
      </x:c>
      <x:c r="C10" s="21" t="inlineStr">
        <x:is>
          <x:t xml:space="preserve">Till/Paybill/API/payment operations references</x:t>
        </x:is>
      </x:c>
      <x:c r="D10" s="21" t="inlineStr">
        <x:is>
          <x:t xml:space="preserve">Official/Provider</x:t>
        </x:is>
      </x:c>
      <x:c r="E10" s="21" t="inlineStr">
        <x:is>
          <x:t xml:space="preserve">2026-08-12</x:t>
        </x:is>
      </x:c>
      <x:c r="F10" s="21" t="inlineStr">
        <x:is>
          <x:t xml:space="preserve">Use direct Safaricom portal for exact current terms.</x:t>
        </x:is>
      </x:c>
    </x:row>
    <x:row r="11" ht="44" customHeight="1">
      <x:c r="A11" s="7" t="inlineStr">
        <x:is>
          <x:t xml:space="preserve">KRA Turnover Tax</x:t>
        </x:is>
      </x:c>
      <x:c r="B11" s="24" t="inlineStr">
        <x:is>
          <x:t xml:space="preserve">https://www.kra.go.ke/individual/filing-paying/types-of-taxes/turnover-tax-tot</x:t>
        </x:is>
      </x:c>
      <x:c r="C11" s="21" t="inlineStr">
        <x:is>
          <x:t xml:space="preserve">Tax threshold/rate reference for eligible small businesses</x:t>
        </x:is>
      </x:c>
      <x:c r="D11" s="21" t="inlineStr">
        <x:is>
          <x:t xml:space="preserve">Official</x:t>
        </x:is>
      </x:c>
      <x:c r="E11" s="21" t="inlineStr">
        <x:is>
          <x:t xml:space="preserve">2026-08-12</x:t>
        </x:is>
      </x:c>
      <x:c r="F11" s="21" t="inlineStr">
        <x:is>
          <x:t xml:space="preserve">Get accountant advice once revenue begins.</x:t>
        </x:is>
      </x:c>
    </x:row>
    <x:row r="12" ht="44" customHeight="1">
      <x:c r="A12" s="5" t="inlineStr">
        <x:is>
          <x:t xml:space="preserve">TikTok Ads Budget Best Practices</x:t>
        </x:is>
      </x:c>
      <x:c r="B12" s="24" t="inlineStr">
        <x:is>
          <x:t xml:space="preserve">https://ads.us.tiktok.com/help/article/budget-best-practices</x:t>
        </x:is>
      </x:c>
      <x:c r="C12" s="21" t="inlineStr">
        <x:is>
          <x:t xml:space="preserve">Why TikTok paid ads may not suit very small early budgets</x:t>
        </x:is>
      </x:c>
      <x:c r="D12" s="21" t="inlineStr">
        <x:is>
          <x:t xml:space="preserve">Official/Platform</x:t>
        </x:is>
      </x:c>
      <x:c r="E12" s="21" t="inlineStr">
        <x:is>
          <x:t xml:space="preserve">2026-08-12</x:t>
        </x:is>
      </x:c>
      <x:c r="F12" s="21" t="inlineStr">
        <x:is>
          <x:t xml:space="preserve">Organic TikTok is still useful.</x:t>
        </x:is>
      </x:c>
    </x:row>
    <x:row r="13" ht="44" customHeight="1">
      <x:c r="A13" s="7" t="inlineStr">
        <x:is>
          <x:t xml:space="preserve">Meta/Kenya ad cost secondary benchmark</x:t>
        </x:is>
      </x:c>
      <x:c r="B13" s="24" t="inlineStr">
        <x:is>
          <x:t xml:space="preserve">https://www.kenzobe.com/blog/facebook-ads-cost-kenya</x:t>
        </x:is>
      </x:c>
      <x:c r="C13" s="21" t="inlineStr">
        <x:is>
          <x:t xml:space="preserve">Rough local benchmark only; not official pricing</x:t>
        </x:is>
      </x:c>
      <x:c r="D13" s="21" t="inlineStr">
        <x:is>
          <x:t xml:space="preserve">Secondary</x:t>
        </x:is>
      </x:c>
      <x:c r="E13" s="21" t="inlineStr">
        <x:is>
          <x:t xml:space="preserve">2026-08-12</x:t>
        </x:is>
      </x:c>
      <x:c r="F13" s="21" t="inlineStr">
        <x:is>
          <x:t xml:space="preserve">Use actual Msafiri campaign data once tests run.</x:t>
        </x:is>
      </x:c>
    </x:row>
    <x:row r="14" ht="44" customHeight="1">
      <x:c r="A14" s="7" t="inlineStr">
        <x:is>
          <x:t xml:space="preserve">Kenya Ministry of Interior — Public Holidays Act CAP 110</x:t>
        </x:is>
      </x:c>
      <x:c r="B14" s="24" t="inlineStr">
        <x:is>
          <x:t xml:space="preserve">https://www.interior.go.ke/ova_doc/public-holidays-act-cap-110/</x:t>
        </x:is>
      </x:c>
      <x:c r="C14" s="21" t="inlineStr">
        <x:is>
          <x:t xml:space="preserve">Holiday/legal date context</x:t>
        </x:is>
      </x:c>
      <x:c r="D14" s="21" t="inlineStr">
        <x:is>
          <x:t xml:space="preserve">Official/Reference</x:t>
        </x:is>
      </x:c>
      <x:c r="E14" s="21" t="inlineStr">
        <x:is>
          <x:t xml:space="preserve">2026-08-12</x:t>
        </x:is>
      </x:c>
      <x:c r="F14" s="21" t="inlineStr">
        <x:is>
          <x:t xml:space="preserve">Official source for fixed public holiday framework; verify any gazette notices close to posting.</x:t>
        </x:is>
      </x:c>
    </x:row>
    <x:row r="15">
      <x:c r="A15" s="7" t="inlineStr">
        <x:is>
          <x:t xml:space="preserve">SmartHR Kenya — Kenya Public Holidays 2026</x:t>
        </x:is>
      </x:c>
      <x:c r="B15" s="24" t="inlineStr">
        <x:is>
          <x:t xml:space="preserve">https://smarthr.co.ke/blog/kenya-public-holidays-2026</x:t>
        </x:is>
      </x:c>
      <x:c r="C15" s="21" t="inlineStr">
        <x:is>
          <x:t xml:space="preserve">2026 day-of-week planning</x:t>
        </x:is>
      </x:c>
      <x:c r="D15" s="21" t="inlineStr">
        <x:is>
          <x:t xml:space="preserve">Official/Reference</x:t>
        </x:is>
      </x:c>
      <x:c r="E15" s="21" t="inlineStr">
        <x:is>
          <x:t xml:space="preserve">2026-08-12</x:t>
        </x:is>
      </x:c>
      <x:c r="F15" s="21" t="inlineStr">
        <x:is>
          <x:t xml:space="preserve">Used for practical 2026 content calendar timing; cross-check official notices.</x:t>
        </x:is>
      </x:c>
    </x:row>
    <x:row r="16">
      <x:c r="A16" s="7" t="inlineStr">
        <x:is>
          <x:t xml:space="preserve">NTSA Downloads</x:t>
        </x:is>
      </x:c>
      <x:c r="B16" s="24" t="inlineStr">
        <x:is>
          <x:t xml:space="preserve">https://ntsa.go.ke/downloads</x:t>
        </x:is>
      </x:c>
      <x:c r="C16" s="21" t="inlineStr">
        <x:is>
          <x:t xml:space="preserve">Road-safety context and official road/transport documents</x:t>
        </x:is>
      </x:c>
      <x:c r="D16" s="21" t="inlineStr">
        <x:is>
          <x:t xml:space="preserve">Official/Reference</x:t>
        </x:is>
      </x:c>
      <x:c r="E16" s="21" t="inlineStr">
        <x:is>
          <x:t xml:space="preserve">2026-08-12</x:t>
        </x:is>
      </x:c>
      <x:c r="F16" s="21" t="inlineStr">
        <x:is>
          <x:t xml:space="preserve">Use for updated road-safety notices and official documents.</x:t>
        </x:is>
      </x:c>
    </x:row>
    <x:row r="17">
      <x:c r="A17" s="7" t="inlineStr">
        <x:is>
          <x:t xml:space="preserve">NTSA Keep Our Roads Safe</x:t>
        </x:is>
      </x:c>
      <x:c r="B17" s="24" t="inlineStr">
        <x:is>
          <x:t xml:space="preserve">https://ntsa.go.ke/shared-download/82879bf7c442194da96d5852543dcb76369a0064ed6cd5b9025e551f1e11b76f</x:t>
        </x:is>
      </x:c>
      <x:c r="C17" s="21" t="inlineStr">
        <x:is>
          <x:t xml:space="preserve">Road-safety positioning</x:t>
        </x:is>
      </x:c>
      <x:c r="D17" s="21" t="inlineStr">
        <x:is>
          <x:t xml:space="preserve">Official/Reference</x:t>
        </x:is>
      </x:c>
      <x:c r="E17" s="21" t="inlineStr">
        <x:is>
          <x:t xml:space="preserve">2026-08-12</x:t>
        </x:is>
      </x:c>
      <x:c r="F17" s="21" t="inlineStr">
        <x:is>
          <x:t xml:space="preserve">Use as general safety context; verify specific claims before posting.</x:t>
        </x:is>
      </x:c>
    </x:row>
    <x:row r="18">
      <x:c r="A18" s="7" t="inlineStr">
        <x:is>
          <x:t xml:space="preserve">TikTok SMB Creative Playbook 2025</x:t>
        </x:is>
      </x:c>
      <x:c r="B18" s="24" t="inlineStr">
        <x:is>
          <x:t xml:space="preserve">https://ads.tiktok.com/business/library/TikTok_SMB_Creative_Playbook_2025.pdf</x:t>
        </x:is>
      </x:c>
      <x:c r="C18" s="21" t="inlineStr">
        <x:is>
          <x:t xml:space="preserve">Short-form creative structure</x:t>
        </x:is>
      </x:c>
      <x:c r="D18" s="21" t="inlineStr">
        <x:is>
          <x:t xml:space="preserve">Official/Reference</x:t>
        </x:is>
      </x:c>
      <x:c r="E18" s="21" t="inlineStr">
        <x:is>
          <x:t xml:space="preserve">2026-08-12</x:t>
        </x:is>
      </x:c>
      <x:c r="F18" s="21" t="inlineStr">
        <x:is>
          <x:t xml:space="preserve">Supports hook-first, clear CTA, native short-form production guidance.</x:t>
        </x:is>
      </x:c>
    </x:row>
    <x:row r="19">
      <x:c r="A19" s="7" t="inlineStr">
        <x:is>
          <x:t xml:space="preserve">TikTok For Business — Short Video Best Practice</x:t>
        </x:is>
      </x:c>
      <x:c r="B19" s="24" t="inlineStr">
        <x:is>
          <x:t xml:space="preserve">https://ads.tiktok.com/business/en-GB/blog/tiktok-short-video-best-practice</x:t>
        </x:is>
      </x:c>
      <x:c r="C19" s="21" t="inlineStr">
        <x:is>
          <x:t xml:space="preserve">Short-form best practices</x:t>
        </x:is>
      </x:c>
      <x:c r="D19" s="21" t="inlineStr">
        <x:is>
          <x:t xml:space="preserve">Official/Reference</x:t>
        </x:is>
      </x:c>
      <x:c r="E19" s="21" t="inlineStr">
        <x:is>
          <x:t xml:space="preserve">2026-08-12</x:t>
        </x:is>
      </x:c>
      <x:c r="F19" s="21" t="inlineStr">
        <x:is>
          <x:t xml:space="preserve">Used to shape hook/CTA/production approach.</x:t>
        </x:is>
      </x:c>
    </x:row>
    <x:row r="20">
      <x:c r="A20" s="7" t="inlineStr">
        <x:is>
          <x:t xml:space="preserve">Meta — Instagram Best Practices Hub for Creators</x:t>
        </x:is>
      </x:c>
      <x:c r="B20" s="24" t="inlineStr">
        <x:is>
          <x:t xml:space="preserve">https://about.fb.com/news/2024/10/best-practices-education-hub-creators-instagram/</x:t>
        </x:is>
      </x:c>
      <x:c r="C20" s="21" t="inlineStr">
        <x:is>
          <x:t xml:space="preserve">Instagram creator guidance</x:t>
        </x:is>
      </x:c>
      <x:c r="D20" s="21" t="inlineStr">
        <x:is>
          <x:t xml:space="preserve">Official/Reference</x:t>
        </x:is>
      </x:c>
      <x:c r="E20" s="21" t="inlineStr">
        <x:is>
          <x:t xml:space="preserve">2026-08-12</x:t>
        </x:is>
      </x:c>
      <x:c r="F20" s="21" t="inlineStr">
        <x:is>
          <x:t xml:space="preserve">Used for creation, engagement, reach and metrics thinking.</x:t>
        </x:is>
      </x:c>
    </x:row>
    <x:row r="21">
      <x:c r="A21" s="7" t="inlineStr">
        <x:is>
          <x:t xml:space="preserve">YouTube Blog — Getting Started with Shorts</x:t>
        </x:is>
      </x:c>
      <x:c r="B21" s="24" t="inlineStr">
        <x:is>
          <x:t xml:space="preserve">https://blog.youtube/creator-and-artist-stories/your-guide-to-getting-started-with-youtube-shorts/</x:t>
        </x:is>
      </x:c>
      <x:c r="C21" s="21" t="inlineStr">
        <x:is>
          <x:t xml:space="preserve">YouTube Shorts production guidance</x:t>
        </x:is>
      </x:c>
      <x:c r="D21" s="21" t="inlineStr">
        <x:is>
          <x:t xml:space="preserve">Official/Reference</x:t>
        </x:is>
      </x:c>
      <x:c r="E21" s="21" t="inlineStr">
        <x:is>
          <x:t xml:space="preserve">2026-08-12</x:t>
        </x:is>
      </x:c>
      <x:c r="F21" s="21" t="inlineStr">
        <x:is>
          <x:t xml:space="preserve">Supports vertical video, first-few-seconds hook and consistency.</x:t>
        </x:is>
      </x:c>
    </x:row>
    <x:row r="22">
      <x:c r="A22" s="7" t="inlineStr">
        <x:is>
          <x:t xml:space="preserve">YouTube Blog — Interactive Shorts for Community</x:t>
        </x:is>
      </x:c>
      <x:c r="B22" s="24" t="inlineStr">
        <x:is>
          <x:t xml:space="preserve">https://blog.youtube/creator-and-artist-stories/grow-youtube-channel-interactive-shorts/</x:t>
        </x:is>
      </x:c>
      <x:c r="C22" s="21" t="inlineStr">
        <x:is>
          <x:t xml:space="preserve">Community mechanics</x:t>
        </x:is>
      </x:c>
      <x:c r="D22" s="21" t="inlineStr">
        <x:is>
          <x:t xml:space="preserve">Official/Reference</x:t>
        </x:is>
      </x:c>
      <x:c r="E22" s="21" t="inlineStr">
        <x:is>
          <x:t xml:space="preserve">2026-08-12</x:t>
        </x:is>
      </x:c>
      <x:c r="F22" s="21" t="inlineStr">
        <x:is>
          <x:t xml:space="preserve">Supports polls, Q&amp;A, quizzes and video replies as community loops.</x:t>
        </x:is>
      </x:c>
    </x:row>
    <x:row r="23">
      <x:c r="A23" s="7" t="inlineStr">
        <x:is>
          <x:t xml:space="preserve">Eastleigh Voice — NTSA road fatality reporting, June 2026</x:t>
        </x:is>
      </x:c>
      <x:c r="B23" s="24" t="inlineStr">
        <x:is>
          <x:t xml:space="preserve">https://eastleighvoice.co.ke/news/368289/pedestrians-top-road-fatalities-as-kenya-records-2150-deaths-in-2026</x:t>
        </x:is>
      </x:c>
      <x:c r="C23" s="21" t="inlineStr">
        <x:is>
          <x:t xml:space="preserve">Current road-safety context</x:t>
        </x:is>
      </x:c>
      <x:c r="D23" s="21" t="inlineStr">
        <x:is>
          <x:t xml:space="preserve">Official/Reference</x:t>
        </x:is>
      </x:c>
      <x:c r="E23" s="21" t="inlineStr">
        <x:is>
          <x:t xml:space="preserve">2026-08-12</x:t>
        </x:is>
      </x:c>
      <x:c r="F23" s="21" t="inlineStr">
        <x:is>
          <x:t xml:space="preserve">Secondary news report of NTSA statements; use only as context and verify before citing exact numbers in public content.</x:t>
        </x:is>
      </x:c>
    </x:row>
    <x:row r="24">
      <x:c r="A24" s="7" t="inlineStr">
        <x:is>
          <x:t xml:space="preserve">Central Bank of Kenya — indicative exchange rate page</x:t>
        </x:is>
      </x:c>
      <x:c r="B24" s="24" t="inlineStr">
        <x:is>
          <x:t xml:space="preserve">https://www.centralbank.go.ke/</x:t>
        </x:is>
      </x:c>
      <x:c r="C24" s="21" t="inlineStr">
        <x:is>
          <x:t xml:space="preserve">Editable USD/KES planning input for Replit conversion</x:t>
        </x:is>
      </x:c>
      <x:c r="D24" s="21" t="inlineStr">
        <x:is>
          <x:t xml:space="preserve">Official</x:t>
        </x:is>
      </x:c>
      <x:c r="E24" s="21" t="inlineStr">
        <x:is>
          <x:t xml:space="preserve">2026-08-12</x:t>
        </x:is>
      </x:c>
      <x:c r="F24" s="21" t="inlineStr">
        <x:is>
          <x:t xml:space="preserve">Workbook uses 129.36 as a planning rate from a recent displayed CBK indicative rate; replace with actual card/bank rate.</x:t>
        </x:is>
      </x:c>
    </x:row>
    <x:row r="25">
      <x:c r="A25" s="7" t="inlineStr">
        <x:is>
          <x:t xml:space="preserve">Replit pricing</x:t>
        </x:is>
      </x:c>
      <x:c r="B25" s="24" t="inlineStr">
        <x:is>
          <x:t xml:space="preserve">https://replit.com/pricing</x:t>
        </x:is>
      </x:c>
      <x:c r="C25" s="21" t="inlineStr">
        <x:is>
          <x:t xml:space="preserve">Recurring hosting reference</x:t>
        </x:is>
      </x:c>
      <x:c r="D25" s="21" t="inlineStr">
        <x:is>
          <x:t xml:space="preserve">Provider</x:t>
        </x:is>
      </x:c>
      <x:c r="E25" s="21" t="inlineStr">
        <x:is>
          <x:t xml:space="preserve">2026-08-12</x:t>
        </x:is>
      </x:c>
      <x:c r="F25" s="21" t="inlineStr">
        <x:is>
          <x:t xml:space="preserve">Founder stated current fee is US$20/month; verify plan and billing before payment.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f497247d88443b5"/>
  </x:tableParts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35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10" max="10" width="24" customWidth="1"/>
    <x:col min="11" max="11" width="24" customWidth="1"/>
    <x:col min="12" max="12" width="24" customWidth="1"/>
    <x:col min="13" max="13" width="24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24" customWidth="1"/>
    <x:col min="21" max="21" width="24" customWidth="1"/>
  </x:cols>
  <x:sheetData>
    <x:row r="1" ht="30" customHeight="1">
      <x:c r="A1" s="1" t="n"/>
      <x:c r="B1" s="1" t="inlineStr">
        <x:is>
          <x:t xml:space="preserve">Dropdown Lists</x:t>
        </x:is>
      </x:c>
      <x:c r="C1" s="1" t="n"/>
      <x:c r="D1" s="1" t="n"/>
      <x:c r="E1" s="1" t="n"/>
      <x:c r="F1" s="1" t="n"/>
      <x:c r="G1" s="1" t="n"/>
      <x:c r="H1" s="1" t="n"/>
      <x:c r="J1" s="135" t="inlineStr">
        <x:is>
          <x:t xml:space="preserve">Status</x:t>
        </x:is>
      </x:c>
      <x:c r="K1" s="135" t="inlineStr">
        <x:is>
          <x:t xml:space="preserve">Script Status</x:t>
        </x:is>
      </x:c>
      <x:c r="L1" s="135" t="inlineStr">
        <x:is>
          <x:t xml:space="preserve">Pillar</x:t>
        </x:is>
      </x:c>
      <x:c r="M1" s="135" t="inlineStr">
        <x:is>
          <x:t xml:space="preserve">Series</x:t>
        </x:is>
      </x:c>
      <x:c r="N1" s="135" t="inlineStr">
        <x:is>
          <x:t xml:space="preserve">Feature</x:t>
        </x:is>
      </x:c>
      <x:c r="O1" s="135" t="inlineStr">
        <x:is>
          <x:t xml:space="preserve">Audience</x:t>
        </x:is>
      </x:c>
      <x:c r="P1" s="135" t="inlineStr">
        <x:is>
          <x:t xml:space="preserve">Funnel Stage</x:t>
        </x:is>
      </x:c>
      <x:c r="Q1" s="135" t="inlineStr">
        <x:is>
          <x:t xml:space="preserve">Format</x:t>
        </x:is>
      </x:c>
      <x:c r="R1" s="135" t="inlineStr">
        <x:is>
          <x:t xml:space="preserve">Platform</x:t>
        </x:is>
      </x:c>
      <x:c r="S1" s="135" t="inlineStr">
        <x:is>
          <x:t xml:space="preserve">Owner</x:t>
        </x:is>
      </x:c>
      <x:c r="T1" s="135" t="inlineStr">
        <x:is>
          <x:t xml:space="preserve">Difficulty</x:t>
        </x:is>
      </x:c>
      <x:c r="U1" s="135" t="inlineStr">
        <x:is>
          <x:t xml:space="preserve">Priority</x:t>
        </x:is>
      </x:c>
    </x:row>
    <x:row r="2" ht="34" customHeight="1">
      <x:c r="A2" s="2" t="n"/>
      <x:c r="B2" s="2" t="inlineStr">
        <x:is>
          <x:t xml:space="preserve">Support lists for data validation. Keep this sheet in the workbook.</x:t>
        </x:is>
      </x:c>
      <x:c r="C2" s="2" t="n"/>
      <x:c r="D2" s="2" t="n"/>
      <x:c r="E2" s="2" t="n"/>
      <x:c r="F2" s="2" t="n"/>
      <x:c r="G2" s="2" t="n"/>
      <x:c r="H2" s="2" t="n"/>
      <x:c r="J2" s="135" t="inlineStr">
        <x:is>
          <x:t xml:space="preserve">Backlog</x:t>
        </x:is>
      </x:c>
      <x:c r="K2" s="135" t="inlineStr">
        <x:is>
          <x:t xml:space="preserve">Not Started</x:t>
        </x:is>
      </x:c>
      <x:c r="L2" s="135" t="inlineStr">
        <x:is>
          <x:t xml:space="preserve">Kenyan Driving Reality</x:t>
        </x:is>
      </x:c>
      <x:c r="M2" s="135" t="inlineStr">
        <x:is>
          <x:t xml:space="preserve">Msafiri Road Check</x:t>
        </x:is>
      </x:c>
      <x:c r="N2" s="135" t="inlineStr">
        <x:is>
          <x:t xml:space="preserve">Speed camera alerts</x:t>
        </x:is>
      </x:c>
      <x:c r="O2" s="135" t="inlineStr">
        <x:is>
          <x:t xml:space="preserve">Daily Nairobi commuter</x:t>
        </x:is>
      </x:c>
      <x:c r="P2" s="135" t="inlineStr">
        <x:is>
          <x:t xml:space="preserve">Awareness</x:t>
        </x:is>
      </x:c>
      <x:c r="Q2" s="135" t="inlineStr">
        <x:is>
          <x:t xml:space="preserve">Hero / Reel</x:t>
        </x:is>
      </x:c>
      <x:c r="R2" s="135" t="inlineStr">
        <x:is>
          <x:t xml:space="preserve">TikTok</x:t>
        </x:is>
      </x:c>
      <x:c r="S2" s="135" t="inlineStr">
        <x:is>
          <x:t xml:space="preserve">Peter</x:t>
        </x:is>
      </x:c>
      <x:c r="T2" s="135" t="inlineStr">
        <x:is>
          <x:t xml:space="preserve">Low</x:t>
        </x:is>
      </x:c>
      <x:c r="U2" s="135" t="inlineStr">
        <x:is>
          <x:t xml:space="preserve">Low</x:t>
        </x:is>
      </x:c>
    </x:row>
    <x:row r="3">
      <x:c r="J3" s="135" t="inlineStr">
        <x:is>
          <x:t xml:space="preserve">Draft</x:t>
        </x:is>
      </x:c>
      <x:c r="K3" s="135" t="inlineStr">
        <x:is>
          <x:t xml:space="preserve">Outline</x:t>
        </x:is>
      </x:c>
      <x:c r="L3" s="135" t="inlineStr">
        <x:is>
          <x:t xml:space="preserve">Road Intelligence</x:t>
        </x:is>
      </x:c>
      <x:c r="M3" s="135" t="inlineStr">
        <x:is>
          <x:t xml:space="preserve">Feature in the Wild</x:t>
        </x:is>
      </x:c>
      <x:c r="N3" s="135" t="inlineStr">
        <x:is>
          <x:t xml:space="preserve">Built-in Dashcam</x:t>
        </x:is>
      </x:c>
      <x:c r="O3" s="135" t="inlineStr">
        <x:is>
          <x:t xml:space="preserve">Long-distance driver</x:t>
        </x:is>
      </x:c>
      <x:c r="P3" s="135" t="inlineStr">
        <x:is>
          <x:t xml:space="preserve">Engagement</x:t>
        </x:is>
      </x:c>
      <x:c r="Q3" s="135" t="inlineStr">
        <x:is>
          <x:t xml:space="preserve">Short-form video</x:t>
        </x:is>
      </x:c>
      <x:c r="R3" s="135" t="inlineStr">
        <x:is>
          <x:t xml:space="preserve">Instagram Reels</x:t>
        </x:is>
      </x:c>
      <x:c r="S3" s="135" t="inlineStr">
        <x:is>
          <x:t xml:space="preserve">Content Lead</x:t>
        </x:is>
      </x:c>
      <x:c r="T3" s="135" t="inlineStr">
        <x:is>
          <x:t xml:space="preserve">Medium</x:t>
        </x:is>
      </x:c>
      <x:c r="U3" s="135" t="inlineStr">
        <x:is>
          <x:t xml:space="preserve">Medium</x:t>
        </x:is>
      </x:c>
    </x:row>
    <x:row r="4" ht="32" customHeight="1">
      <x:c r="A4" s="10" t="inlineStr">
        <x:is>
          <x:t xml:space="preserve">Status</x:t>
        </x:is>
      </x:c>
      <x:c r="B4" s="10" t="inlineStr">
        <x:is>
          <x:t xml:space="preserve">Priority</x:t>
        </x:is>
      </x:c>
      <x:c r="C4" s="10" t="inlineStr">
        <x:is>
          <x:t xml:space="preserve">Phase</x:t>
        </x:is>
      </x:c>
      <x:c r="D4" s="10" t="inlineStr">
        <x:is>
          <x:t xml:space="preserve">Confidence</x:t>
        </x:is>
      </x:c>
      <x:c r="E4" s="10" t="inlineStr">
        <x:is>
          <x:t xml:space="preserve">Yes/No</x:t>
        </x:is>
      </x:c>
      <x:c r="F4" s="10" t="inlineStr">
        <x:is>
          <x:t xml:space="preserve">Channel</x:t>
        </x:is>
      </x:c>
      <x:c r="G4" s="10" t="inlineStr">
        <x:is>
          <x:t xml:space="preserve">Stage</x:t>
        </x:is>
      </x:c>
      <x:c r="H4" s="10" t="inlineStr">
        <x:is>
          <x:t xml:space="preserve">Role Type</x:t>
        </x:is>
      </x:c>
      <x:c r="J4" s="135" t="inlineStr">
        <x:is>
          <x:t xml:space="preserve">Scripted</x:t>
        </x:is>
      </x:c>
      <x:c r="K4" s="135" t="inlineStr">
        <x:is>
          <x:t xml:space="preserve">Drafted</x:t>
        </x:is>
      </x:c>
      <x:c r="L4" s="135" t="inlineStr">
        <x:is>
          <x:t xml:space="preserve">Product / Feature Proof</x:t>
        </x:is>
      </x:c>
      <x:c r="M4" s="135" t="inlineStr">
        <x:is>
          <x:t xml:space="preserve">Kenyan Driver Problems</x:t>
        </x:is>
      </x:c>
      <x:c r="N4" s="135" t="inlineStr">
        <x:is>
          <x:t xml:space="preserve">Accident Assistant</x:t>
        </x:is>
      </x:c>
      <x:c r="O4" s="135" t="inlineStr">
        <x:is>
          <x:t xml:space="preserve">Family driver</x:t>
        </x:is>
      </x:c>
      <x:c r="P4" s="135" t="inlineStr">
        <x:is>
          <x:t xml:space="preserve">Trust</x:t>
        </x:is>
      </x:c>
      <x:c r="Q4" s="135" t="inlineStr">
        <x:is>
          <x:t xml:space="preserve">POV Drive</x:t>
        </x:is>
      </x:c>
      <x:c r="R4" s="135" t="inlineStr">
        <x:is>
          <x:t xml:space="preserve">YouTube Shorts</x:t>
        </x:is>
      </x:c>
      <x:c r="S4" s="135" t="inlineStr">
        <x:is>
          <x:t xml:space="preserve">Editor</x:t>
        </x:is>
      </x:c>
      <x:c r="T4" s="135" t="inlineStr">
        <x:is>
          <x:t xml:space="preserve">High</x:t>
        </x:is>
      </x:c>
      <x:c r="U4" s="135" t="inlineStr">
        <x:is>
          <x:t xml:space="preserve">High</x:t>
        </x:is>
      </x:c>
    </x:row>
    <x:row r="5">
      <x:c r="A5" s="12" t="inlineStr">
        <x:is>
          <x:t xml:space="preserve">Not Started</x:t>
        </x:is>
      </x:c>
      <x:c r="B5" s="12" t="inlineStr">
        <x:is>
          <x:t xml:space="preserve">P0</x:t>
        </x:is>
      </x:c>
      <x:c r="C5" s="12" t="inlineStr">
        <x:is>
          <x:t xml:space="preserve">0. Set Up</x:t>
        </x:is>
      </x:c>
      <x:c r="D5" s="12" t="inlineStr">
        <x:is>
          <x:t xml:space="preserve">A - Confirmed</x:t>
        </x:is>
      </x:c>
      <x:c r="E5" s="12" t="inlineStr">
        <x:is>
          <x:t xml:space="preserve">Yes</x:t>
        </x:is>
      </x:c>
      <x:c r="F5" s="12" t="inlineStr">
        <x:is>
          <x:t xml:space="preserve">TikTok</x:t>
        </x:is>
      </x:c>
      <x:c r="G5" s="12" t="inlineStr">
        <x:is>
          <x:t xml:space="preserve">Backlog</x:t>
        </x:is>
      </x:c>
      <x:c r="H5" s="12" t="inlineStr">
        <x:is>
          <x:t xml:space="preserve">Founder</x:t>
        </x:is>
      </x:c>
      <x:c r="J5" s="135" t="inlineStr">
        <x:is>
          <x:t xml:space="preserve">Shot</x:t>
        </x:is>
      </x:c>
      <x:c r="K5" s="135" t="inlineStr">
        <x:is>
          <x:t xml:space="preserve">Reviewed</x:t>
        </x:is>
      </x:c>
      <x:c r="L5" s="135" t="inlineStr">
        <x:is>
          <x:t xml:space="preserve">Accident Readiness</x:t>
        </x:is>
      </x:c>
      <x:c r="M5" s="135" t="inlineStr">
        <x:is>
          <x:t xml:space="preserve">Would You Know What To Do?</x:t>
        </x:is>
      </x:c>
      <x:c r="N5" s="135" t="inlineStr">
        <x:is>
          <x:t xml:space="preserve">Insurance-ready reports</x:t>
        </x:is>
      </x:c>
      <x:c r="O5" s="135" t="inlineStr">
        <x:is>
          <x:t xml:space="preserve">New driver</x:t>
        </x:is>
      </x:c>
      <x:c r="P5" s="135" t="inlineStr">
        <x:is>
          <x:t xml:space="preserve">Feature Discovery</x:t>
        </x:is>
      </x:c>
      <x:c r="Q5" s="135" t="inlineStr">
        <x:is>
          <x:t xml:space="preserve">Founder-to-camera</x:t>
        </x:is>
      </x:c>
      <x:c r="R5" s="135" t="inlineStr">
        <x:is>
          <x:t xml:space="preserve">Facebook Reels</x:t>
        </x:is>
      </x:c>
      <x:c r="S5" s="135" t="inlineStr">
        <x:is>
          <x:t xml:space="preserve">Community Manager</x:t>
        </x:is>
      </x:c>
      <x:c r="U5" s="135" t="inlineStr">
        <x:is>
          <x:t xml:space="preserve">Must-have</x:t>
        </x:is>
      </x:c>
    </x:row>
    <x:row r="6">
      <x:c r="A6" s="12" t="inlineStr">
        <x:is>
          <x:t xml:space="preserve">In Progress</x:t>
        </x:is>
      </x:c>
      <x:c r="B6" s="12" t="inlineStr">
        <x:is>
          <x:t xml:space="preserve">P1</x:t>
        </x:is>
      </x:c>
      <x:c r="C6" s="12" t="inlineStr">
        <x:is>
          <x:t xml:space="preserve">1. Closed Beta</x:t>
        </x:is>
      </x:c>
      <x:c r="D6" s="12" t="inlineStr">
        <x:is>
          <x:t xml:space="preserve">B - Strong</x:t>
        </x:is>
      </x:c>
      <x:c r="E6" s="12" t="inlineStr">
        <x:is>
          <x:t xml:space="preserve">No</x:t>
        </x:is>
      </x:c>
      <x:c r="F6" s="12" t="inlineStr">
        <x:is>
          <x:t xml:space="preserve">Instagram</x:t>
        </x:is>
      </x:c>
      <x:c r="G6" s="12" t="inlineStr">
        <x:is>
          <x:t xml:space="preserve">Designed</x:t>
        </x:is>
      </x:c>
      <x:c r="H6" s="12" t="inlineStr">
        <x:is>
          <x:t xml:space="preserve">Part-time Contractor</x:t>
        </x:is>
      </x:c>
      <x:c r="J6" s="135" t="inlineStr">
        <x:is>
          <x:t xml:space="preserve">Edited</x:t>
        </x:is>
      </x:c>
      <x:c r="K6" s="135" t="inlineStr">
        <x:is>
          <x:t xml:space="preserve">Approved</x:t>
        </x:is>
      </x:c>
      <x:c r="L6" s="135" t="inlineStr">
        <x:is>
          <x:t xml:space="preserve">Founder / BTS</x:t>
        </x:is>
      </x:c>
      <x:c r="M6" s="135" t="inlineStr">
        <x:is>
          <x:t xml:space="preserve">Founder Files</x:t>
        </x:is>
      </x:c>
      <x:c r="N6" s="135" t="inlineStr">
        <x:is>
          <x:t xml:space="preserve">Alcoblow / sober-driving reminders</x:t>
        </x:is>
      </x:c>
      <x:c r="O6" s="135" t="inlineStr">
        <x:is>
          <x:t xml:space="preserve">Car owner</x:t>
        </x:is>
      </x:c>
      <x:c r="P6" s="135" t="inlineStr">
        <x:is>
          <x:t xml:space="preserve">Conversion</x:t>
        </x:is>
      </x:c>
      <x:c r="Q6" s="135" t="inlineStr">
        <x:is>
          <x:t xml:space="preserve">Street Interview</x:t>
        </x:is>
      </x:c>
      <x:c r="R6" s="135" t="inlineStr">
        <x:is>
          <x:t xml:space="preserve">YouTube</x:t>
        </x:is>
      </x:c>
      <x:c r="S6" s="135" t="inlineStr">
        <x:is>
          <x:t xml:space="preserve">Designer</x:t>
        </x:is>
      </x:c>
    </x:row>
    <x:row r="7">
      <x:c r="A7" s="12" t="inlineStr">
        <x:is>
          <x:t xml:space="preserve">Done</x:t>
        </x:is>
      </x:c>
      <x:c r="B7" s="12" t="inlineStr">
        <x:is>
          <x:t xml:space="preserve">P2</x:t>
        </x:is>
      </x:c>
      <x:c r="C7" s="12" t="inlineStr">
        <x:is>
          <x:t xml:space="preserve">2. Public Launch</x:t>
        </x:is>
      </x:c>
      <x:c r="D7" s="12" t="inlineStr">
        <x:is>
          <x:t xml:space="preserve">C - Community</x:t>
        </x:is>
      </x:c>
      <x:c r="E7" s="12" t="inlineStr">
        <x:is>
          <x:t xml:space="preserve">Not Yet</x:t>
        </x:is>
      </x:c>
      <x:c r="F7" s="12" t="inlineStr">
        <x:is>
          <x:t xml:space="preserve">WhatsApp</x:t>
        </x:is>
      </x:c>
      <x:c r="G7" s="12" t="inlineStr">
        <x:is>
          <x:t xml:space="preserve">Running</x:t>
        </x:is>
      </x:c>
      <x:c r="H7" s="12" t="inlineStr">
        <x:is>
          <x:t xml:space="preserve">Freelancer</x:t>
        </x:is>
      </x:c>
      <x:c r="J7" s="135" t="inlineStr">
        <x:is>
          <x:t xml:space="preserve">Scheduled</x:t>
        </x:is>
      </x:c>
      <x:c r="K7" s="135" t="inlineStr">
        <x:is>
          <x:t xml:space="preserve">Filmed</x:t>
        </x:is>
      </x:c>
      <x:c r="L7" s="135" t="inlineStr">
        <x:is>
          <x:t xml:space="preserve">Community / UGC</x:t>
        </x:is>
      </x:c>
      <x:c r="M7" s="135" t="inlineStr">
        <x:is>
          <x:t xml:space="preserve">Ask a Kenyan Driver</x:t>
        </x:is>
      </x:c>
      <x:c r="N7" s="135" t="inlineStr">
        <x:is>
          <x:t xml:space="preserve">Road alerts</x:t>
        </x:is>
      </x:c>
      <x:c r="O7" s="135" t="inlineStr">
        <x:is>
          <x:t xml:space="preserve">Professional driver</x:t>
        </x:is>
      </x:c>
      <x:c r="P7" s="135" t="inlineStr">
        <x:is>
          <x:t xml:space="preserve">Retention</x:t>
        </x:is>
      </x:c>
      <x:c r="Q7" s="135" t="inlineStr">
        <x:is>
          <x:t xml:space="preserve">Skit</x:t>
        </x:is>
      </x:c>
      <x:c r="R7" s="135" t="inlineStr">
        <x:is>
          <x:t xml:space="preserve">Instagram Stories</x:t>
        </x:is>
      </x:c>
      <x:c r="S7" s="135" t="inlineStr">
        <x:is>
          <x:t xml:space="preserve">TBD</x:t>
        </x:is>
      </x:c>
    </x:row>
    <x:row r="8">
      <x:c r="A8" s="12" t="inlineStr">
        <x:is>
          <x:t xml:space="preserve">Blocked</x:t>
        </x:is>
      </x:c>
      <x:c r="B8" s="12" t="inlineStr">
        <x:is>
          <x:t xml:space="preserve">P3</x:t>
        </x:is>
      </x:c>
      <x:c r="C8" s="12" t="inlineStr">
        <x:is>
          <x:t xml:space="preserve">3. Prove Retention</x:t>
        </x:is>
      </x:c>
      <x:c r="D8" s="12" t="inlineStr">
        <x:is>
          <x:t xml:space="preserve">D - Unverified</x:t>
        </x:is>
      </x:c>
      <x:c r="F8" s="12" t="inlineStr">
        <x:is>
          <x:t xml:space="preserve">X/Twitter</x:t>
        </x:is>
      </x:c>
      <x:c r="G8" s="12" t="inlineStr">
        <x:is>
          <x:t xml:space="preserve">Paused</x:t>
        </x:is>
      </x:c>
      <x:c r="H8" s="12" t="inlineStr">
        <x:is>
          <x:t xml:space="preserve">Intern</x:t>
        </x:is>
      </x:c>
      <x:c r="J8" s="135" t="inlineStr">
        <x:is>
          <x:t xml:space="preserve">Posted</x:t>
        </x:is>
      </x:c>
      <x:c r="K8" s="135" t="inlineStr">
        <x:is>
          <x:t xml:space="preserve">Cutdown Ready</x:t>
        </x:is>
      </x:c>
      <x:c r="L8" s="135" t="inlineStr">
        <x:is>
          <x:t xml:space="preserve">Education / Safety</x:t>
        </x:is>
      </x:c>
      <x:c r="M8" s="135" t="inlineStr">
        <x:is>
          <x:t xml:space="preserve">Msafiri Explains</x:t>
        </x:is>
      </x:c>
      <x:c r="N8" s="135" t="inlineStr">
        <x:is>
          <x:t xml:space="preserve">Vehicle care</x:t>
        </x:is>
      </x:c>
      <x:c r="O8" s="135" t="inlineStr">
        <x:is>
          <x:t xml:space="preserve">Road-trip group</x:t>
        </x:is>
      </x:c>
      <x:c r="P8" s="135" t="inlineStr">
        <x:is>
          <x:t xml:space="preserve">Community</x:t>
        </x:is>
      </x:c>
      <x:c r="Q8" s="135" t="inlineStr">
        <x:is>
          <x:t xml:space="preserve">Carousel</x:t>
        </x:is>
      </x:c>
      <x:c r="R8" s="135" t="inlineStr">
        <x:is>
          <x:t xml:space="preserve">LinkedIn</x:t>
        </x:is>
      </x:c>
    </x:row>
    <x:row r="9">
      <x:c r="A9" s="12" t="inlineStr">
        <x:is>
          <x:t xml:space="preserve">Skipped</x:t>
        </x:is>
      </x:c>
      <x:c r="C9" s="12" t="inlineStr">
        <x:is>
          <x:t xml:space="preserve">4. Partnerships</x:t>
        </x:is>
      </x:c>
      <x:c r="F9" s="12" t="inlineStr">
        <x:is>
          <x:t xml:space="preserve">LinkedIn</x:t>
        </x:is>
      </x:c>
      <x:c r="G9" s="12" t="inlineStr">
        <x:is>
          <x:t xml:space="preserve">Won</x:t>
        </x:is>
      </x:c>
      <x:c r="H9" s="12" t="inlineStr">
        <x:is>
          <x:t xml:space="preserve">Micro-Creator</x:t>
        </x:is>
      </x:c>
      <x:c r="J9" s="135" t="inlineStr">
        <x:is>
          <x:t xml:space="preserve">Repurposed</x:t>
        </x:is>
      </x:c>
      <x:c r="L9" s="135" t="inlineStr">
        <x:is>
          <x:t xml:space="preserve">Debate / Mythbusters</x:t>
        </x:is>
      </x:c>
      <x:c r="M9" s="135" t="inlineStr">
        <x:is>
          <x:t xml:space="preserve">Road Mythbusters</x:t>
        </x:is>
      </x:c>
      <x:c r="N9" s="135" t="inlineStr">
        <x:is>
          <x:t xml:space="preserve">Trips / trip sharing</x:t>
        </x:is>
      </x:c>
      <x:c r="O9" s="135" t="inlineStr">
        <x:is>
          <x:t xml:space="preserve">Safety-conscious passenger</x:t>
        </x:is>
      </x:c>
      <x:c r="Q9" s="135" t="inlineStr">
        <x:is>
          <x:t xml:space="preserve">Checklist Reel</x:t>
        </x:is>
      </x:c>
    </x:row>
    <x:row r="10">
      <x:c r="A10" s="12" t="inlineStr">
        <x:is>
          <x:t xml:space="preserve">Waiting</x:t>
        </x:is>
      </x:c>
      <x:c r="C10" s="12" t="inlineStr">
        <x:is>
          <x:t xml:space="preserve">5. Scale Carefully</x:t>
        </x:is>
      </x:c>
      <x:c r="F10" s="12" t="inlineStr">
        <x:is>
          <x:t xml:space="preserve">Community</x:t>
        </x:is>
      </x:c>
      <x:c r="G10" s="12" t="inlineStr">
        <x:is>
          <x:t xml:space="preserve">Lost</x:t>
        </x:is>
      </x:c>
      <x:c r="H10" s="12" t="inlineStr">
        <x:is>
          <x:t xml:space="preserve">Advisor</x:t>
        </x:is>
      </x:c>
      <x:c r="J10" s="135" t="inlineStr">
        <x:is>
          <x:t xml:space="preserve">Paused</x:t>
        </x:is>
      </x:c>
      <x:c r="L10" s="135" t="inlineStr">
        <x:is>
          <x:t xml:space="preserve">Seasonal Campaign</x:t>
        </x:is>
      </x:c>
      <x:c r="M10" s="135" t="inlineStr">
        <x:is>
          <x:t xml:space="preserve">Driver Confessions</x:t>
        </x:is>
      </x:c>
      <x:c r="N10" s="135" t="inlineStr">
        <x:is>
          <x:t xml:space="preserve">Find Nearby</x:t>
        </x:is>
      </x:c>
      <x:c r="O10" s="135" t="inlineStr">
        <x:is>
          <x:t xml:space="preserve">Founder/tech audience</x:t>
        </x:is>
      </x:c>
      <x:c r="Q10" s="135" t="inlineStr">
        <x:is>
          <x:t xml:space="preserve">Screen-record Demo</x:t>
        </x:is>
      </x:c>
    </x:row>
    <x:row r="11">
      <x:c r="F11" s="12" t="inlineStr">
        <x:is>
          <x:t xml:space="preserve">Partnership</x:t>
        </x:is>
      </x:c>
      <x:c r="G11" s="12" t="inlineStr">
        <x:is>
          <x:t xml:space="preserve">Repeat Later</x:t>
        </x:is>
      </x:c>
      <x:c r="H11" s="12" t="inlineStr">
        <x:is>
          <x:t xml:space="preserve">Partner</x:t>
        </x:is>
      </x:c>
      <x:c r="M11" s="135" t="inlineStr">
        <x:is>
          <x:t xml:space="preserve">One Minute Road Safety</x:t>
        </x:is>
      </x:c>
      <x:c r="N11" s="135" t="inlineStr">
        <x:is>
          <x:t xml:space="preserve">Community road intelligence</x:t>
        </x:is>
      </x:c>
      <x:c r="O11" s="135" t="inlineStr">
        <x:is>
          <x:t xml:space="preserve">General Kenyan driver</x:t>
        </x:is>
      </x:c>
      <x:c r="Q11" s="135" t="inlineStr">
        <x:is>
          <x:t xml:space="preserve">Community Reply</x:t>
        </x:is>
      </x:c>
    </x:row>
    <x:row r="12">
      <x:c r="F12" s="12" t="inlineStr">
        <x:is>
          <x:t xml:space="preserve">PR</x:t>
        </x:is>
      </x:c>
      <x:c r="G12" s="12" t="inlineStr">
        <x:is>
          <x:t xml:space="preserve">Prospect</x:t>
        </x:is>
      </x:c>
      <x:c r="M12" s="135" t="inlineStr">
        <x:is>
          <x:t xml:space="preserve">Can Msafiri Do This?</x:t>
        </x:is>
      </x:c>
      <x:c r="N12" s="135" t="inlineStr">
        <x:is>
          <x:t xml:space="preserve">Msafiri brand trust</x:t>
        </x:is>
      </x:c>
      <x:c r="Q12" s="135" t="inlineStr">
        <x:is>
          <x:t xml:space="preserve">YouTube Short</x:t>
        </x:is>
      </x:c>
    </x:row>
    <x:row r="13">
      <x:c r="F13" s="12" t="inlineStr">
        <x:is>
          <x:t xml:space="preserve">Referral</x:t>
        </x:is>
      </x:c>
      <x:c r="G13" s="12" t="inlineStr">
        <x:is>
          <x:t xml:space="preserve">Contacted</x:t>
        </x:is>
      </x:c>
      <x:c r="M13" s="135" t="inlineStr">
        <x:is>
          <x:t xml:space="preserve">Road Trip POV</x:t>
        </x:is>
      </x:c>
      <x:c r="Q13" s="135" t="inlineStr">
        <x:is>
          <x:t xml:space="preserve">Live / Q&amp;A</x:t>
        </x:is>
      </x:c>
    </x:row>
    <x:row r="14">
      <x:c r="F14" s="12" t="inlineStr">
        <x:is>
          <x:t xml:space="preserve">App Store</x:t>
        </x:is>
      </x:c>
      <x:c r="G14" s="12" t="inlineStr">
        <x:is>
          <x:t xml:space="preserve">Pilot Active</x:t>
        </x:is>
      </x:c>
      <x:c r="M14" s="135" t="inlineStr">
        <x:is>
          <x:t xml:space="preserve">Before You Drive</x:t>
        </x:is>
      </x:c>
      <x:c r="Q14" s="135" t="inlineStr">
        <x:is>
          <x:t xml:space="preserve">Static Graphic</x:t>
        </x:is>
      </x:c>
    </x:row>
    <x:row r="15">
      <x:c r="F15" s="12" t="inlineStr">
        <x:is>
          <x:t xml:space="preserve">Field</x:t>
        </x:is>
      </x:c>
      <x:c r="G15" s="12" t="inlineStr">
        <x:is>
          <x:t xml:space="preserve">Wait</x:t>
        </x:is>
      </x:c>
      <x:c r="M15" s="135" t="inlineStr">
        <x:is>
          <x:t xml:space="preserve">Comment-to-Video</x:t>
        </x:is>
      </x:c>
      <x:c r="Q15" s="135" t="inlineStr">
        <x:is>
          <x:t xml:space="preserve">Story Poll</x:t>
        </x:is>
      </x:c>
    </x:row>
    <x:row r="16">
      <x:c r="F16" s="12" t="inlineStr">
        <x:is>
          <x:t xml:space="preserve">Email</x:t>
        </x:is>
      </x:c>
      <x:c r="M16" s="135" t="inlineStr">
        <x:is>
          <x:t xml:space="preserve">Build With Peter</x:t>
        </x:is>
      </x:c>
    </x:row>
    <x:row r="17">
      <x:c r="F17" s="12" t="inlineStr">
        <x:is>
          <x:t xml:space="preserve">Meta Ads</x:t>
        </x:is>
      </x:c>
      <x:c r="M17" s="135" t="inlineStr">
        <x:is>
          <x:t xml:space="preserve">Holiday Road Prep</x:t>
        </x:is>
      </x:c>
    </x:row>
  </x:sheetData>
  <x:pageMargins left="0.7" right="0.7" top="0.75" bottom="0.75" header="0.3" footer="0.3"/>
</x:worksheet>
</file>